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5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tables/table28.xml" ContentType="application/vnd.openxmlformats-officedocument.spreadsheetml.table+xml"/>
  <Override PartName="/xl/queryTables/queryTable27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31.xml" ContentType="application/vnd.openxmlformats-officedocument.spreadsheetml.table+xml"/>
  <Override PartName="/xl/queryTables/queryTable28.xml" ContentType="application/vnd.openxmlformats-officedocument.spreadsheetml.queryTable+xml"/>
  <Override PartName="/xl/tables/table32.xml" ContentType="application/vnd.openxmlformats-officedocument.spreadsheetml.table+xml"/>
  <Override PartName="/xl/queryTables/queryTable29.xml" ContentType="application/vnd.openxmlformats-officedocument.spreadsheetml.queryTable+xml"/>
  <Override PartName="/xl/tables/table33.xml" ContentType="application/vnd.openxmlformats-officedocument.spreadsheetml.table+xml"/>
  <Override PartName="/xl/queryTables/queryTable30.xml" ContentType="application/vnd.openxmlformats-officedocument.spreadsheetml.query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dersen\Documents\Rerouting\"/>
    </mc:Choice>
  </mc:AlternateContent>
  <xr:revisionPtr revIDLastSave="0" documentId="13_ncr:1_{D6A20BDA-FEA0-400D-BAE7-0163101CD278}" xr6:coauthVersionLast="47" xr6:coauthVersionMax="47" xr10:uidLastSave="{00000000-0000-0000-0000-000000000000}"/>
  <bookViews>
    <workbookView xWindow="22932" yWindow="2628" windowWidth="23256" windowHeight="13176" tabRatio="969" firstSheet="17" activeTab="23" xr2:uid="{90AB5DFA-A259-4406-A541-29220DFCA5B5}"/>
  </bookViews>
  <sheets>
    <sheet name="Control" sheetId="43" r:id="rId1"/>
    <sheet name="Customers Changing" sheetId="42" r:id="rId2"/>
    <sheet name="Route Days with no changes" sheetId="41" r:id="rId3"/>
    <sheet name="Internal Changes" sheetId="37" r:id="rId4"/>
    <sheet name="Coming Or Going" sheetId="36" r:id="rId5"/>
    <sheet name="Five Days" sheetId="30" r:id="rId6"/>
    <sheet name="Primary Garment Reference" sheetId="22" r:id="rId7"/>
    <sheet name="All Special Deliveries" sheetId="20" r:id="rId8"/>
    <sheet name="Service Large Gap Special Deliv" sheetId="13" r:id="rId9"/>
    <sheet name="Service Gap inventory list" sheetId="12" r:id="rId10"/>
    <sheet name="Service-Garment Specials by Day" sheetId="17" r:id="rId11"/>
    <sheet name="Service Ranked Exposure List" sheetId="16" r:id="rId12"/>
    <sheet name="IT new stop#s M" sheetId="7" r:id="rId13"/>
    <sheet name="IT new stop#s T" sheetId="8" r:id="rId14"/>
    <sheet name="IT new stop#s W" sheetId="9" r:id="rId15"/>
    <sheet name="IT new stop#s R" sheetId="10" r:id="rId16"/>
    <sheet name="IT new stop#s F" sheetId="11" r:id="rId17"/>
    <sheet name="IT_ New Sequences Whole RTDay" sheetId="45" r:id="rId18"/>
    <sheet name="IT Flag Garment Retapes" sheetId="6" r:id="rId19"/>
    <sheet name="IT Soil Caps increases" sheetId="5" r:id="rId20"/>
    <sheet name="CC DE Special invoices needed" sheetId="15" r:id="rId21"/>
    <sheet name="CC ONEWEEK Data Entry" sheetId="46" r:id="rId22"/>
    <sheet name="CC DE List Week 2" sheetId="4" r:id="rId23"/>
    <sheet name="CC DE List Week 1" sheetId="3" r:id="rId24"/>
    <sheet name="Serivce Garments by New Day" sheetId="39" r:id="rId25"/>
    <sheet name="Service Retapes by day" sheetId="38" r:id="rId26"/>
    <sheet name="All Retapes Listing" sheetId="14" r:id="rId27"/>
    <sheet name="Current Iteration Unique" sheetId="2" r:id="rId28"/>
    <sheet name="Stop checker" sheetId="23" r:id="rId29"/>
    <sheet name="Service Surveys" sheetId="29" r:id="rId30"/>
    <sheet name="Primary Customer Listing SQL IN" sheetId="28" r:id="rId31"/>
    <sheet name="update Stop#s for list of Cuids" sheetId="25" r:id="rId32"/>
  </sheets>
  <definedNames>
    <definedName name="ExternalData_1" localSheetId="7" hidden="1">'All Special Deliveries'!$A$4:$M$24</definedName>
    <definedName name="ExternalData_1" localSheetId="27" hidden="1">'Current Iteration Unique'!$A$1:$BK$183</definedName>
    <definedName name="ExternalData_1" localSheetId="17" hidden="1">'IT_ New Sequences Whole RTDay'!$A$1:$F$2</definedName>
    <definedName name="ExternalData_1" localSheetId="28" hidden="1">'Stop checker'!$J$2:$BQ$48</definedName>
    <definedName name="ExternalData_1" localSheetId="31" hidden="1">'update Stop#s for list of Cuids'!$E$1:$J$2</definedName>
    <definedName name="ExternalData_10" localSheetId="16" hidden="1">'IT new stop#s F'!$A$1:$F$24</definedName>
    <definedName name="ExternalData_10" localSheetId="10" hidden="1">'Service-Garment Specials by Day'!$A$4:$L$23</definedName>
    <definedName name="ExternalData_11" localSheetId="9" hidden="1">'Service Gap inventory list'!$A$4:$G$31</definedName>
    <definedName name="ExternalData_12" localSheetId="8" hidden="1">'Service Large Gap Special Deliv'!$A$1:$J$8</definedName>
    <definedName name="ExternalData_15" localSheetId="6" hidden="1">'Primary Garment Reference'!$A$4:$I$83</definedName>
    <definedName name="ExternalData_16" localSheetId="5" hidden="1">'Five Days'!$A$4:$P$533</definedName>
    <definedName name="ExternalData_17" localSheetId="21" hidden="1">'CC ONEWEEK Data Entry'!$A$1:$L$151</definedName>
    <definedName name="ExternalData_2" localSheetId="26" hidden="1">'All Retapes Listing'!$A$1:$M$62</definedName>
    <definedName name="ExternalData_2" localSheetId="23" hidden="1">'CC DE List Week 1'!$A$1:$L$35</definedName>
    <definedName name="ExternalData_22" localSheetId="4" hidden="1">'Coming Or Going'!$A$4:$Q$8</definedName>
    <definedName name="ExternalData_23" localSheetId="3" hidden="1">'Internal Changes'!$A$4:$K$233</definedName>
    <definedName name="ExternalData_25" localSheetId="2" hidden="1">'Route Days with no changes'!$A$1:$B$2</definedName>
    <definedName name="ExternalData_26" localSheetId="1" hidden="1">'Customers Changing'!$A$1:$BK$112</definedName>
    <definedName name="ExternalData_3" localSheetId="22" hidden="1">'CC DE List Week 2'!$A$1:$L$116</definedName>
    <definedName name="ExternalData_3" localSheetId="25" hidden="1">'Service Retapes by day'!$A$4:$J$54</definedName>
    <definedName name="ExternalData_4" localSheetId="20" hidden="1">'CC DE Special invoices needed'!$A$1:$I$15</definedName>
    <definedName name="ExternalData_4" localSheetId="19" hidden="1">'IT Soil Caps increases'!$A$1:$A$21</definedName>
    <definedName name="ExternalData_4" localSheetId="30" hidden="1">'Primary Customer Listing SQL IN'!$A$1:$AP$178</definedName>
    <definedName name="ExternalData_4" localSheetId="24" hidden="1">'Serivce Garments by New Day'!$A$4:$I$83</definedName>
    <definedName name="ExternalData_5" localSheetId="18" hidden="1">'IT Flag Garment Retapes'!$A$1:$B$51</definedName>
    <definedName name="ExternalData_5" localSheetId="29" hidden="1">'Service Surveys'!$A$4:$O$524</definedName>
    <definedName name="ExternalData_6" localSheetId="12" hidden="1">'IT new stop#s M'!$A$1:$F$28</definedName>
    <definedName name="ExternalData_7" localSheetId="13" hidden="1">'IT new stop#s T'!$A$1:$F$33</definedName>
    <definedName name="ExternalData_8" localSheetId="14" hidden="1">'IT new stop#s W'!$A$1:$F$27</definedName>
    <definedName name="ExternalData_9" localSheetId="15" hidden="1">'IT new stop#s R'!$A$1:$F$41</definedName>
    <definedName name="ExternalData_9" localSheetId="11" hidden="1">'Service Ranked Exposure List'!$A$1:$D$2</definedName>
    <definedName name="_xlnm.Print_Area" localSheetId="7">All_Special_Deliveries[#All]</definedName>
    <definedName name="_xlnm.Print_Area" localSheetId="23">DE_List_Week_1[[#All],[cu_id]:[New Delivery Day]]</definedName>
    <definedName name="_xlnm.Print_Area" localSheetId="4">Table_Coming_Or_Going[#All]</definedName>
    <definedName name="_xlnm.Print_Area" localSheetId="5">Table_Five_Days[#All]</definedName>
    <definedName name="_xlnm.Print_Area" localSheetId="3">Table_Internal_Changes[#All]</definedName>
    <definedName name="_xlnm.Print_Area" localSheetId="6">Table_Primary_Garment_Referance[#All]</definedName>
    <definedName name="_xlnm.Print_Area" localSheetId="24">Table_Serivce_Garments_by_New_Day[#All]</definedName>
    <definedName name="_xlnm.Print_Area" localSheetId="9">Service_Gap_inventory_lists[#All]</definedName>
    <definedName name="_xlnm.Print_Area" localSheetId="25">Table_Service_Retapes_by_day[#All]</definedName>
    <definedName name="_xlnm.Print_Area" localSheetId="29">'Service Surveys'!$A$1:$O$1055</definedName>
    <definedName name="_xlnm.Print_Titles" localSheetId="26">'All Retapes Listing'!$1:$1</definedName>
    <definedName name="_xlnm.Print_Titles" localSheetId="4">'Coming Or Going'!$4:$4</definedName>
    <definedName name="_xlnm.Print_Titles" localSheetId="5">'Five Days'!$4:$4</definedName>
    <definedName name="_xlnm.Print_Titles" localSheetId="3">'Internal Changes'!$4:$4</definedName>
    <definedName name="_xlnm.Print_Titles" localSheetId="6">'Primary Garment Reference'!$4:$4</definedName>
    <definedName name="_xlnm.Print_Titles" localSheetId="24">'Serivce Garments by New Day'!$4:$4</definedName>
    <definedName name="_xlnm.Print_Titles" localSheetId="9">'Service Gap inventory list'!$4:$4</definedName>
    <definedName name="_xlnm.Print_Titles" localSheetId="25">'Service Retapes by day'!$4:$4</definedName>
    <definedName name="_xlnm.Print_Titles" localSheetId="29">'Service Surveys'!$3:$4</definedName>
    <definedName name="_xlnm.Print_Titles" localSheetId="10">'Service-Garment Specials by Day'!$4:$4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6" l="1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3" i="6"/>
  <c r="E4" i="6"/>
  <c r="E5" i="6"/>
  <c r="E6" i="6"/>
  <c r="E7" i="6"/>
  <c r="E8" i="6"/>
  <c r="E9" i="6"/>
  <c r="E10" i="6"/>
  <c r="E11" i="6"/>
  <c r="E12" i="6"/>
  <c r="E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158C-F850-42DB-B0CB-E460486B54B3}" keepAlive="1" name="Query - All Special Deliveries" description="Connection to the 'All Special Deliveries' query in the workbook." type="5" refreshedVersion="8" background="1" saveData="1">
    <dbPr connection="Provider=Microsoft.Mashup.OleDb.1;Data Source=$Workbook$;Location=&quot;All Special Deliveries&quot;;Extended Properties=&quot;&quot;" command="SELECT * FROM [All Special Deliveries]"/>
  </connection>
  <connection id="2" xr16:uid="{A9D0F4BA-9604-477B-8687-11E2E5C9C5A0}" keepAlive="1" name="Query - Coming Or Going" description="Connection to the 'Coming Or Going' query in the workbook." type="5" refreshedVersion="8" background="1" saveData="1">
    <dbPr connection="Provider=Microsoft.Mashup.OleDb.1;Data Source=$Workbook$;Location=&quot;Coming Or Going&quot;;Extended Properties=&quot;&quot;" command="SELECT * FROM [Coming Or Going]"/>
  </connection>
  <connection id="3" xr16:uid="{707578AA-FC07-4772-BBAF-3D5DE7D6B8BE}" keepAlive="1" name="Query - Control Parameters (SQL IN/OUT)" description="Connection to the 'Control Parameters (SQL IN/OUT)' query in the workbook." type="5" refreshedVersion="0" background="1" saveData="1">
    <dbPr connection="Provider=Microsoft.Mashup.OleDb.1;Data Source=$Workbook$;Location=&quot;Control Parameters (SQL IN/OUT)&quot;;Extended Properties=&quot;&quot;" command="SELECT * FROM [Control Parameters (SQL IN/OUT)]"/>
  </connection>
  <connection id="4" xr16:uid="{958AE1F8-8087-432B-8ECD-751DAF5F0C56}" keepAlive="1" name="Query - Control: Current Branch (SQL IN/OUT)" description="Connection to the 'Control: Current Branch (SQL IN/OUT)' query in the workbook." type="5" refreshedVersion="0" background="1" saveData="1">
    <dbPr connection="Provider=Microsoft.Mashup.OleDb.1;Data Source=$Workbook$;Location=&quot;Control: Current Branch (SQL IN/OUT)&quot;;Extended Properties=&quot;&quot;" command="SELECT * FROM [Control: Current Branch (SQL IN/OUT)]"/>
  </connection>
  <connection id="5" xr16:uid="{45DC216E-518A-4BA0-A950-D0E1AC433D86}" keepAlive="1" name="Query - Control: Current Branch Id" description="Connection to the 'Control: Current Branch Id' query in the workbook." type="5" refreshedVersion="0" background="1">
    <dbPr connection="Provider=Microsoft.Mashup.OleDb.1;Data Source=$Workbook$;Location=&quot;Control: Current Branch Id&quot;;Extended Properties=&quot;&quot;" command="SELECT * FROM [Control: Current Branch Id]"/>
  </connection>
  <connection id="6" xr16:uid="{AEB28264-9D02-4181-8EE1-8343903E13F7}" keepAlive="1" name="Query - Control: Go-Live Week Code" description="Connection to the 'Control: Go-Live Week Code' query in the workbook." type="5" refreshedVersion="0" background="1">
    <dbPr connection="Provider=Microsoft.Mashup.OleDb.1;Data Source=$Workbook$;Location=&quot;Control: Go-Live Week Code&quot;;Extended Properties=&quot;&quot;" command="SELECT * FROM [Control: Go-Live Week Code]"/>
  </connection>
  <connection id="7" xr16:uid="{0BFBB21A-88A2-4BBD-9C24-9F185A2DACC2}" keepAlive="1" name="Query - Control: IT Retape Message" description="Connection to the 'Control: IT Retape Message' query in the workbook." type="5" refreshedVersion="0" background="1">
    <dbPr connection="Provider=Microsoft.Mashup.OleDb.1;Data Source=$Workbook$;Location=&quot;Control: IT Retape Message&quot;;Extended Properties=&quot;&quot;" command="SELECT * FROM [Control: IT Retape Message]"/>
  </connection>
  <connection id="8" xr16:uid="{60177B91-0E43-4441-8178-6C83E8795EFE}" keepAlive="1" name="Query - Control: IT Sequences Freqs to Include" description="Connection to the 'Control: IT Sequences Freqs to Include' query in the workbook." type="5" refreshedVersion="0" background="1">
    <dbPr connection="Provider=Microsoft.Mashup.OleDb.1;Data Source=$Workbook$;Location=&quot;Control: IT Sequences Freqs to Include&quot;;Extended Properties=&quot;&quot;" command="SELECT * FROM [Control: IT Sequences Freqs to Include]"/>
  </connection>
  <connection id="9" xr16:uid="{171635D9-8AED-4BFC-8037-EA9064FA98E2}" keepAlive="1" name="Query - Control: IT Sequences include changing customers" description="Connection to the 'Control: IT Sequences include changing customers' query in the workbook." type="5" refreshedVersion="0" background="1">
    <dbPr connection="Provider=Microsoft.Mashup.OleDb.1;Data Source=$Workbook$;Location=&quot;Control: IT Sequences include changing customers&quot;;Extended Properties=&quot;&quot;" command="SELECT * FROM [Control: IT Sequences include changing customers]"/>
  </connection>
  <connection id="10" xr16:uid="{256B51B5-6DED-4319-BBF6-8D24D871FE22}" keepAlive="1" name="Query - Control: IT Whole Day Sequence Rtday" description="Connection to the 'Control: IT Whole Day Sequence Rtday' query in the workbook." type="5" refreshedVersion="8" background="1" saveData="1">
    <dbPr connection="Provider=Microsoft.Mashup.OleDb.1;Data Source=$Workbook$;Location=&quot;Control: IT Whole Day Sequence Rtday&quot;;Extended Properties=&quot;&quot;" command="SELECT * FROM [Control: IT Whole Day Sequence Rtday]"/>
  </connection>
  <connection id="11" xr16:uid="{5251C0E9-1AE6-4176-8A50-14A46D0C5E19}" keepAlive="1" name="Query - CSV source function" description="Connection to the 'CSV source function' query in the workbook." type="5" refreshedVersion="0" background="1">
    <dbPr connection="Provider=Microsoft.Mashup.OleDb.1;Data Source=$Workbook$;Location=&quot;CSV source function&quot;;Extended Properties=&quot;&quot;" command="SELECT * FROM [CSV source function]"/>
  </connection>
  <connection id="12" xr16:uid="{4D8963FE-2A38-4313-853C-4F589E91C001}" keepAlive="1" name="Query - Current_Iteration_Unique" description="Connection to the 'Current_Iteration_Unique' query in the workbook." type="5" refreshedVersion="8" background="1" saveData="1">
    <dbPr connection="Provider=Microsoft.Mashup.OleDb.1;Data Source=$Workbook$;Location=Current_Iteration_Unique;Extended Properties=&quot;&quot;" command="SELECT * FROM [Current_Iteration_Unique]"/>
  </connection>
  <connection id="13" xr16:uid="{435E3ADA-E3F8-49A5-8E15-75323577EE8F}" keepAlive="1" name="Query - Customers Changing" description="Connection to the 'Customers Changing' query in the workbook." type="5" refreshedVersion="8" background="1" saveData="1">
    <dbPr connection="Provider=Microsoft.Mashup.OleDb.1;Data Source=$Workbook$;Location=&quot;Customers Changing&quot;;Extended Properties=&quot;&quot;" command="SELECT * FROM [Customers Changing]"/>
  </connection>
  <connection id="14" xr16:uid="{A6D2B7DB-795B-40D1-AAF1-3498013972C1}" keepAlive="1" name="Query - Data Entry" description="Connection to the 'Data Entry' query in the workbook." type="5" refreshedVersion="8" background="1" saveData="1">
    <dbPr connection="Provider=Microsoft.Mashup.OleDb.1;Data Source=$Workbook$;Location=&quot;Data Entry&quot;;Extended Properties=&quot;&quot;" command="SELECT * FROM [Data Entry]"/>
  </connection>
  <connection id="15" xr16:uid="{1F597DDC-D1F4-4075-BBB5-D30C5265163E}" keepAlive="1" name="Query - Day Change Index" description="Connection to the 'Day Change Index' query in the workbook." type="5" refreshedVersion="0" background="1">
    <dbPr connection="Provider=Microsoft.Mashup.OleDb.1;Data Source=$Workbook$;Location=&quot;Day Change Index&quot;;Extended Properties=&quot;&quot;" command="SELECT * FROM [Day Change Index]"/>
  </connection>
  <connection id="16" xr16:uid="{81D30893-794B-4E13-B6E0-215AED5ADD64}" keepAlive="1" name="Query - Day Index" description="Connection to the 'Day Index' query in the workbook." type="5" refreshedVersion="0" background="1">
    <dbPr connection="Provider=Microsoft.Mashup.OleDb.1;Data Source=$Workbook$;Location=&quot;Day Index&quot;;Extended Properties=&quot;&quot;" command="SELECT * FROM [Day Index]"/>
  </connection>
  <connection id="17" xr16:uid="{0852957A-C880-470B-8E2E-05C3E26CC01A}" keepAlive="1" name="Query - DE List Week 1" description="Connection to the 'DE List Week 1' query in the workbook." type="5" refreshedVersion="8" background="1" saveData="1">
    <dbPr connection="Provider=Microsoft.Mashup.OleDb.1;Data Source=$Workbook$;Location=&quot;DE List Week 1&quot;;Extended Properties=&quot;&quot;" command="SELECT * FROM [DE List Week 1]"/>
  </connection>
  <connection id="18" xr16:uid="{CB677B24-3F31-48E8-B3F1-E6701083BC7E}" keepAlive="1" name="Query - DE List Week 2" description="Connection to the 'DE List Week 2' query in the workbook." type="5" refreshedVersion="8" background="1" saveData="1">
    <dbPr connection="Provider=Microsoft.Mashup.OleDb.1;Data Source=$Workbook$;Location=&quot;DE List Week 2&quot;;Extended Properties=&quot;&quot;" command="SELECT * FROM [DE List Week 2]"/>
  </connection>
  <connection id="19" xr16:uid="{EE70E386-9D48-4DFA-AE6D-88CCD2181E97}" keepAlive="1" name="Query - DE Special Invoices needed" description="Connection to the 'DE Special Invoices needed' query in the workbook." type="5" refreshedVersion="8" background="1" saveData="1">
    <dbPr connection="Provider=Microsoft.Mashup.OleDb.1;Data Source=$Workbook$;Location=&quot;DE Special Invoices needed&quot;;Extended Properties=&quot;&quot;" command="SELECT * FROM [DE Special Invoices needed]"/>
  </connection>
  <connection id="20" xr16:uid="{798C8B76-6007-4013-9FE4-C1F423F3A43B}" keepAlive="1" name="Query - Five Days" description="Connection to the 'Five Days' query in the workbook." type="5" refreshedVersion="8" background="1" saveData="1">
    <dbPr connection="Provider=Microsoft.Mashup.OleDb.1;Data Source=$Workbook$;Location=&quot;Five Days&quot;;Extended Properties=&quot;&quot;" command="SELECT * FROM [Five Days]"/>
  </connection>
  <connection id="21" xr16:uid="{DDC00B03-C5A7-41A2-AEA7-DE6B7004E489}" keepAlive="1" name="Query - Internal Changes" description="Connection to the 'Internal Changes' query in the workbook." type="5" refreshedVersion="8" background="1" saveData="1">
    <dbPr connection="Provider=Microsoft.Mashup.OleDb.1;Data Source=$Workbook$;Location=&quot;Internal Changes&quot;;Extended Properties=&quot;&quot;" command="SELECT * FROM [Internal Changes]"/>
  </connection>
  <connection id="22" xr16:uid="{028D1F12-A7CD-4533-8DD6-BAD6B524BC65}" keepAlive="1" name="Query - IT All stops : New Sequences" description="Connection to the 'IT All stops : New Sequences' query in the workbook." type="5" refreshedVersion="0" background="1">
    <dbPr connection="Provider=Microsoft.Mashup.OleDb.1;Data Source=$Workbook$;Location=&quot;IT All stops : New Sequences&quot;;Extended Properties=&quot;&quot;" command="SELECT * FROM [IT All stops : New Sequences]"/>
  </connection>
  <connection id="23" xr16:uid="{E6A95DA9-B77D-4842-ADC0-63188746C28C}" keepAlive="1" name="Query - IT changing stops : (R)" description="Connection to the 'IT changing stops : (R)' query in the workbook." type="5" refreshedVersion="8" background="1" saveData="1">
    <dbPr connection="Provider=Microsoft.Mashup.OleDb.1;Data Source=$Workbook$;Location=&quot;IT changing stops : (R)&quot;;Extended Properties=&quot;&quot;" command="SELECT * FROM [IT changing stops : (R)]"/>
  </connection>
  <connection id="24" xr16:uid="{4D10E682-6A12-457F-8770-E475C0CCB70E}" keepAlive="1" name="Query - IT Flag Garment Retapes" description="Connection to the 'IT Flag Garment Retapes' query in the workbook." type="5" refreshedVersion="8" background="1" saveData="1">
    <dbPr connection="Provider=Microsoft.Mashup.OleDb.1;Data Source=$Workbook$;Location=&quot;IT Flag Garment Retapes&quot;;Extended Properties=&quot;&quot;" command="SELECT * FROM [IT Flag Garment Retapes]"/>
  </connection>
  <connection id="25" xr16:uid="{06C96DF2-B3F5-482A-BBC0-6D9EEF7D83D2}" keepAlive="1" name="Query - IT Soil Caps increases" description="Connection to the 'IT Soil Caps increases' query in the workbook." type="5" refreshedVersion="8" background="1" saveData="1">
    <dbPr connection="Provider=Microsoft.Mashup.OleDb.1;Data Source=$Workbook$;Location=&quot;IT Soil Caps increases&quot;;Extended Properties=&quot;&quot;" command="SELECT * FROM [IT Soil Caps increases]"/>
  </connection>
  <connection id="26" xr16:uid="{0EF73CDF-7C65-4949-A3DD-9B808FD6A48D}" keepAlive="1" name="Query - IT: New Sequences" description="Connection to the 'IT: New Sequences' query in the workbook." type="5" refreshedVersion="0" background="1">
    <dbPr connection="Provider=Microsoft.Mashup.OleDb.1;Data Source=$Workbook$;Location=&quot;IT: New Sequences&quot;;Extended Properties=&quot;&quot;" command="SELECT * FROM [IT: New Sequences]"/>
  </connection>
  <connection id="27" xr16:uid="{DA49DE02-C48E-4F47-AAB3-FC44E2C22197}" keepAlive="1" name="Query - IT: New Sequences (F)" description="Connection to the 'IT: New Sequences (F)' query in the workbook." type="5" refreshedVersion="8" background="1" saveData="1">
    <dbPr connection="Provider=Microsoft.Mashup.OleDb.1;Data Source=$Workbook$;Location=&quot;IT: New Sequences (F)&quot;;Extended Properties=&quot;&quot;" command="SELECT * FROM [IT: New Sequences (F)]"/>
  </connection>
  <connection id="28" xr16:uid="{81DC7DC5-9E18-44E6-9772-ADFF637D9A22}" keepAlive="1" name="Query - IT: New Sequences (M)" description="Connection to the 'IT: New Sequences (M)' query in the workbook." type="5" refreshedVersion="8" background="1" saveData="1">
    <dbPr connection="Provider=Microsoft.Mashup.OleDb.1;Data Source=$Workbook$;Location=&quot;IT: New Sequences (M)&quot;;Extended Properties=&quot;&quot;" command="SELECT * FROM [IT: New Sequences (M)]"/>
  </connection>
  <connection id="29" xr16:uid="{09769267-9CE1-47D6-B1B0-AF8668ECDB08}" keepAlive="1" name="Query - IT: New Sequences (T)" description="Connection to the 'IT: New Sequences (T)' query in the workbook." type="5" refreshedVersion="8" background="1" saveData="1">
    <dbPr connection="Provider=Microsoft.Mashup.OleDb.1;Data Source=$Workbook$;Location=&quot;IT: New Sequences (T)&quot;;Extended Properties=&quot;&quot;" command="SELECT * FROM [IT: New Sequences (T)]"/>
  </connection>
  <connection id="30" xr16:uid="{524AD421-D404-4FF5-B589-ECCB6AB85EF0}" keepAlive="1" name="Query - IT: New Sequences (TH)" description="Connection to the 'IT: New Sequences (TH)' query in the workbook." type="5" refreshedVersion="8" background="1" saveData="1">
    <dbPr connection="Provider=Microsoft.Mashup.OleDb.1;Data Source=$Workbook$;Location=&quot;IT: New Sequences (TH)&quot;;Extended Properties=&quot;&quot;" command="SELECT * FROM [IT: New Sequences (TH)]"/>
  </connection>
  <connection id="31" xr16:uid="{DFFBC140-B497-4CB8-9E4E-C584F59A3AAA}" keepAlive="1" name="Query - IT: New Sequences (W)" description="Connection to the 'IT: New Sequences (W)' query in the workbook." type="5" refreshedVersion="8" background="1" saveData="1">
    <dbPr connection="Provider=Microsoft.Mashup.OleDb.1;Data Source=$Workbook$;Location=&quot;IT: New Sequences (W)&quot;;Extended Properties=&quot;&quot;" command="SELECT * FROM [IT: New Sequences (W)]"/>
  </connection>
  <connection id="32" xr16:uid="{F0B0FEA9-94C2-4EA0-BBB2-9A3119B54209}" keepAlive="1" name="Query - IT: New Sequences Whole RTDay" description="Connection to the 'IT: New Sequences Whole RTDay' query in the workbook." type="5" refreshedVersion="8" background="1" saveData="1">
    <dbPr connection="Provider=Microsoft.Mashup.OleDb.1;Data Source=$Workbook$;Location=&quot;IT: New Sequences Whole RTDay&quot;;Extended Properties=&quot;&quot;" command="SELECT * FROM [IT: New Sequences Whole RTDay]"/>
  </connection>
  <connection id="33" xr16:uid="{715D12C6-0B27-495D-A69C-8A80D47E1E11}" keepAlive="1" name="Query - New RtDay No changes" description="Connection to the 'New RtDay No changes' query in the workbook." type="5" refreshedVersion="0" background="1">
    <dbPr connection="Provider=Microsoft.Mashup.OleDb.1;Data Source=$Workbook$;Location=&quot;New RtDay No changes&quot;;Extended Properties=&quot;&quot;" command="SELECT * FROM [New RtDay No changes]"/>
  </connection>
  <connection id="34" xr16:uid="{797E110D-17D6-4377-AEB5-DDDF6758102A}" keepAlive="1" name="Query - Old RtDay No Changes" description="Connection to the 'Old RtDay No Changes' query in the workbook." type="5" refreshedVersion="0" background="1">
    <dbPr connection="Provider=Microsoft.Mashup.OleDb.1;Data Source=$Workbook$;Location=&quot;Old RtDay No Changes&quot;;Extended Properties=&quot;&quot;" command="SELECT * FROM [Old RtDay No Changes]"/>
  </connection>
  <connection id="35" xr16:uid="{BE47F374-72B3-4D86-B9E7-30886F55E3B3}" keepAlive="1" name="Query - Primary Customer Listing SQL IN" description="Connection to the 'Primary Customer Listing SQL IN' query in the workbook." type="5" refreshedVersion="8" background="1" saveData="1">
    <dbPr connection="Provider=Microsoft.Mashup.OleDb.1;Data Source=$Workbook$;Location=&quot;Primary Customer Listing SQL IN&quot;;Extended Properties=&quot;&quot;" command="SELECT * FROM [Primary Customer Listing SQL IN]"/>
  </connection>
  <connection id="36" xr16:uid="{680E8716-0791-4146-96F9-5DF700F3EF1D}" keepAlive="1" name="Query - Primary Garment Referance" description="Connection to the 'Primary Garment Referance' query in the workbook." type="5" refreshedVersion="8" background="1" saveData="1">
    <dbPr connection="Provider=Microsoft.Mashup.OleDb.1;Data Source=$Workbook$;Location=&quot;Primary Garment Referance&quot;;Extended Properties=&quot;&quot;" command="SELECT * FROM [Primary Garment Referance]"/>
  </connection>
  <connection id="37" xr16:uid="{DE88D7DE-8BB6-47E0-A964-419C66F0D059}" keepAlive="1" name="Query - Reroute Lists: Control(1)" description="Connection to the 'Reroute Lists: Control' query in the workbook." type="5" refreshedVersion="0" background="1">
    <dbPr connection="Provider=Microsoft.Mashup.OleDb.1;Data Source=$Workbook$;Location=&quot;Reroute Lists: Control&quot;;Extended Properties=&quot;&quot;" command="SELECT * FROM [Reroute Lists: Control]"/>
  </connection>
  <connection id="38" xr16:uid="{A699F70B-D89B-4093-896A-C2155DEAEB4C}" keepAlive="1" name="Query - Retape Listing" description="Connection to the 'Retape Listing' query in the workbook." type="5" refreshedVersion="8" background="1" saveData="1">
    <dbPr connection="Provider=Microsoft.Mashup.OleDb.1;Data Source=$Workbook$;Location=&quot;Retape Listing&quot;;Extended Properties=&quot;&quot;" command="SELECT * FROM [Retape Listing]"/>
  </connection>
  <connection id="39" xr16:uid="{5688CC97-314B-4EFD-8BD0-97CD24738624}" keepAlive="1" name="Query - Route Coming" description="Connection to the 'Route Coming' query in the workbook." type="5" refreshedVersion="0" background="1">
    <dbPr connection="Provider=Microsoft.Mashup.OleDb.1;Data Source=$Workbook$;Location=&quot;Route Coming&quot;;Extended Properties=&quot;&quot;" command="SELECT * FROM [Route Coming]"/>
  </connection>
  <connection id="40" xr16:uid="{AF39ED9D-68BF-4E02-B0A6-66A2429376A1}" keepAlive="1" name="Query - Route Days with no changes" description="Connection to the 'Route Days with no changes' query in the workbook." type="5" refreshedVersion="8" background="1" saveData="1">
    <dbPr connection="Provider=Microsoft.Mashup.OleDb.1;Data Source=$Workbook$;Location=&quot;Route Days with no changes&quot;;Extended Properties=&quot;&quot;" command="SELECT * FROM [Route Days with no changes]"/>
  </connection>
  <connection id="41" xr16:uid="{F20F1487-5598-48B2-8332-F9238ADF0192}" keepAlive="1" name="Query - Route Going" description="Connection to the 'Route Going' query in the workbook." type="5" refreshedVersion="0" background="1">
    <dbPr connection="Provider=Microsoft.Mashup.OleDb.1;Data Source=$Workbook$;Location=&quot;Route Going&quot;;Extended Properties=&quot;&quot;" command="SELECT * FROM [Route Going]"/>
  </connection>
  <connection id="42" xr16:uid="{E2D51D7A-5AD7-4ACE-A7A5-FCCB1C73D337}" keepAlive="1" name="Query - Select customers to update stops" description="Connection to the 'Select customers to update stops' query in the workbook." type="5" refreshedVersion="0" background="1">
    <dbPr connection="Provider=Microsoft.Mashup.OleDb.1;Data Source=$Workbook$;Location=&quot;Select customers to update stops&quot;;Extended Properties=&quot;&quot;" command="SELECT * FROM [Select customers to update stops]"/>
  </connection>
  <connection id="43" xr16:uid="{7885E709-B539-40A0-9BB7-25A1AA83BBB1}" keepAlive="1" name="Query - Serivce Garments by New Day" description="Connection to the 'Serivce Garments by New Day' query in the workbook." type="5" refreshedVersion="8" background="1" saveData="1">
    <dbPr connection="Provider=Microsoft.Mashup.OleDb.1;Data Source=$Workbook$;Location=&quot;Serivce Garments by New Day&quot;;Extended Properties=&quot;&quot;" command="SELECT * FROM [Serivce Garments by New Day]"/>
  </connection>
  <connection id="44" xr16:uid="{6688C1F8-39FA-4D2C-85DF-E2967728F2BE}" keepAlive="1" name="Query - Service Gap inventory lists" description="Connection to the 'Service Gap inventory lists' query in the workbook." type="5" refreshedVersion="8" background="1" saveData="1">
    <dbPr connection="Provider=Microsoft.Mashup.OleDb.1;Data Source=$Workbook$;Location=&quot;Service Gap inventory lists&quot;;Extended Properties=&quot;&quot;" command="SELECT * FROM [Service Gap inventory lists]"/>
  </connection>
  <connection id="45" xr16:uid="{FC8423F8-61DA-459D-80F7-3293890718A3}" keepAlive="1" name="Query - Service Garment Specials by Day" description="Connection to the 'Service Garment Specials by Day' query in the workbook." type="5" refreshedVersion="8" background="1" saveData="1">
    <dbPr connection="Provider=Microsoft.Mashup.OleDb.1;Data Source=$Workbook$;Location=&quot;Service Garment Specials by Day&quot;;Extended Properties=&quot;&quot;" command="SELECT * FROM [Service Garment Specials by Day]"/>
  </connection>
  <connection id="46" xr16:uid="{27BA433A-0AAE-4E21-A77D-A5B170215E47}" keepAlive="1" name="Query - Service Large Gap Special Deliverys" description="Connection to the 'Service Large Gap Special Deliverys' query in the workbook." type="5" refreshedVersion="8" background="1" saveData="1">
    <dbPr connection="Provider=Microsoft.Mashup.OleDb.1;Data Source=$Workbook$;Location=&quot;Service Large Gap Special Deliverys&quot;;Extended Properties=&quot;&quot;" command="SELECT * FROM [Service Large Gap Special Deliverys]"/>
  </connection>
  <connection id="47" xr16:uid="{A44B756B-6A54-4BF4-9066-77C300730656}" keepAlive="1" name="Query - Service Ranked New-Exposure List" description="Connection to the 'Service Ranked New-Exposure List' query in the workbook." type="5" refreshedVersion="8" background="1" saveData="1">
    <dbPr connection="Provider=Microsoft.Mashup.OleDb.1;Data Source=$Workbook$;Location=&quot;Service Ranked New-Exposure List&quot;;Extended Properties=&quot;&quot;" command="SELECT * FROM [Service Ranked New-Exposure List]"/>
  </connection>
  <connection id="48" xr16:uid="{A2879D1C-DC38-4398-8BA7-2E4681AE5DED}" keepAlive="1" name="Query - Service Retapes by day" description="Connection to the 'Service Retapes by day' query in the workbook." type="5" refreshedVersion="8" background="1" saveData="1">
    <dbPr connection="Provider=Microsoft.Mashup.OleDb.1;Data Source=$Workbook$;Location=&quot;Service Retapes by day&quot;;Extended Properties=&quot;&quot;" command="SELECT * FROM [Service Retapes by day]"/>
  </connection>
  <connection id="49" xr16:uid="{1C0E2EAD-6152-4FDD-9419-1B579984A0E0}" keepAlive="1" name="Query - Service Surveys" description="Connection to the 'Service Surveys' query in the workbook." type="5" refreshedVersion="8" background="1" saveData="1">
    <dbPr connection="Provider=Microsoft.Mashup.OleDb.1;Data Source=$Workbook$;Location=&quot;Service Surveys&quot;;Extended Properties=&quot;&quot;" command="SELECT * FROM [Service Surveys]"/>
  </connection>
  <connection id="50" xr16:uid="{25F1DBC6-65C7-4421-8E54-CF9CD1EA89EC}" keepAlive="1" name="Query - Update stops from select customers to update stops" description="Connection to the 'Update stops from select customers to update stops' query in the workbook." type="5" refreshedVersion="8" background="1" saveData="1">
    <dbPr connection="Provider=Microsoft.Mashup.OleDb.1;Data Source=$Workbook$;Location=&quot;Update stops from select customers to update stops&quot;;Extended Properties=&quot;&quot;" command="SELECT * FROM [Update stops from select customers to update stops]"/>
  </connection>
</connections>
</file>

<file path=xl/sharedStrings.xml><?xml version="1.0" encoding="utf-8"?>
<sst xmlns="http://schemas.openxmlformats.org/spreadsheetml/2006/main" count="23596" uniqueCount="3809">
  <si>
    <t>Cu_ID</t>
  </si>
  <si>
    <t>Acct #</t>
  </si>
  <si>
    <t>Cust #</t>
  </si>
  <si>
    <t>Week #</t>
  </si>
  <si>
    <t>New Rt</t>
  </si>
  <si>
    <t>New Delivery Day</t>
  </si>
  <si>
    <t>New Stop</t>
  </si>
  <si>
    <t>Old Rt #</t>
  </si>
  <si>
    <t>Old Delivery Day</t>
  </si>
  <si>
    <t>Old Stop</t>
  </si>
  <si>
    <t>Customer Name</t>
  </si>
  <si>
    <t>Address</t>
  </si>
  <si>
    <t>MinutesFromPrevious</t>
  </si>
  <si>
    <t>Frequency</t>
  </si>
  <si>
    <t>WaitMinutes</t>
  </si>
  <si>
    <t>ServiceMinutes</t>
  </si>
  <si>
    <t>X_Longitude</t>
  </si>
  <si>
    <t>Y_Latitude</t>
  </si>
  <si>
    <t># of Wearers</t>
  </si>
  <si>
    <t>Q1 Low Revenue Deviation</t>
  </si>
  <si>
    <t>Q1 High Revenue Deviation</t>
  </si>
  <si>
    <t>Q2 Low Revenue Deviation</t>
  </si>
  <si>
    <t>Q2 High Revenue Deviation</t>
  </si>
  <si>
    <t>Q3 Low Revenue Deviation</t>
  </si>
  <si>
    <t>Q3 High Revenue Deviation</t>
  </si>
  <si>
    <t>Q4 Low Revenue Deviation</t>
  </si>
  <si>
    <t>Q4 High Revenue Deviation</t>
  </si>
  <si>
    <t>Q1 Revenue per Delivery</t>
  </si>
  <si>
    <t>Q2 Revenue per Delivery</t>
  </si>
  <si>
    <t>Q3 Revenue per Delivery</t>
  </si>
  <si>
    <t>Q4 Revenue per Delivery</t>
  </si>
  <si>
    <t>MilesFromPrevious</t>
  </si>
  <si>
    <t>Garment Inventory</t>
  </si>
  <si>
    <t>Avg Garment Scans per Delivery</t>
  </si>
  <si>
    <t>% Garment Underwash</t>
  </si>
  <si>
    <t>Earliest Time - Window 1</t>
  </si>
  <si>
    <t>Latest Time - Window 1</t>
  </si>
  <si>
    <t>Earliest Time - Window 2</t>
  </si>
  <si>
    <t>Latest Time - Window 2</t>
  </si>
  <si>
    <t>Available Delivery Days</t>
  </si>
  <si>
    <t>Is Route Changing</t>
  </si>
  <si>
    <t>Is Day Changing</t>
  </si>
  <si>
    <t>Is new Day feasible?</t>
  </si>
  <si>
    <t>Is Customer Changing?</t>
  </si>
  <si>
    <t>Retape Needed?</t>
  </si>
  <si>
    <t>Q1 Weighted</t>
  </si>
  <si>
    <t>Q2 Weighted</t>
  </si>
  <si>
    <t>Q3 Weighted</t>
  </si>
  <si>
    <t>Q4 Weighted</t>
  </si>
  <si>
    <t>Arrival Times</t>
  </si>
  <si>
    <t>New Freq</t>
  </si>
  <si>
    <t>Is Frequency Changing?</t>
  </si>
  <si>
    <t>W</t>
  </si>
  <si>
    <t>T</t>
  </si>
  <si>
    <t>Yes</t>
  </si>
  <si>
    <t>Y</t>
  </si>
  <si>
    <t>No</t>
  </si>
  <si>
    <t>Week1</t>
  </si>
  <si>
    <t>M</t>
  </si>
  <si>
    <t>R</t>
  </si>
  <si>
    <t>F</t>
  </si>
  <si>
    <t xml:space="preserve">CHARTER COMMUNICATIONS        </t>
  </si>
  <si>
    <t>Week2</t>
  </si>
  <si>
    <t>Week3</t>
  </si>
  <si>
    <t>Week4</t>
  </si>
  <si>
    <t>New Frequency</t>
  </si>
  <si>
    <t>mon_stop</t>
  </si>
  <si>
    <t>tue_stop</t>
  </si>
  <si>
    <t>wed_stop</t>
  </si>
  <si>
    <t>thu_stop</t>
  </si>
  <si>
    <t>fri_stop</t>
  </si>
  <si>
    <t>Retape Inventory</t>
  </si>
  <si>
    <t>Old Rts</t>
  </si>
  <si>
    <t>Count of New Stops</t>
  </si>
  <si>
    <t>Alliant Sequence</t>
  </si>
  <si>
    <t>Old RtDay</t>
  </si>
  <si>
    <t>33</t>
  </si>
  <si>
    <t>40</t>
  </si>
  <si>
    <t>54</t>
  </si>
  <si>
    <t>1197</t>
  </si>
  <si>
    <t>9817</t>
  </si>
  <si>
    <t>PARTS CLEANING TECHNOLOGIES</t>
  </si>
  <si>
    <t>11425</t>
  </si>
  <si>
    <t>12641</t>
  </si>
  <si>
    <t>12659</t>
  </si>
  <si>
    <t>12715</t>
  </si>
  <si>
    <t>MARKO'S COZY DINER</t>
  </si>
  <si>
    <t>14638</t>
  </si>
  <si>
    <t>30</t>
  </si>
  <si>
    <t>14801</t>
  </si>
  <si>
    <t>15654</t>
  </si>
  <si>
    <t>MTWRF</t>
  </si>
  <si>
    <t>TWRF</t>
  </si>
  <si>
    <t>15891</t>
  </si>
  <si>
    <t>DELTA SKY CLUB</t>
  </si>
  <si>
    <t>90</t>
  </si>
  <si>
    <t>103</t>
  </si>
  <si>
    <t xml:space="preserve">KEYKERT USA, INC.             </t>
  </si>
  <si>
    <t>70</t>
  </si>
  <si>
    <t>SOLA SALONS</t>
  </si>
  <si>
    <t>13123</t>
  </si>
  <si>
    <t>COMMUNITY FINANCIAL-WIXOM</t>
  </si>
  <si>
    <t>14781</t>
  </si>
  <si>
    <t>13157</t>
  </si>
  <si>
    <t>THE 5TH OF NOVI</t>
  </si>
  <si>
    <t>13851</t>
  </si>
  <si>
    <t>LK METROLOGY</t>
  </si>
  <si>
    <t>48</t>
  </si>
  <si>
    <t>160</t>
  </si>
  <si>
    <t>14444</t>
  </si>
  <si>
    <t xml:space="preserve">MORRISON LIVING RIVERTOWN </t>
  </si>
  <si>
    <t>688</t>
  </si>
  <si>
    <t xml:space="preserve">THE PLAYERS CLUB              </t>
  </si>
  <si>
    <t>10955</t>
  </si>
  <si>
    <t>EUREST UNIT 24895</t>
  </si>
  <si>
    <t>10962</t>
  </si>
  <si>
    <t>CRANES CATERING 30634</t>
  </si>
  <si>
    <t>979</t>
  </si>
  <si>
    <t xml:space="preserve">MICHIGAN SPINE &amp; PAIN         </t>
  </si>
  <si>
    <t>11926</t>
  </si>
  <si>
    <t>1820</t>
  </si>
  <si>
    <t xml:space="preserve">ALLEGRA PRINTING              </t>
  </si>
  <si>
    <t>626</t>
  </si>
  <si>
    <t xml:space="preserve">BANGKOK HUNG                  </t>
  </si>
  <si>
    <t>9583</t>
  </si>
  <si>
    <t>MICHIGAN INSTITUTE OF OBGYN</t>
  </si>
  <si>
    <t>11520</t>
  </si>
  <si>
    <t>MOTOR CITY PEAKS-MONDAY 301</t>
  </si>
  <si>
    <t>14</t>
  </si>
  <si>
    <t>19</t>
  </si>
  <si>
    <t>10</t>
  </si>
  <si>
    <t>15596</t>
  </si>
  <si>
    <t>PINE KNOB MUSIC THEATRE-LEVY</t>
  </si>
  <si>
    <t>26</t>
  </si>
  <si>
    <t>24</t>
  </si>
  <si>
    <t>1379</t>
  </si>
  <si>
    <t xml:space="preserve">KENNEDY REALTY                </t>
  </si>
  <si>
    <t>14557</t>
  </si>
  <si>
    <t>THE GRATEFUL CROW</t>
  </si>
  <si>
    <t>11189</t>
  </si>
  <si>
    <t>DR. RAYMOND KONG</t>
  </si>
  <si>
    <t>1786</t>
  </si>
  <si>
    <t xml:space="preserve">AMERINET                      </t>
  </si>
  <si>
    <t>1386</t>
  </si>
  <si>
    <t>THATCHER CHIROPRACTIC</t>
  </si>
  <si>
    <t>9228</t>
  </si>
  <si>
    <t>TIENDA LIBERTAD</t>
  </si>
  <si>
    <t>16131</t>
  </si>
  <si>
    <t>LEWIS JEWELERS</t>
  </si>
  <si>
    <t>55</t>
  </si>
  <si>
    <t>50</t>
  </si>
  <si>
    <t>15655</t>
  </si>
  <si>
    <t>13392</t>
  </si>
  <si>
    <t>10452</t>
  </si>
  <si>
    <t>849</t>
  </si>
  <si>
    <t>10777</t>
  </si>
  <si>
    <t>7 MILE DEQUINDRE MINI MART</t>
  </si>
  <si>
    <t>504</t>
  </si>
  <si>
    <t xml:space="preserve">SECOND EBENEZER CHURCH        </t>
  </si>
  <si>
    <t>1048</t>
  </si>
  <si>
    <t xml:space="preserve">NEVADA CONEY ISLAND           </t>
  </si>
  <si>
    <t>12344</t>
  </si>
  <si>
    <t>8255</t>
  </si>
  <si>
    <t>8766</t>
  </si>
  <si>
    <t>BUTTER NUT BAKERY</t>
  </si>
  <si>
    <t>12480</t>
  </si>
  <si>
    <t>FANTASTIC SUBS</t>
  </si>
  <si>
    <t>731</t>
  </si>
  <si>
    <t>16043</t>
  </si>
  <si>
    <t>13601</t>
  </si>
  <si>
    <t>613</t>
  </si>
  <si>
    <t>15692</t>
  </si>
  <si>
    <t>DETROIT GRILL &amp; SMOOTHIE BAR</t>
  </si>
  <si>
    <t>14802</t>
  </si>
  <si>
    <t>8783</t>
  </si>
  <si>
    <t>14137</t>
  </si>
  <si>
    <t>11931</t>
  </si>
  <si>
    <t>14074</t>
  </si>
  <si>
    <t>16185</t>
  </si>
  <si>
    <t>9428</t>
  </si>
  <si>
    <t>15785</t>
  </si>
  <si>
    <t>14519</t>
  </si>
  <si>
    <t>11126</t>
  </si>
  <si>
    <t>15990</t>
  </si>
  <si>
    <t>16010</t>
  </si>
  <si>
    <t>142</t>
  </si>
  <si>
    <t>ANTONINO SALON &amp; SPA</t>
  </si>
  <si>
    <t>11680</t>
  </si>
  <si>
    <t>CAFE AT KINGSWOOD UNIT 32246</t>
  </si>
  <si>
    <t>11035</t>
  </si>
  <si>
    <t>KINGSWOOD DINING HALL 8110</t>
  </si>
  <si>
    <t>170</t>
  </si>
  <si>
    <t>13344</t>
  </si>
  <si>
    <t>DMC OB/GYN</t>
  </si>
  <si>
    <t>1421</t>
  </si>
  <si>
    <t xml:space="preserve">STACKERZ DELI INC             </t>
  </si>
  <si>
    <t>707</t>
  </si>
  <si>
    <t xml:space="preserve">SCOTTY SIMPSONS FISH &amp; CHIPS  </t>
  </si>
  <si>
    <t>14432</t>
  </si>
  <si>
    <t>BUTCHER GRILL</t>
  </si>
  <si>
    <t>214</t>
  </si>
  <si>
    <t>TRUTH VENUE</t>
  </si>
  <si>
    <t>1640</t>
  </si>
  <si>
    <t xml:space="preserve">FRANKS DINER                  </t>
  </si>
  <si>
    <t>20</t>
  </si>
  <si>
    <t>22</t>
  </si>
  <si>
    <t>Garments Days to Turn Around</t>
  </si>
  <si>
    <t>Days Between Regular Deliverys</t>
  </si>
  <si>
    <t>Special Garment pu/do</t>
  </si>
  <si>
    <t>Long Gap (8-9Days) Consider Special delivery</t>
  </si>
  <si>
    <t>Short Gap (6-7days) Consider leaving extra product</t>
  </si>
  <si>
    <t>Special invoice needed to have invoice live week</t>
  </si>
  <si>
    <t>3Day</t>
  </si>
  <si>
    <t>16264</t>
  </si>
  <si>
    <t>ANDREW'S ON THE CORNER</t>
  </si>
  <si>
    <t/>
  </si>
  <si>
    <t>7:02 AM  7:02 AM</t>
  </si>
  <si>
    <t>29550 W K SMITH DRIVE, NEW HUDSON MI 48165 US,   US</t>
  </si>
  <si>
    <t>20120 HAGGERTY ROAD, LIVONIA MI 48154 US,   US</t>
  </si>
  <si>
    <t>201 JOS CAMPAU, DETROIT MI 48207 US,   US</t>
  </si>
  <si>
    <t>9335 CONANT, HAMTRAMCK MI 48212 US,   US</t>
  </si>
  <si>
    <t>191 TOWNSEND, BIRMINGHAM MI 48009 US,   US</t>
  </si>
  <si>
    <t>46941 LIBERTY DRIVE, WIXOM MI 48393 US,   US</t>
  </si>
  <si>
    <t>28810 NORTHWESTERN HWY, SOUTHFIELD MI 48034 US,   US</t>
  </si>
  <si>
    <t>29528 NORTHWESTERN HWY, SOUTHFIELD MI 48034 US,   US</t>
  </si>
  <si>
    <t>14601 Dequindre Rd, DETROIT MI 48212 US,   US</t>
  </si>
  <si>
    <t>30445 NORTHWESTERN HWY STE 140, FARMINGTON HILLS M,   US</t>
  </si>
  <si>
    <t>855 CRANBROOK RD, BLOOMFIELD HILLS MI 48304 US,   US</t>
  </si>
  <si>
    <t>855 CRANBROOK ROAD, BLOOMFIELD HILLS MI 48304 US,   US</t>
  </si>
  <si>
    <t>8:40 AM 8:16 AM 8:19 AM 8:16 AM</t>
  </si>
  <si>
    <t>28607 WIXOM RD, WIXOM MI 48393 US,   US</t>
  </si>
  <si>
    <t>611 WOODWARD AVE, DETROIT MI 48226 US,   US</t>
  </si>
  <si>
    <t>600 E. LAFAYETTE, DETROIT MI 48226 US,   US</t>
  </si>
  <si>
    <t>1901 E. 7 MILE ROAD, DETROIT MI 48234 US,   US</t>
  </si>
  <si>
    <t>250 MCDOUGAL, DETROIT MI 48027 US,   US</t>
  </si>
  <si>
    <t>24906 VAN DYKE AVE, CENTERLINE MI 48015 US,   US</t>
  </si>
  <si>
    <t>3321 E. JEFFERSON, DETROIT MI 48207 US,   US</t>
  </si>
  <si>
    <t>33 BOB SEGAR DRIVE, CLARKSTON MI 48348 US,  US,   US</t>
  </si>
  <si>
    <t>11:46 AM 8:32 AM 10:07 AM 8:25 AM</t>
  </si>
  <si>
    <t>26150 NOVI RD, NOVI MI 48375 US,   US</t>
  </si>
  <si>
    <t>5642 W. MAPLE ROAD, WEST BLOOMFIELD MI 48322 US,   US</t>
  </si>
  <si>
    <t>25750 NOVI RD STE 104, NOVI MI 48375 US,   US</t>
  </si>
  <si>
    <t>6079 WEST MAPLE ST, WEST BLOOMFIELD MI 48322 US,   US</t>
  </si>
  <si>
    <t>20216 VAN DYKE AVENUE, DETROIT MI 48234 US,   US</t>
  </si>
  <si>
    <t>2642 WORLDGATEWAY PLACE, DETROIT MI 48242 US,   US</t>
  </si>
  <si>
    <t>3:58 PM  3:48 PM</t>
  </si>
  <si>
    <t>18000 RYAN ROAD, DETROIT MI 48234 US,   US</t>
  </si>
  <si>
    <t>27140 PLYMOUTH ROAD, REDFORD MI 48239 US,   US</t>
  </si>
  <si>
    <t>25700 PLYMOUTH RD, REDFORD TWP MI 48239 US,   US</t>
  </si>
  <si>
    <t>26400 CAPITOL, REDFORD MI 48239 US,   US</t>
  </si>
  <si>
    <t>20276 MIDDLEBELT ROAD, LIVONIA MI 48152 US,   US</t>
  </si>
  <si>
    <t>26750 W. EIGHT MILE, SOUTHFIELD MI 48034 US,   US</t>
  </si>
  <si>
    <t>23145 LAHSER INC, SOUTHFIELD MI 48033 US,   US</t>
  </si>
  <si>
    <t>22200 FENKELL, DETROIT MI 48223 US,   US</t>
  </si>
  <si>
    <t>14645 TELEGRAPH, REDFORD MI 48239 US,   US</t>
  </si>
  <si>
    <t>9613</t>
  </si>
  <si>
    <t>11037</t>
  </si>
  <si>
    <t>11036</t>
  </si>
  <si>
    <t>16267</t>
  </si>
  <si>
    <t>ALIE'S LEBANESE GRILL</t>
  </si>
  <si>
    <t>33355 VAN DYKE AVENUE, STERLING HEIGHTS MI 48312 US</t>
  </si>
  <si>
    <t>Column1</t>
  </si>
  <si>
    <t>4343 CONCOURSE DR STE 100, ANN ARBOR MI 48108 US,,,   US</t>
  </si>
  <si>
    <t>300 SOUTH MAPLE ROAD, ANN ARBOR MI 48103 US, US,,   US</t>
  </si>
  <si>
    <t>1241 S. MAPLE, ANN ARBOR MI 48103 US, US,  US,   US</t>
  </si>
  <si>
    <t>1101 M-52, CHELSEA MI 48118 US, US,  US,   US</t>
  </si>
  <si>
    <t>1886 W STADIUM, ANN ARBOR MI 48103 US, US,  US,   US</t>
  </si>
  <si>
    <t>2231 W. Liberty St., ANN ARBOR MI 48103 US, US,,   US</t>
  </si>
  <si>
    <t>420 N. MAIN ST STE 100, CHELSEA MI 48118 US, US,,   US</t>
  </si>
  <si>
    <t>Cuids</t>
  </si>
  <si>
    <t>cu_id</t>
  </si>
  <si>
    <t>Branch</t>
  </si>
  <si>
    <t>Account</t>
  </si>
  <si>
    <t>Customer</t>
  </si>
  <si>
    <t>Week</t>
  </si>
  <si>
    <t>New Route</t>
  </si>
  <si>
    <t>Old Route</t>
  </si>
  <si>
    <t>Wearer Count</t>
  </si>
  <si>
    <t>Total Assigned Garments</t>
  </si>
  <si>
    <t>Average Weekly Garment Soil Scans</t>
  </si>
  <si>
    <t>Garment Underwash</t>
  </si>
  <si>
    <t>Q1 Average</t>
  </si>
  <si>
    <t>Q1 Low Deviation</t>
  </si>
  <si>
    <t>Q1 High Deviation</t>
  </si>
  <si>
    <t>Q2 Average</t>
  </si>
  <si>
    <t>Q2 Low Deviation</t>
  </si>
  <si>
    <t>Q2 High Deviation</t>
  </si>
  <si>
    <t>Q3 Average</t>
  </si>
  <si>
    <t>Q3 Low Deviation</t>
  </si>
  <si>
    <t>Q3 High Deviation</t>
  </si>
  <si>
    <t>Q4 Average</t>
  </si>
  <si>
    <t>Q4 Low Deviation</t>
  </si>
  <si>
    <t>Q4 High Deviation</t>
  </si>
  <si>
    <t>Service Notes</t>
  </si>
  <si>
    <t>Service Minutes</t>
  </si>
  <si>
    <t>Wait Minutes</t>
  </si>
  <si>
    <t>12</t>
  </si>
  <si>
    <t>1</t>
  </si>
  <si>
    <t>3</t>
  </si>
  <si>
    <t>4</t>
  </si>
  <si>
    <t>7</t>
  </si>
  <si>
    <t>8</t>
  </si>
  <si>
    <t>2</t>
  </si>
  <si>
    <t>6</t>
  </si>
  <si>
    <t>75</t>
  </si>
  <si>
    <t>23</t>
  </si>
  <si>
    <t>100</t>
  </si>
  <si>
    <t>52</t>
  </si>
  <si>
    <t>9</t>
  </si>
  <si>
    <t>80</t>
  </si>
  <si>
    <t>44</t>
  </si>
  <si>
    <t>53</t>
  </si>
  <si>
    <t>200</t>
  </si>
  <si>
    <t>11</t>
  </si>
  <si>
    <t>120</t>
  </si>
  <si>
    <t>35</t>
  </si>
  <si>
    <t>25</t>
  </si>
  <si>
    <t>140</t>
  </si>
  <si>
    <t>21</t>
  </si>
  <si>
    <t>60</t>
  </si>
  <si>
    <t>15</t>
  </si>
  <si>
    <t>56</t>
  </si>
  <si>
    <t>28</t>
  </si>
  <si>
    <t>5</t>
  </si>
  <si>
    <t>32</t>
  </si>
  <si>
    <t>110</t>
  </si>
  <si>
    <t>49</t>
  </si>
  <si>
    <t>16</t>
  </si>
  <si>
    <t>51</t>
  </si>
  <si>
    <t>36</t>
  </si>
  <si>
    <t>27</t>
  </si>
  <si>
    <t>Street Address 1</t>
  </si>
  <si>
    <t>Street Address 2</t>
  </si>
  <si>
    <t>City</t>
  </si>
  <si>
    <t>State</t>
  </si>
  <si>
    <t>Zip</t>
  </si>
  <si>
    <t>Invoice Count</t>
  </si>
  <si>
    <t>Outside Hours Access</t>
  </si>
  <si>
    <t>Average Stop Time</t>
  </si>
  <si>
    <t>RSP StopTime Override</t>
  </si>
  <si>
    <t>00000</t>
  </si>
  <si>
    <t>MI</t>
  </si>
  <si>
    <t>00008</t>
  </si>
  <si>
    <t>95</t>
  </si>
  <si>
    <t>13</t>
  </si>
  <si>
    <t>38</t>
  </si>
  <si>
    <t>00001</t>
  </si>
  <si>
    <t>00003</t>
  </si>
  <si>
    <t>210</t>
  </si>
  <si>
    <t>00005</t>
  </si>
  <si>
    <t>290</t>
  </si>
  <si>
    <t>150</t>
  </si>
  <si>
    <t>130</t>
  </si>
  <si>
    <t>65</t>
  </si>
  <si>
    <t>0</t>
  </si>
  <si>
    <t>17</t>
  </si>
  <si>
    <t>180</t>
  </si>
  <si>
    <t xml:space="preserve">                              </t>
  </si>
  <si>
    <t>00009</t>
  </si>
  <si>
    <t>0.15</t>
  </si>
  <si>
    <t>00002</t>
  </si>
  <si>
    <t>190</t>
  </si>
  <si>
    <t>18</t>
  </si>
  <si>
    <t>00004</t>
  </si>
  <si>
    <t>00007</t>
  </si>
  <si>
    <t>0.25</t>
  </si>
  <si>
    <t>34</t>
  </si>
  <si>
    <t>1.75</t>
  </si>
  <si>
    <t>00006</t>
  </si>
  <si>
    <t>99161</t>
  </si>
  <si>
    <t>0.2</t>
  </si>
  <si>
    <t>99062</t>
  </si>
  <si>
    <t>0.13</t>
  </si>
  <si>
    <t>99061</t>
  </si>
  <si>
    <t>Current Route</t>
  </si>
  <si>
    <t>Current Delivery Day</t>
  </si>
  <si>
    <t>Stop</t>
  </si>
  <si>
    <t>Route Day</t>
  </si>
  <si>
    <t>Service Survey</t>
  </si>
  <si>
    <t>New Route Day</t>
  </si>
  <si>
    <t>Old Route Day</t>
  </si>
  <si>
    <t>Coming Or Going</t>
  </si>
  <si>
    <t>Current Route Day</t>
  </si>
  <si>
    <t>Not Finished</t>
  </si>
  <si>
    <t>zxc</t>
  </si>
  <si>
    <t>Include Changing customer in It Sequences</t>
  </si>
  <si>
    <t>Frequencies to Include for IT Sequences</t>
  </si>
  <si>
    <t>Hold/Seasonal</t>
  </si>
  <si>
    <t>RtDay for IT whole day resequence</t>
  </si>
  <si>
    <t>31</t>
  </si>
  <si>
    <t>185</t>
  </si>
  <si>
    <t>45</t>
  </si>
  <si>
    <t>39</t>
  </si>
  <si>
    <t>00037</t>
  </si>
  <si>
    <t>0.81818181818181823</t>
  </si>
  <si>
    <t>0.66666666666666663</t>
  </si>
  <si>
    <t>71M</t>
  </si>
  <si>
    <t>125</t>
  </si>
  <si>
    <t>41</t>
  </si>
  <si>
    <t>0,1,5,7,8,2,3,4,6,B1,B2,B3,B4,A1,A2,A3,A4</t>
  </si>
  <si>
    <t>29</t>
  </si>
  <si>
    <t>115</t>
  </si>
  <si>
    <t>155</t>
  </si>
  <si>
    <t>135</t>
  </si>
  <si>
    <t>85</t>
  </si>
  <si>
    <t>165</t>
  </si>
  <si>
    <t>5.98</t>
  </si>
  <si>
    <t>6.08</t>
  </si>
  <si>
    <t>Do we have Outside Hours Access</t>
  </si>
  <si>
    <t>5.52</t>
  </si>
  <si>
    <t>42</t>
  </si>
  <si>
    <t>1.9</t>
  </si>
  <si>
    <t>0.35</t>
  </si>
  <si>
    <t>1.4</t>
  </si>
  <si>
    <t>4.69</t>
  </si>
  <si>
    <t>Avg Wkly Garment Soil Scans</t>
  </si>
  <si>
    <t>88</t>
  </si>
  <si>
    <t>73</t>
  </si>
  <si>
    <t>99031</t>
  </si>
  <si>
    <t>3.92</t>
  </si>
  <si>
    <t>4.02</t>
  </si>
  <si>
    <t>122</t>
  </si>
  <si>
    <t>7.32</t>
  </si>
  <si>
    <t>7.03</t>
  </si>
  <si>
    <t>10.03</t>
  </si>
  <si>
    <t>5.72</t>
  </si>
  <si>
    <t xml:space="preserve"> </t>
  </si>
  <si>
    <t>5.32</t>
  </si>
  <si>
    <t>0.52</t>
  </si>
  <si>
    <t>Held AR 08/01/24 - 01/01/99</t>
  </si>
  <si>
    <t>78</t>
  </si>
  <si>
    <t>102</t>
  </si>
  <si>
    <t>2Day</t>
  </si>
  <si>
    <t>46</t>
  </si>
  <si>
    <t>2Day -&gt; 2Day</t>
  </si>
  <si>
    <t>3Day -&gt; 3Day</t>
  </si>
  <si>
    <t>10389</t>
  </si>
  <si>
    <t>10708</t>
  </si>
  <si>
    <t>11064</t>
  </si>
  <si>
    <t>11140</t>
  </si>
  <si>
    <t>11152</t>
  </si>
  <si>
    <t>11267</t>
  </si>
  <si>
    <t>11308</t>
  </si>
  <si>
    <t>11387</t>
  </si>
  <si>
    <t>11476</t>
  </si>
  <si>
    <t>11798</t>
  </si>
  <si>
    <t>12309</t>
  </si>
  <si>
    <t>12389</t>
  </si>
  <si>
    <t>12531</t>
  </si>
  <si>
    <t>12584</t>
  </si>
  <si>
    <t>12726</t>
  </si>
  <si>
    <t>12774</t>
  </si>
  <si>
    <t>12782</t>
  </si>
  <si>
    <t>12783</t>
  </si>
  <si>
    <t>12813</t>
  </si>
  <si>
    <t>12814</t>
  </si>
  <si>
    <t>13423</t>
  </si>
  <si>
    <t>13598</t>
  </si>
  <si>
    <t>DAVE'S GARAGE</t>
  </si>
  <si>
    <t>13734</t>
  </si>
  <si>
    <t>13771</t>
  </si>
  <si>
    <t>13943</t>
  </si>
  <si>
    <t>14082</t>
  </si>
  <si>
    <t>14109</t>
  </si>
  <si>
    <t>14360</t>
  </si>
  <si>
    <t>14712</t>
  </si>
  <si>
    <t>14883</t>
  </si>
  <si>
    <t>14965</t>
  </si>
  <si>
    <t>15765</t>
  </si>
  <si>
    <t>15861</t>
  </si>
  <si>
    <t>15982</t>
  </si>
  <si>
    <t>16063</t>
  </si>
  <si>
    <t>16132</t>
  </si>
  <si>
    <t>16133</t>
  </si>
  <si>
    <t>16411</t>
  </si>
  <si>
    <t>16471</t>
  </si>
  <si>
    <t>16478</t>
  </si>
  <si>
    <t>77</t>
  </si>
  <si>
    <t>16548</t>
  </si>
  <si>
    <t>3897</t>
  </si>
  <si>
    <t>3901</t>
  </si>
  <si>
    <t>3959</t>
  </si>
  <si>
    <t>4025</t>
  </si>
  <si>
    <t>4039</t>
  </si>
  <si>
    <t>4049</t>
  </si>
  <si>
    <t>4142</t>
  </si>
  <si>
    <t>4146</t>
  </si>
  <si>
    <t>4154</t>
  </si>
  <si>
    <t>4162</t>
  </si>
  <si>
    <t>4164</t>
  </si>
  <si>
    <t>4176</t>
  </si>
  <si>
    <t>4215</t>
  </si>
  <si>
    <t>4217</t>
  </si>
  <si>
    <t>4238</t>
  </si>
  <si>
    <t>4284</t>
  </si>
  <si>
    <t>4306</t>
  </si>
  <si>
    <t>4344</t>
  </si>
  <si>
    <t>4349</t>
  </si>
  <si>
    <t>4412</t>
  </si>
  <si>
    <t>4413</t>
  </si>
  <si>
    <t>4447</t>
  </si>
  <si>
    <t>4499</t>
  </si>
  <si>
    <t>4593</t>
  </si>
  <si>
    <t>4618</t>
  </si>
  <si>
    <t>4636</t>
  </si>
  <si>
    <t>4697</t>
  </si>
  <si>
    <t>4711</t>
  </si>
  <si>
    <t>4715</t>
  </si>
  <si>
    <t>4801</t>
  </si>
  <si>
    <t>4807</t>
  </si>
  <si>
    <t>4831</t>
  </si>
  <si>
    <t>4832</t>
  </si>
  <si>
    <t>8332</t>
  </si>
  <si>
    <t>9000</t>
  </si>
  <si>
    <t>9133</t>
  </si>
  <si>
    <t>9166</t>
  </si>
  <si>
    <t>9307</t>
  </si>
  <si>
    <t>9698</t>
  </si>
  <si>
    <t>9980</t>
  </si>
  <si>
    <t>ORTHOSPORT PHYSICAL THERAPY</t>
  </si>
  <si>
    <t>16348</t>
  </si>
  <si>
    <t>3990</t>
  </si>
  <si>
    <t>3933</t>
  </si>
  <si>
    <t>3941</t>
  </si>
  <si>
    <t>3988</t>
  </si>
  <si>
    <t>3991</t>
  </si>
  <si>
    <t>10232</t>
  </si>
  <si>
    <t>14544</t>
  </si>
  <si>
    <t>14669</t>
  </si>
  <si>
    <t>16058</t>
  </si>
  <si>
    <t>00096</t>
  </si>
  <si>
    <t>00090</t>
  </si>
  <si>
    <t>00015</t>
  </si>
  <si>
    <t>00061</t>
  </si>
  <si>
    <t>00106</t>
  </si>
  <si>
    <t>00107</t>
  </si>
  <si>
    <t>00091</t>
  </si>
  <si>
    <t>73063</t>
  </si>
  <si>
    <t>00094</t>
  </si>
  <si>
    <t>00093</t>
  </si>
  <si>
    <t>00092</t>
  </si>
  <si>
    <t>00089</t>
  </si>
  <si>
    <t>00097</t>
  </si>
  <si>
    <t>00180</t>
  </si>
  <si>
    <t>99178</t>
  </si>
  <si>
    <t>2.82</t>
  </si>
  <si>
    <t>2.31</t>
  </si>
  <si>
    <t>5.68</t>
  </si>
  <si>
    <t>8.4</t>
  </si>
  <si>
    <t>10.53</t>
  </si>
  <si>
    <t>11.88</t>
  </si>
  <si>
    <t>3.17</t>
  </si>
  <si>
    <t>4.14</t>
  </si>
  <si>
    <t>6.03</t>
  </si>
  <si>
    <t>10.6</t>
  </si>
  <si>
    <t>4.42</t>
  </si>
  <si>
    <t>13.18</t>
  </si>
  <si>
    <t>11.17</t>
  </si>
  <si>
    <t>123</t>
  </si>
  <si>
    <t>0.9</t>
  </si>
  <si>
    <t>0.63636363636363635</t>
  </si>
  <si>
    <t>16685</t>
  </si>
  <si>
    <t>16837</t>
  </si>
  <si>
    <t>16909</t>
  </si>
  <si>
    <t>0.61538461538461542</t>
  </si>
  <si>
    <t>5.4</t>
  </si>
  <si>
    <t>5.76</t>
  </si>
  <si>
    <t>7.37</t>
  </si>
  <si>
    <t>8.42</t>
  </si>
  <si>
    <t>12.73</t>
  </si>
  <si>
    <t>5.93</t>
  </si>
  <si>
    <t>14.2</t>
  </si>
  <si>
    <t>7.77</t>
  </si>
  <si>
    <t>2.28</t>
  </si>
  <si>
    <t>0.782608695652174</t>
  </si>
  <si>
    <t>7.6</t>
  </si>
  <si>
    <t>0.54545454545454541</t>
  </si>
  <si>
    <t>4.98</t>
  </si>
  <si>
    <t>4.28</t>
  </si>
  <si>
    <t>12.05</t>
  </si>
  <si>
    <t>4.79</t>
  </si>
  <si>
    <t>81</t>
  </si>
  <si>
    <t>205</t>
  </si>
  <si>
    <t>no</t>
  </si>
  <si>
    <t>Retape Message</t>
  </si>
  <si>
    <t>Cadillac Reroute</t>
  </si>
  <si>
    <t>Message</t>
  </si>
  <si>
    <t>114</t>
  </si>
  <si>
    <t>195</t>
  </si>
  <si>
    <t>11400</t>
  </si>
  <si>
    <t>HINCKA LOGGING LLC</t>
  </si>
  <si>
    <t>1985</t>
  </si>
  <si>
    <t xml:space="preserve">Shalla's                      </t>
  </si>
  <si>
    <t>1861</t>
  </si>
  <si>
    <t xml:space="preserve">CURTIS EXCAVATING             </t>
  </si>
  <si>
    <t>9279</t>
  </si>
  <si>
    <t>IMPORT &amp; DOMESTIC AUTO SERVICE</t>
  </si>
  <si>
    <t>1848</t>
  </si>
  <si>
    <t xml:space="preserve">JOANN'S FUDGE - MAC. CITY     </t>
  </si>
  <si>
    <t>1850</t>
  </si>
  <si>
    <t xml:space="preserve">THE BRIDGEVIEW 24-HR DINER    </t>
  </si>
  <si>
    <t>15998</t>
  </si>
  <si>
    <t>SAND BAY MARINA</t>
  </si>
  <si>
    <t>14511</t>
  </si>
  <si>
    <t>POSEN POST OFFICE</t>
  </si>
  <si>
    <t>14487</t>
  </si>
  <si>
    <t>AUDIE'S RESTAURANT</t>
  </si>
  <si>
    <t>16297</t>
  </si>
  <si>
    <t>BLARNEY CASTLE 648</t>
  </si>
  <si>
    <t>9732</t>
  </si>
  <si>
    <t>BLARNEY CASTLE #772</t>
  </si>
  <si>
    <t>16334</t>
  </si>
  <si>
    <t>BLARNEY CASTLE 328</t>
  </si>
  <si>
    <t>16636</t>
  </si>
  <si>
    <t>TRACTOR SUPPLY 2744</t>
  </si>
  <si>
    <t>11826</t>
  </si>
  <si>
    <t>FIRST CLASS AUTO REPAIR</t>
  </si>
  <si>
    <t>2550</t>
  </si>
  <si>
    <t xml:space="preserve">Mike Lynch Ford               </t>
  </si>
  <si>
    <t>2557</t>
  </si>
  <si>
    <t>FAMILY FARE #1502</t>
  </si>
  <si>
    <t>2563</t>
  </si>
  <si>
    <t>BISHOP CHEVROLET BUICK, INC.</t>
  </si>
  <si>
    <t>2565</t>
  </si>
  <si>
    <t xml:space="preserve">Lighthouse Restaurant         </t>
  </si>
  <si>
    <t>2567</t>
  </si>
  <si>
    <t>NAUTICAL CITY QUICK LUBE</t>
  </si>
  <si>
    <t>8565</t>
  </si>
  <si>
    <t>BLARNEY CASTLE 816</t>
  </si>
  <si>
    <t>102W</t>
  </si>
  <si>
    <t>102T</t>
  </si>
  <si>
    <t>2313</t>
  </si>
  <si>
    <t>102R</t>
  </si>
  <si>
    <t xml:space="preserve">MDOT-St. Ignace               </t>
  </si>
  <si>
    <t>2314</t>
  </si>
  <si>
    <t xml:space="preserve">Village Inn  - St. Ignace     </t>
  </si>
  <si>
    <t>2317</t>
  </si>
  <si>
    <t xml:space="preserve">MURDICK'S FUDGE ST IGNACE     </t>
  </si>
  <si>
    <t>16980</t>
  </si>
  <si>
    <t>MURDICK'S FUDGE-MACKINAW CITY</t>
  </si>
  <si>
    <t>2532</t>
  </si>
  <si>
    <t>102F</t>
  </si>
  <si>
    <t xml:space="preserve">Woodwind Restaurant           </t>
  </si>
  <si>
    <t>2536</t>
  </si>
  <si>
    <t xml:space="preserve">Manzana's Deli                </t>
  </si>
  <si>
    <t>2549</t>
  </si>
  <si>
    <t>LUTZ AUTO REPAIR LLC</t>
  </si>
  <si>
    <t>2657</t>
  </si>
  <si>
    <t xml:space="preserve">E &amp; T Party Store             </t>
  </si>
  <si>
    <t>2762</t>
  </si>
  <si>
    <t xml:space="preserve">Marshall's Fudge              </t>
  </si>
  <si>
    <t>2808</t>
  </si>
  <si>
    <t xml:space="preserve">O.N. Minerals                 </t>
  </si>
  <si>
    <t>2918</t>
  </si>
  <si>
    <t>ALPENA CRTC VECHILE MAINTENANC</t>
  </si>
  <si>
    <t>8707</t>
  </si>
  <si>
    <t>ROSA'S SQUEEZE INN</t>
  </si>
  <si>
    <t>10364</t>
  </si>
  <si>
    <t>SAND BAR &amp; GRILL</t>
  </si>
  <si>
    <t>11031</t>
  </si>
  <si>
    <t>MACKINAW CITY POPCORN FACTORY</t>
  </si>
  <si>
    <t>11516</t>
  </si>
  <si>
    <t>KILWINS/MACKINAW CITY</t>
  </si>
  <si>
    <t>17076</t>
  </si>
  <si>
    <t>102M</t>
  </si>
  <si>
    <t>BIGGBY COFFEE-INDIAN RIVER</t>
  </si>
  <si>
    <t>12619</t>
  </si>
  <si>
    <t>MASSEY FISH CO.</t>
  </si>
  <si>
    <t>13544</t>
  </si>
  <si>
    <t>ALPENA CRTC OPERATIONS</t>
  </si>
  <si>
    <t>14131</t>
  </si>
  <si>
    <t>PAC SANITATION</t>
  </si>
  <si>
    <t>14475</t>
  </si>
  <si>
    <t>PAINTER PETROLEUM</t>
  </si>
  <si>
    <t>14480</t>
  </si>
  <si>
    <t>THE THIRSTY STURGEON</t>
  </si>
  <si>
    <t>14502</t>
  </si>
  <si>
    <t>MULLIGANS RESTAURANT</t>
  </si>
  <si>
    <t>14832</t>
  </si>
  <si>
    <t>CHEBOYGAN EAGLES</t>
  </si>
  <si>
    <t>14866</t>
  </si>
  <si>
    <t>ROUTE 65 DINER</t>
  </si>
  <si>
    <t>14908</t>
  </si>
  <si>
    <t>JOHNNIE'S RESTAURANT</t>
  </si>
  <si>
    <t>14926</t>
  </si>
  <si>
    <t>HOPPIES LANDING</t>
  </si>
  <si>
    <t>15577</t>
  </si>
  <si>
    <t>BOLTON BAR</t>
  </si>
  <si>
    <t>15722</t>
  </si>
  <si>
    <t>THE WHITE BUFFALO</t>
  </si>
  <si>
    <t>15916</t>
  </si>
  <si>
    <t>LIBBY'S DOWNTOWN</t>
  </si>
  <si>
    <t>15926</t>
  </si>
  <si>
    <t>THE CLUB AT BREAKERS</t>
  </si>
  <si>
    <t>16110</t>
  </si>
  <si>
    <t>ALCOCK'S MARKET</t>
  </si>
  <si>
    <t>16113</t>
  </si>
  <si>
    <t>HIDDEN RIVER GOLF CLUB</t>
  </si>
  <si>
    <t>16242</t>
  </si>
  <si>
    <t>NORTHERN CONFECTIONS</t>
  </si>
  <si>
    <t>16445</t>
  </si>
  <si>
    <t>GRAYLING AIR GUNNERY RANGE</t>
  </si>
  <si>
    <t>16716</t>
  </si>
  <si>
    <t>BRUTUS CAMP DELI LLC</t>
  </si>
  <si>
    <t>17111</t>
  </si>
  <si>
    <t>MACKINAC STRAITS HEALTH SYSTEM</t>
  </si>
  <si>
    <t>8534</t>
  </si>
  <si>
    <t>BLARNEY CASTLE 220</t>
  </si>
  <si>
    <t>8562</t>
  </si>
  <si>
    <t>BLARNEY CASTLE 592</t>
  </si>
  <si>
    <t>8563</t>
  </si>
  <si>
    <t>BLARNEY CASTLE 600</t>
  </si>
  <si>
    <t>8564</t>
  </si>
  <si>
    <t>BLARNEY CASTLE 808</t>
  </si>
  <si>
    <t>8566</t>
  </si>
  <si>
    <t>BLARNEY CASTLE 852</t>
  </si>
  <si>
    <t>8567</t>
  </si>
  <si>
    <t>BLARNEY CASTLE 856</t>
  </si>
  <si>
    <t>8650</t>
  </si>
  <si>
    <t>BLARNEY BRANCH OFFICE</t>
  </si>
  <si>
    <t>11852</t>
  </si>
  <si>
    <t>BLARNEY CASTLE 850</t>
  </si>
  <si>
    <t>16157</t>
  </si>
  <si>
    <t>BLARNEY CASTLE EZ MART 733</t>
  </si>
  <si>
    <t>16295</t>
  </si>
  <si>
    <t>BLARNEY CASTLE 735</t>
  </si>
  <si>
    <t>16296</t>
  </si>
  <si>
    <t>BLARNEY CASTLE 596</t>
  </si>
  <si>
    <t>16335</t>
  </si>
  <si>
    <t>BLARNEY CASTLE 650</t>
  </si>
  <si>
    <t>16336</t>
  </si>
  <si>
    <t>BLARNEY CASTLE 652</t>
  </si>
  <si>
    <t>2287</t>
  </si>
  <si>
    <t>SPT. FAMILY FARE #1504</t>
  </si>
  <si>
    <t>2315</t>
  </si>
  <si>
    <t>SPT. FAMILY FARE #1530</t>
  </si>
  <si>
    <t>2262</t>
  </si>
  <si>
    <t>KEN'S VILLAGE MARKET 213</t>
  </si>
  <si>
    <t>2539</t>
  </si>
  <si>
    <t>TOM'S FAMILY MARKET 132</t>
  </si>
  <si>
    <t>14570</t>
  </si>
  <si>
    <t>ADRIAN'S SPORT SHOP</t>
  </si>
  <si>
    <t>14571</t>
  </si>
  <si>
    <t>ROGERS CITY CITGO</t>
  </si>
  <si>
    <t>14572</t>
  </si>
  <si>
    <t>MILLERSBURG MINI-MART</t>
  </si>
  <si>
    <t>11660</t>
  </si>
  <si>
    <t>TOAST-A-GO-GO</t>
  </si>
  <si>
    <t>16380</t>
  </si>
  <si>
    <t>BREAKERS TOPINABEE</t>
  </si>
  <si>
    <t>16381</t>
  </si>
  <si>
    <t>THE WIGWAM</t>
  </si>
  <si>
    <t>16899</t>
  </si>
  <si>
    <t>TORREY TAVERN LLC</t>
  </si>
  <si>
    <t>FAMILY FARE #1502 FIRST AID</t>
  </si>
  <si>
    <t>MEDILODGE OF ROGERS CITY</t>
  </si>
  <si>
    <t>ROGERS CITY POST OFFICE</t>
  </si>
  <si>
    <t xml:space="preserve">Dixie Saloon Food &amp; Spirits   </t>
  </si>
  <si>
    <t xml:space="preserve">DARROW'S FAMILY RESTAURANT    </t>
  </si>
  <si>
    <t>WIENERLICIOUS</t>
  </si>
  <si>
    <t xml:space="preserve">Hideaway Bar                  </t>
  </si>
  <si>
    <t>10328</t>
  </si>
  <si>
    <t>12492</t>
  </si>
  <si>
    <t>13581</t>
  </si>
  <si>
    <t>13670</t>
  </si>
  <si>
    <t>14858</t>
  </si>
  <si>
    <t>16102</t>
  </si>
  <si>
    <t>17095</t>
  </si>
  <si>
    <t>2258</t>
  </si>
  <si>
    <t>2276</t>
  </si>
  <si>
    <t>2873</t>
  </si>
  <si>
    <t>2898</t>
  </si>
  <si>
    <t>2933</t>
  </si>
  <si>
    <t>9098</t>
  </si>
  <si>
    <t>10862</t>
  </si>
  <si>
    <t>11217</t>
  </si>
  <si>
    <t>12053</t>
  </si>
  <si>
    <t>12585</t>
  </si>
  <si>
    <t>12616</t>
  </si>
  <si>
    <t>12751</t>
  </si>
  <si>
    <t>13055</t>
  </si>
  <si>
    <t>13227</t>
  </si>
  <si>
    <t>14554</t>
  </si>
  <si>
    <t>15834</t>
  </si>
  <si>
    <t>16059</t>
  </si>
  <si>
    <t>16270</t>
  </si>
  <si>
    <t>1896</t>
  </si>
  <si>
    <t>2270</t>
  </si>
  <si>
    <t>2283</t>
  </si>
  <si>
    <t>2291</t>
  </si>
  <si>
    <t>2295</t>
  </si>
  <si>
    <t>2302</t>
  </si>
  <si>
    <t>2303</t>
  </si>
  <si>
    <t>8702</t>
  </si>
  <si>
    <t>8748</t>
  </si>
  <si>
    <t>12285</t>
  </si>
  <si>
    <t>13139</t>
  </si>
  <si>
    <t>14510</t>
  </si>
  <si>
    <t>15760</t>
  </si>
  <si>
    <t>15988</t>
  </si>
  <si>
    <t>17141</t>
  </si>
  <si>
    <t>1907</t>
  </si>
  <si>
    <t>2535</t>
  </si>
  <si>
    <t>2540</t>
  </si>
  <si>
    <t>2544</t>
  </si>
  <si>
    <t>2552</t>
  </si>
  <si>
    <t>2556</t>
  </si>
  <si>
    <t>2874</t>
  </si>
  <si>
    <t>2876</t>
  </si>
  <si>
    <t>2992</t>
  </si>
  <si>
    <t>10861</t>
  </si>
  <si>
    <t>11439</t>
  </si>
  <si>
    <t>11508</t>
  </si>
  <si>
    <t>11659</t>
  </si>
  <si>
    <t>12612</t>
  </si>
  <si>
    <t>12632</t>
  </si>
  <si>
    <t>12635</t>
  </si>
  <si>
    <t>13078</t>
  </si>
  <si>
    <t>13700</t>
  </si>
  <si>
    <t>13967</t>
  </si>
  <si>
    <t>15575</t>
  </si>
  <si>
    <t>15940</t>
  </si>
  <si>
    <t>16424</t>
  </si>
  <si>
    <t>1847</t>
  </si>
  <si>
    <t>1851</t>
  </si>
  <si>
    <t>1852</t>
  </si>
  <si>
    <t>1873</t>
  </si>
  <si>
    <t>2268</t>
  </si>
  <si>
    <t>2271</t>
  </si>
  <si>
    <t>2316</t>
  </si>
  <si>
    <t>2319</t>
  </si>
  <si>
    <t>2320</t>
  </si>
  <si>
    <t>2323</t>
  </si>
  <si>
    <t>2324</t>
  </si>
  <si>
    <t>2798</t>
  </si>
  <si>
    <t>3001</t>
  </si>
  <si>
    <t>14760</t>
  </si>
  <si>
    <t>15726</t>
  </si>
  <si>
    <t>2007</t>
  </si>
  <si>
    <t>2061</t>
  </si>
  <si>
    <t>2553</t>
  </si>
  <si>
    <t>2654</t>
  </si>
  <si>
    <t>2781</t>
  </si>
  <si>
    <t>2793</t>
  </si>
  <si>
    <t>2818</t>
  </si>
  <si>
    <t>2857</t>
  </si>
  <si>
    <t>9052</t>
  </si>
  <si>
    <t>Retape to: 102F Cadillac Reroute</t>
  </si>
  <si>
    <t>Retape to: 102R Cadillac Reroute</t>
  </si>
  <si>
    <t>Retape to: 102T Cadillac Reroute</t>
  </si>
  <si>
    <t>Retape to: 102W Cadillac Reroute</t>
  </si>
  <si>
    <t>2879</t>
  </si>
  <si>
    <t xml:space="preserve">DUNCAN BAY BOAT CLUB          </t>
  </si>
  <si>
    <t>14520</t>
  </si>
  <si>
    <t>ONAWAY IMAGING DEPARTMENT</t>
  </si>
  <si>
    <t>14698</t>
  </si>
  <si>
    <t>TOM'S FAMILY MARKET F.A.</t>
  </si>
  <si>
    <t>16517</t>
  </si>
  <si>
    <t>TUBE FAB ROMAN ENGINEERING</t>
  </si>
  <si>
    <t>PIER M33 ON THE CHEBOYGAN</t>
  </si>
  <si>
    <t xml:space="preserve">Eagles - Millersburg          </t>
  </si>
  <si>
    <t>THREE CEDARS RESTAURANT</t>
  </si>
  <si>
    <t>AWAKON FCU-ROGER CITY</t>
  </si>
  <si>
    <t>ROGERS CITY ACE HARDWARE</t>
  </si>
  <si>
    <t>HILLTOP MANOR</t>
  </si>
  <si>
    <t>2546</t>
  </si>
  <si>
    <t>Thunder Bay Health - Rogers Ci</t>
  </si>
  <si>
    <t xml:space="preserve">Chee Peng Restaurant          </t>
  </si>
  <si>
    <t>ALPENA ALCONA CU-ROGERS CITY</t>
  </si>
  <si>
    <t>UP NORTH 23</t>
  </si>
  <si>
    <t>HOPE SHORES ALLIANCE</t>
  </si>
  <si>
    <t>2564</t>
  </si>
  <si>
    <t>CHEBOYGAN LIFE SUPPORT</t>
  </si>
  <si>
    <t xml:space="preserve">GOODRICH PAVING               </t>
  </si>
  <si>
    <t>2214</t>
  </si>
  <si>
    <t>APS HINKS ELEMENTARY SCHOOL</t>
  </si>
  <si>
    <t>2653</t>
  </si>
  <si>
    <t xml:space="preserve">FIRST MERIT BANK 0100217     </t>
  </si>
  <si>
    <t>ALPENA ALCONA CU-POSEN</t>
  </si>
  <si>
    <t>PRESQUE ISLE TOWNSHIP</t>
  </si>
  <si>
    <t>MALE'S GROCERY, INC.</t>
  </si>
  <si>
    <t xml:space="preserve">Benjey Grinding Shop          </t>
  </si>
  <si>
    <t>THUNDER BAY HEALTH-CHEBOYGAN</t>
  </si>
  <si>
    <t xml:space="preserve">American Legion Post 159      </t>
  </si>
  <si>
    <t>SHEPLER FERRY-MACKINAW</t>
  </si>
  <si>
    <t>BIG BOY RESTAURANT</t>
  </si>
  <si>
    <t xml:space="preserve">Straits Area Printing         </t>
  </si>
  <si>
    <t xml:space="preserve">Modern Pharmacy               </t>
  </si>
  <si>
    <t xml:space="preserve">NICOLET BANK - CHEBOYGAN     </t>
  </si>
  <si>
    <t>ALPENA ALCONA CU-CHEBOYGAN</t>
  </si>
  <si>
    <t xml:space="preserve">NONNA LISA                    </t>
  </si>
  <si>
    <t>THE HISTORIC DEPOT</t>
  </si>
  <si>
    <t>THE LIGHTHOUSE RESTAURANT</t>
  </si>
  <si>
    <t>MACKINAW COFFEE</t>
  </si>
  <si>
    <t>THE HOOK</t>
  </si>
  <si>
    <t>SPT. FAM FARE #1504 FIRST AID</t>
  </si>
  <si>
    <t>ARBY'S</t>
  </si>
  <si>
    <t>16638</t>
  </si>
  <si>
    <t>STEP INN</t>
  </si>
  <si>
    <t>TENDERCARE</t>
  </si>
  <si>
    <t>MICKEY'S MINI MART</t>
  </si>
  <si>
    <t>THE BIG DIPPER</t>
  </si>
  <si>
    <t>MAIN STREET FITNESS</t>
  </si>
  <si>
    <t xml:space="preserve">Key Hole Bar                  </t>
  </si>
  <si>
    <t>SUBWAY-CHEBOYGAN</t>
  </si>
  <si>
    <t xml:space="preserve">Kelly's Venture Inn           </t>
  </si>
  <si>
    <t>2943</t>
  </si>
  <si>
    <t xml:space="preserve">THUNDER BAY HEALTH            </t>
  </si>
  <si>
    <t>AWAKON FCU-ONWAY</t>
  </si>
  <si>
    <t>14550</t>
  </si>
  <si>
    <t>211 BAR &amp; GRILL</t>
  </si>
  <si>
    <t>1858</t>
  </si>
  <si>
    <t>STATE STREET DAIRY</t>
  </si>
  <si>
    <t xml:space="preserve">ONAWAY AUTO SALES             </t>
  </si>
  <si>
    <t>2531</t>
  </si>
  <si>
    <t xml:space="preserve">THUNDER BAY HEALTH - HS       </t>
  </si>
  <si>
    <t xml:space="preserve">City of Onaway - City Hall    </t>
  </si>
  <si>
    <t>9027 W LONG LAKE RD, ALPENA MI 49707 US</t>
  </si>
  <si>
    <t>06:33:15  06:23:38</t>
  </si>
  <si>
    <t>556 EAST CENTUZL, MACKINAW CITY MI 49701 US</t>
  </si>
  <si>
    <t>09:38:22 09:52:39 09:52:29 08:12:01</t>
  </si>
  <si>
    <t>Held 10/31/24 - 05/01/25</t>
  </si>
  <si>
    <t>301 E. CENTRAL, MACKINAW MI 49701 US</t>
  </si>
  <si>
    <t>07:55:01</t>
  </si>
  <si>
    <t>905 W. LINCOLN, CHEBOYGAN MI 49721 US</t>
  </si>
  <si>
    <t>08:38:58  08:53:05</t>
  </si>
  <si>
    <t>10881 Michigan Ave, POSEN MI 49776 US</t>
  </si>
  <si>
    <t>488</t>
  </si>
  <si>
    <t>06:54:35 07:58:34 07:16:08 07:55:34</t>
  </si>
  <si>
    <t>226 E. CENTRAL AVE, MACKINAW CITY MI 49701 US</t>
  </si>
  <si>
    <t>09:08:28 09:38:03 09:22:35 07:57:25</t>
  </si>
  <si>
    <t>Held 10/15/24 - 05/01/25</t>
  </si>
  <si>
    <t>102 E. CENTRAL, MACKINAW CITY MI 49701 US</t>
  </si>
  <si>
    <t>07:56:25 07:56:25 07:56:25 07:56:25</t>
  </si>
  <si>
    <t>Held 10/22/24 - 05/01/25</t>
  </si>
  <si>
    <t>416 S. HURON, MACKINAW CITY MI 49701 US</t>
  </si>
  <si>
    <t>09:05:40 09:35:14 09:19:46 07:54:36</t>
  </si>
  <si>
    <t>498 S 6TH STREET, ROGER CITY MI 49779 US</t>
  </si>
  <si>
    <t>10:37:21 10:54:57 10:48:31 10:31:50</t>
  </si>
  <si>
    <t>718 S HURON, MACKINAW CITY MI 49701 US</t>
  </si>
  <si>
    <t>09:03:41 09:33:16 09:17:48 08:45:35</t>
  </si>
  <si>
    <t>530 NORTH 3RD, ROGER CITY MI 49779 US</t>
  </si>
  <si>
    <t>10:01:22  10:00:38</t>
  </si>
  <si>
    <t>Held COVID 12/18/24 - 04/01/25</t>
  </si>
  <si>
    <t>302 SOUTH HURON, MACKINAW CITY MI 49701 US</t>
  </si>
  <si>
    <t>09:07:26 09:37:00 09:21:33 07:56:23</t>
  </si>
  <si>
    <t>248 S. HURON, MACKINAW CITY MI 49701 US</t>
  </si>
  <si>
    <t>09:07:38 09:37:13 09:21:45 07:56:35</t>
  </si>
  <si>
    <t>Held 09/04/24 - 05/01/25</t>
  </si>
  <si>
    <t>201 S. HURON, MACKINAW CITY MI 49701 US</t>
  </si>
  <si>
    <t>09:07:00 09:36:35 09:21:07 07:55:57</t>
  </si>
  <si>
    <t>Held 10/19/23 - 05/01/25</t>
  </si>
  <si>
    <t>992 S. MAIN, CHEBOYGAN MI 49721 US</t>
  </si>
  <si>
    <t>08:23:01 07:49:37 08:37:08 09:43:41</t>
  </si>
  <si>
    <t>100 S. BRADLEY HWY., ROGERS CITY MI 49779 US</t>
  </si>
  <si>
    <t>09:51:54 09:07:00 10:03:05 09:23:06</t>
  </si>
  <si>
    <t>840 SOUTH MAIN, CHEBOYGAN MI 49721 US</t>
  </si>
  <si>
    <t>07:38:10 08:42:08 07:52:16 10:22:13</t>
  </si>
  <si>
    <t>1273 M-211, ONAWAY MI 49765 US</t>
  </si>
  <si>
    <t>08:23:14 07:38:56 08:34:25 07:38:56</t>
  </si>
  <si>
    <t>4016 MICHIGAN AVENUE, ONAWAY MI 49765 US</t>
  </si>
  <si>
    <t>07:56:12 07:12:14 08:02:39 07:16:20</t>
  </si>
  <si>
    <t>314 N. STREET, MACKINAC CITY MI 49701 US</t>
  </si>
  <si>
    <t>08:08:28 07:59:41 08:08:28 07:59:41</t>
  </si>
  <si>
    <t>320 NORTH MAIN, CHEBOYGAN MI 49721 US</t>
  </si>
  <si>
    <t>07:28:16 09:01:07 07:28:16 09:03:24</t>
  </si>
  <si>
    <t>188 N. THIRD ST., ROGERS CITY MI 49779 US</t>
  </si>
  <si>
    <t>10:29:15 10:37:51 10:40:25 10:14:44</t>
  </si>
  <si>
    <t>10933 MICHIGAN AVE., POSEN MI 49776 US</t>
  </si>
  <si>
    <t>06:46:11 08:08:57 06:57:11 08:05:57</t>
  </si>
  <si>
    <t>21258 W. M-68 HWY, ONAWAY MI 49765 US</t>
  </si>
  <si>
    <t>08:02:45 07:18:46 08:09:12 07:12:46</t>
  </si>
  <si>
    <t>3444 M-21, ONAWAY MI 49765 US</t>
  </si>
  <si>
    <t>08:41:20  08:52:30</t>
  </si>
  <si>
    <t>404 S. HURON AVE, MACKINAC CITY MI 49701 US</t>
  </si>
  <si>
    <t>09:06:02  09:20:09</t>
  </si>
  <si>
    <t>Held 09/26/24 - 05/01/25</t>
  </si>
  <si>
    <t>335 N. BRADLEY HWY., ROGERS CITY MI 49779 US</t>
  </si>
  <si>
    <t>09:29:29  09:28:45</t>
  </si>
  <si>
    <t>159 S. 3RD STREET, ROGERS CITY MI 49779 US</t>
  </si>
  <si>
    <t>10:43:55  10:20:47</t>
  </si>
  <si>
    <t>5285 MAIN ST., MILLERSBURG MI 49759 US</t>
  </si>
  <si>
    <t>07:00:07  07:00:07</t>
  </si>
  <si>
    <t>20597 STATE ST, ONAWAY MI 49765 US</t>
  </si>
  <si>
    <t>07:37:12 07:33:59 07:43:39 07:33:59</t>
  </si>
  <si>
    <t>6811 LONG RAPIDS ROAD, ALPENA MI 49707 US</t>
  </si>
  <si>
    <t>08:44:20</t>
  </si>
  <si>
    <t>626 N.MAIN, CHEBOYGAN MI 49707 US</t>
  </si>
  <si>
    <t>09:09:08  07:28:30</t>
  </si>
  <si>
    <t>10760 MICHIGAN AVE, POSEN MI 49776 US</t>
  </si>
  <si>
    <t>07:26:20</t>
  </si>
  <si>
    <t>9101 S. BOLTON RD, POSEN MI 49776 US</t>
  </si>
  <si>
    <t>08:29:04  08:26:04</t>
  </si>
  <si>
    <t>312 E. CENTRAL AVENUE, MACKINAC CITY MI 49701 US</t>
  </si>
  <si>
    <t>09:23:22 09:39:57 09:37:29 07:59:19</t>
  </si>
  <si>
    <t>Held 12/18/24 - 05/01/25</t>
  </si>
  <si>
    <t>12653 E. GRAND LAKE ROAD, PRESQUE ISLE MI 49777 US</t>
  </si>
  <si>
    <t>06:53:22</t>
  </si>
  <si>
    <t>380 N. THIRD STREET, ROGERS CITY MI 49779 US</t>
  </si>
  <si>
    <t>10:15:58</t>
  </si>
  <si>
    <t>836 S. MAIN STREET, CHEBOYGAN MI 49721 US</t>
  </si>
  <si>
    <t>07:50:14</t>
  </si>
  <si>
    <t>411 NORTH MAIN, CHEBOYGAN MI 49721 US</t>
  </si>
  <si>
    <t>07:28:07 09:08:15 07:28:07 09:03:16</t>
  </si>
  <si>
    <t>Held 12/18/24 - 03/01/25</t>
  </si>
  <si>
    <t>5388 MAIN STREET, MILLERSBURG MI 49759 US</t>
  </si>
  <si>
    <t>06:59:52</t>
  </si>
  <si>
    <t>14019 US-23 SOUTH, PRESQUE ISLE MI 49777 US</t>
  </si>
  <si>
    <t>08:25:48 07:12:37 08:55:21 07:09:37</t>
  </si>
  <si>
    <t>Held 11/12/24 - 04/01/25</t>
  </si>
  <si>
    <t>405 N. MAIN C, CHEBOYGAN MI 49721 US</t>
  </si>
  <si>
    <t>09:03:15</t>
  </si>
  <si>
    <t>Held 11/14/24 - 05/01/25</t>
  </si>
  <si>
    <t>523 MACKINAC AVENUE, CHEBOYGAN MI 49721 US</t>
  </si>
  <si>
    <t>10:28:44 09:16:18 10:42:50 09:02:23</t>
  </si>
  <si>
    <t>21016 M-68 HWY 12218 WEST S. BOX 246, ONAWAY MI 49</t>
  </si>
  <si>
    <t>08:08:18 07:22:20 08:17:45 07:12:14</t>
  </si>
  <si>
    <t>428 N. MAIN STREET, CHEBOYGAN MI 49753 US</t>
  </si>
  <si>
    <t>09:03:07</t>
  </si>
  <si>
    <t>101 MICHIGAN AVE, ONAWAY MI 49765 US</t>
  </si>
  <si>
    <t>07:56:01 07:12:03 08:02:28 07:12:03</t>
  </si>
  <si>
    <t>101 JAMET ST, MACKINAW CITY MI 49701 US</t>
  </si>
  <si>
    <t>10:54:03 10:59:34 10:54:03 10:58:57</t>
  </si>
  <si>
    <t>95851 N STRAITS HWY, CHEBOYGAN MI 49721 US</t>
  </si>
  <si>
    <t>07:49:35 08:16:10 08:03:42 09:56:15</t>
  </si>
  <si>
    <t>Held 09/09/24 - 10/14/24</t>
  </si>
  <si>
    <t>604 MAIN ST, CHEBOYGAN MI 49721 US</t>
  </si>
  <si>
    <t>10:29:19 09:15:32 10:43:25 07:34:55</t>
  </si>
  <si>
    <t>1715 M-68 EAST, AFTON MI 49705 US</t>
  </si>
  <si>
    <t>12:01:19 07:15:59 07:15:59 07:15:59</t>
  </si>
  <si>
    <t>1015 M-68, ROGERS CITY MI 49779 US</t>
  </si>
  <si>
    <t>09:09:41 08:21:10 09:20:51 08:21:10</t>
  </si>
  <si>
    <t>325 N MAIN STREET, CHEBOYGAN MI 49721 US</t>
  </si>
  <si>
    <t>09:01:06  09:10:26</t>
  </si>
  <si>
    <t>190 S. HURON AVE, MACKINAW CITY MI 49701 US</t>
  </si>
  <si>
    <t>09:09:14 09:38:48 09:23:21 07:58:11</t>
  </si>
  <si>
    <t>Held 09/11/24 - 05/01/25</t>
  </si>
  <si>
    <t>1140 N. STATE STREET, ST. IGNACE MI 49781 US</t>
  </si>
  <si>
    <t>643 W. ERIE STREET, ROGERS CITY MI 49779 US</t>
  </si>
  <si>
    <t>08:43:10</t>
  </si>
  <si>
    <t>301 N. LOUVINGNY P.O.BOX 857, MACKINAW CITY MI 497</t>
  </si>
  <si>
    <t>08:07:30 07:58:43 08:07:30 07:58:43</t>
  </si>
  <si>
    <t>Held 10/17/24 - 05/01/25</t>
  </si>
  <si>
    <t>303 E. CENTRAL AVE., MACKINAW CITY MI 49701 US</t>
  </si>
  <si>
    <t>07:55:01 07:55:01 07:55:01 07:55:01</t>
  </si>
  <si>
    <t>Held 10/24/24 - 05/01/25</t>
  </si>
  <si>
    <t>110 W. CENTRAL, MACKINAW CITY MI 49701 US</t>
  </si>
  <si>
    <t>07:57:36 07:57:36 07:57:36 07:57:36</t>
  </si>
  <si>
    <t>Held 09/20/24 - 05/01/25</t>
  </si>
  <si>
    <t>20560 STATE ST, ONAWAY MI 49765 US</t>
  </si>
  <si>
    <t>07:22:32  07:28:59</t>
  </si>
  <si>
    <t>Held AR 10/18/24 - 05/01/25</t>
  </si>
  <si>
    <t>501 PARK DR, ROGERS CITY MI 49779 US</t>
  </si>
  <si>
    <t>08:05:13 07:27:11 08:34:46 07:24:11</t>
  </si>
  <si>
    <t>312 S. HURON, MACKINAW CITY MI 49701 US</t>
  </si>
  <si>
    <t>09:06:11 09:35:45 09:20:17 07:55:07</t>
  </si>
  <si>
    <t>Held 10/10/24 - 05/01/25</t>
  </si>
  <si>
    <t>21061 M-68, ONAWAY MI 49765 US</t>
  </si>
  <si>
    <t>08:14:37</t>
  </si>
  <si>
    <t>326 Long Lake Ave, Alpena MI 49707 US</t>
  </si>
  <si>
    <t>09:06:19 06:02:22 09:35:52 09:26:36</t>
  </si>
  <si>
    <t>5614 WESSEL RD., ALPENA MI 49707 US</t>
  </si>
  <si>
    <t>06:07:45</t>
  </si>
  <si>
    <t>7667 US-23, ALPENA MI 49707 US</t>
  </si>
  <si>
    <t>06:43:41  06:34:03</t>
  </si>
  <si>
    <t>401 E. Central, Mackinaw City MI 49701 US</t>
  </si>
  <si>
    <t>07:43:29 07:43:29 07:43:29 07:43:29</t>
  </si>
  <si>
    <t>106 South Huron, Mackinaw City MI 49701 US</t>
  </si>
  <si>
    <t>09:33:50  09:47:56</t>
  </si>
  <si>
    <t>323 Central Ave., Mackinaw City MI 49701 US</t>
  </si>
  <si>
    <t>07:58:07  07:58:07</t>
  </si>
  <si>
    <t>1005 S MAIN ST, Cheboygan MI 49721 US</t>
  </si>
  <si>
    <t>07:59:43</t>
  </si>
  <si>
    <t>992 S. MAIN 992 S MAIN ST, CHEBOYGAN MI 49721 US</t>
  </si>
  <si>
    <t>08:02:01 07:28:37 08:16:08 09:22:41</t>
  </si>
  <si>
    <t>861 S MAIN ST, Cheboygan MI 49721 US</t>
  </si>
  <si>
    <t>08:36:34  10:16:39</t>
  </si>
  <si>
    <t>313 LaFayette Ave, Cheboygan MI 49721 US</t>
  </si>
  <si>
    <t>07:20:41</t>
  </si>
  <si>
    <t>127 N. Main Street, Cheboygan MI 49721 US</t>
  </si>
  <si>
    <t>08:52:31  09:10:55</t>
  </si>
  <si>
    <t>350 S. MAIN ST., CHEBOYGAN MI 49721 US</t>
  </si>
  <si>
    <t>07:36:35</t>
  </si>
  <si>
    <t>4549 M 33 SBHC-HIGH SCHOOL, ONAWAY MI 49765 US</t>
  </si>
  <si>
    <t>07:41:51  07:48:18</t>
  </si>
  <si>
    <t>20812 WASHINGTON AV, Onaway MI 49765 US</t>
  </si>
  <si>
    <t>08:14:52 07:22:53 08:24:19 07:22:53</t>
  </si>
  <si>
    <t>12551 Orcutt Hwy., Millersburg MI 49759 US</t>
  </si>
  <si>
    <t>07:16:14</t>
  </si>
  <si>
    <t>4068 Michigan Ave., Onaway MI 49765 US</t>
  </si>
  <si>
    <t>07:48:50 07:04:51 07:55:17 07:04:51</t>
  </si>
  <si>
    <t>20597 STATE ST, Onaway MI 49765 US</t>
  </si>
  <si>
    <t>07:32:12 07:28:59 07:38:39 07:28:59</t>
  </si>
  <si>
    <t>20774 Historical Courthouse P.O. Box 761, Onaway M</t>
  </si>
  <si>
    <t>08:29:48</t>
  </si>
  <si>
    <t>1040 M-68, ROGERS CITY MI 49779 US</t>
  </si>
  <si>
    <t>08:17:27  08:17:27</t>
  </si>
  <si>
    <t>205 S Bradley, ROGERS CITY MI 49779 US</t>
  </si>
  <si>
    <t>09:09:09  08:39:45</t>
  </si>
  <si>
    <t>5613 US-23 North, Rogers City MI 49779 US</t>
  </si>
  <si>
    <t>11:05:07 11:24:49 11:19:13 11:07:39</t>
  </si>
  <si>
    <t>135 N. Bradley Hwy, Roger City MI 49779 US</t>
  </si>
  <si>
    <t>09:09:49 08:21:18 09:21:00 08:21:18</t>
  </si>
  <si>
    <t>119 W. Third St., Rogers City MI 49779 US</t>
  </si>
  <si>
    <t>09:59:05  09:58:21</t>
  </si>
  <si>
    <t>3090 US-23 North, Rogers City MI 49779 US</t>
  </si>
  <si>
    <t>07:53:17</t>
  </si>
  <si>
    <t>478 N. Third St., Rogers City MI 49779 US</t>
  </si>
  <si>
    <t>10:01:32</t>
  </si>
  <si>
    <t>09:28:54 08:44:00 09:40:05 09:00:06</t>
  </si>
  <si>
    <t>420 US 23, Rogers City MI 49779 US</t>
  </si>
  <si>
    <t>09:57:37 09:41:51 10:08:48 09:41:07</t>
  </si>
  <si>
    <t>500 PARK DR, ROGERS CITY MI 49779 US</t>
  </si>
  <si>
    <t>07:59:06  08:28:39</t>
  </si>
  <si>
    <t>377 N. Third St., Rogers City MI 49779 US</t>
  </si>
  <si>
    <t>10:15:34 10:24:11 10:26:45 10:01:03</t>
  </si>
  <si>
    <t>100 N. Bradley Hwy., Rogers City MI 49779 US</t>
  </si>
  <si>
    <t>09:53:39 08:39:41 10:04:50 09:24:51</t>
  </si>
  <si>
    <t>10875 Michigan Ave 101 N. Washington Ave., Posen M</t>
  </si>
  <si>
    <t>06:54:34  07:16:07</t>
  </si>
  <si>
    <t>10514 N. Michigan, Posen MI 49776 US</t>
  </si>
  <si>
    <t>06:41:52</t>
  </si>
  <si>
    <t>7090 State St., Posen MI 49776 US</t>
  </si>
  <si>
    <t>07:05:33</t>
  </si>
  <si>
    <t>308 E. Central Ave., Mackinaw City MI 49701 US</t>
  </si>
  <si>
    <t>09:10:19  09:24:26</t>
  </si>
  <si>
    <t>108 E. Herman St., Alpena MI 49707 US</t>
  </si>
  <si>
    <t>06:00:27</t>
  </si>
  <si>
    <t>10085 US 23, Alpena MI 49707 US</t>
  </si>
  <si>
    <t>08:39:40 06:52:45 09:09:13 06:43:08</t>
  </si>
  <si>
    <t>1035 Calcite Rd., Rogers City MI 49779 US</t>
  </si>
  <si>
    <t>07:34:35  08:04:08</t>
  </si>
  <si>
    <t>279 US 23, ROGER CITY MI 49779 US</t>
  </si>
  <si>
    <t>09:20:25  08:51:01</t>
  </si>
  <si>
    <t>20855 WASHINGTON AVE, ONWAY MI 49765 US</t>
  </si>
  <si>
    <t>08:08:46  08:18:13</t>
  </si>
  <si>
    <t>902 BOAT CLUB DRIVE P.O. BOX 6041, CHEBOYGAN MI 49</t>
  </si>
  <si>
    <t>07:22:14 10:49:04 07:22:14 07:22:14</t>
  </si>
  <si>
    <t>Held Seasonal 10/04/24 - 05/01/25</t>
  </si>
  <si>
    <t>21258 W M-68 HWY PO Box 722, ONAWAY MI 49765 US</t>
  </si>
  <si>
    <t>08:05:45  08:12:12</t>
  </si>
  <si>
    <t>555 N BRADLEY HWY STE D, ROGER CITY MI 49779 US</t>
  </si>
  <si>
    <t>10:08:47 09:53:00 10:19:58 09:52:16</t>
  </si>
  <si>
    <t>912 S. MAIN ST, CHEBOYGAN MI 49721 US</t>
  </si>
  <si>
    <t>07:52:50 07:50:55 08:06:56 09:44:58</t>
  </si>
  <si>
    <t>101 S. BRADLEY HWY, ROGERS CITY MI 49779 US</t>
  </si>
  <si>
    <t>09:13:51 08:25:20 09:25:01 08:25:20</t>
  </si>
  <si>
    <t>824 S. HURON ST., CHEBOYGAN MI 49721 US</t>
  </si>
  <si>
    <t>08:25:53  08:40:00</t>
  </si>
  <si>
    <t>16454 US 23 N, MILLERSBURG MI 49759 US</t>
  </si>
  <si>
    <t>10:54:46 06:57:05 11:08:52 10:57:19</t>
  </si>
  <si>
    <t>9500 N. M-33, CHEBOYGAN MI 49721 US</t>
  </si>
  <si>
    <t>08:16:57  09:57:02</t>
  </si>
  <si>
    <t>6201 US 23 N, ALPENA MI 49707 US</t>
  </si>
  <si>
    <t>08:50:33 06:20:13 09:20:06 06:10:36</t>
  </si>
  <si>
    <t>10706 MICHIGAN AVE POSEN EZ MART #772, POSEN MI 49</t>
  </si>
  <si>
    <t>07:04:54 07:47:15 07:32:27 07:44:15</t>
  </si>
  <si>
    <t>RUSTY SAW TAVERN</t>
  </si>
  <si>
    <t>3459 US 31, BRUTUS MI 49716 US</t>
  </si>
  <si>
    <t>09:52:29 08:58:42 09:01:08 10:27:59</t>
  </si>
  <si>
    <t>Held COVID 01/30/25 - 05/01/25</t>
  </si>
  <si>
    <t>SHEPLER FERRY-ST IGNACE</t>
  </si>
  <si>
    <t>601 NORTH STATE ST, ST IGNACE MI 49781 US</t>
  </si>
  <si>
    <t>08:41:54 08:33:07 08:41:54 09:36:31</t>
  </si>
  <si>
    <t>Held 12/27/24 - 05/01/25</t>
  </si>
  <si>
    <t>THE GREAT TURTLE BREWING &amp; DIS</t>
  </si>
  <si>
    <t>1359 HOBAN ST VIA-STARLINE MACKNIAW CITY, MACKINAW</t>
  </si>
  <si>
    <t>09:25:24 09:30:55 09:25:24 08:59:50</t>
  </si>
  <si>
    <t>ISLAND HOUSE HOTEL</t>
  </si>
  <si>
    <t>6966 MAIN ST VIA-ARNOLD LINE, MACKINAC ISLAND MI 4</t>
  </si>
  <si>
    <t>Held 10/21/24 - 05/01/25</t>
  </si>
  <si>
    <t>98 W. US 2, ST. IGNACE MI 49781 US</t>
  </si>
  <si>
    <t>10:11:46 10:17:17 10:11:46 10:16:41</t>
  </si>
  <si>
    <t>MODERN PHARMACY</t>
  </si>
  <si>
    <t>3944 SOUTH STRAITS HWY, INDIAN RIVER MI 49749 US</t>
  </si>
  <si>
    <t>11:27:10  10:26:40</t>
  </si>
  <si>
    <t>MIGHTY MAC</t>
  </si>
  <si>
    <t>7315 MAIN ST, MACKINAW ISLAND MI 49757 US</t>
  </si>
  <si>
    <t>1442 W. ROAD, ST IGNACE MI 49781 US</t>
  </si>
  <si>
    <t>08:38:01  09:43:08</t>
  </si>
  <si>
    <t>VERDE'S</t>
  </si>
  <si>
    <t>7263 MAIN STREET, MACKINAW ISLAND MI 49757 US</t>
  </si>
  <si>
    <t>Held 09/06/24 - 05/01/25</t>
  </si>
  <si>
    <t>LEHTOS</t>
  </si>
  <si>
    <t>626 N STATE, ST IGNACE MI 49781 US</t>
  </si>
  <si>
    <t>08:50:55  09:54:18</t>
  </si>
  <si>
    <t>Held 01/01/25 - 04/01/25</t>
  </si>
  <si>
    <t>SPT. FAMILY FARE #1530 FIRST A</t>
  </si>
  <si>
    <t>699 US 2, ST. IGNACE MI 49781 US</t>
  </si>
  <si>
    <t>09:57:08 10:02:39 09:57:08 08:46:00</t>
  </si>
  <si>
    <t>5884 A STREET, ALPENA MI 49707 US</t>
  </si>
  <si>
    <t>06:22:03 09:15:43 06:22:03 09:01:42</t>
  </si>
  <si>
    <t>KEN'S VILLAGE MARKET FIRST AID</t>
  </si>
  <si>
    <t>6433 BARBRA INDIAN RIVER P.O. BOX 2009, INDIAN RIV</t>
  </si>
  <si>
    <t>08:17:31</t>
  </si>
  <si>
    <t>351 S. STRAITS HWY, INDIAN RIVER MI 49749 US</t>
  </si>
  <si>
    <t>07:30:48</t>
  </si>
  <si>
    <t>MURDICKS FUDGE</t>
  </si>
  <si>
    <t>190 SHURON AVE SHELPERS BOAT, MACKINAC ISLAND MI 4</t>
  </si>
  <si>
    <t>13939</t>
  </si>
  <si>
    <t>SANDERS CANDIES</t>
  </si>
  <si>
    <t>303 FERRY LANE, MACKINAC ISLAND MI 49708 US</t>
  </si>
  <si>
    <t>09:25:24  09:25:24</t>
  </si>
  <si>
    <t>Held 10/04/24 - 05/01/25</t>
  </si>
  <si>
    <t>KINGSTON KITCHEN</t>
  </si>
  <si>
    <t>1384 HOBAN, MACKINAC ISLAND MI 49757 US</t>
  </si>
  <si>
    <t>Held AR 12/03/24 - 01/01/99</t>
  </si>
  <si>
    <t>11900 SCOTT ROAD, WOLVERINE MI 49799 US</t>
  </si>
  <si>
    <t>07:31:36 11:12:27 11:47:07 07:36:39</t>
  </si>
  <si>
    <t>14501</t>
  </si>
  <si>
    <t>MOOSE JAW JUNCTION</t>
  </si>
  <si>
    <t>966 W. VAN ROAD, PELLSTON MI 49769 US</t>
  </si>
  <si>
    <t>10:27:54  08:18:42</t>
  </si>
  <si>
    <t>THUNDER BAY HEALTH-INDIAN RIVE</t>
  </si>
  <si>
    <t>4363 S STRAITS HWY, INDIAN RIVER MI 49749 US</t>
  </si>
  <si>
    <t>07:47:27  11:32:25</t>
  </si>
  <si>
    <t>748 US-2, ST IGNACE MI 49781 US</t>
  </si>
  <si>
    <t>09:59:58 10:05:29 09:59:58 10:04:53</t>
  </si>
  <si>
    <t>1395 N. US-31, PELLSTON MI 49769 US</t>
  </si>
  <si>
    <t>10:10:33  08:40:16</t>
  </si>
  <si>
    <t>THE GALLEY RESTAURANT</t>
  </si>
  <si>
    <t>241 N STATE STREET, ST IGNACE MI 49781 US</t>
  </si>
  <si>
    <t>08:51:46 08:57:17 08:51:46 09:34:01</t>
  </si>
  <si>
    <t>Held AR 10/09/24 - 05/01/25</t>
  </si>
  <si>
    <t>927 N. STATE STREET, ST. IGNACE MI 49781 US</t>
  </si>
  <si>
    <t>08:48:26 08:48:53 08:48:26 09:39:39</t>
  </si>
  <si>
    <t>Held 11/08/24 - 05/01/25</t>
  </si>
  <si>
    <t>BREAKERS RESORT-HOTEL</t>
  </si>
  <si>
    <t>Held AR 11/08/24 - 05/01/25</t>
  </si>
  <si>
    <t>BURT LAKE MARINA</t>
  </si>
  <si>
    <t>7010 BUNKER RD, INDIAN RIVER MI 49749 US</t>
  </si>
  <si>
    <t>07:45:39 10:58:30 11:38:09 07:51:01</t>
  </si>
  <si>
    <t>7688 MAPLE RIVER RD, BRUTUS MI 49716 US</t>
  </si>
  <si>
    <t>10:00:09 09:06:22 08:56:18 10:35:39</t>
  </si>
  <si>
    <t>Held 08/07/24 - 05/01/25</t>
  </si>
  <si>
    <t>16163</t>
  </si>
  <si>
    <t>BEACH'S UP IN SMOKE BBQ</t>
  </si>
  <si>
    <t>944 STIMPSON ST, PELLSTON MI 49769 US</t>
  </si>
  <si>
    <t>10:08:39  08:47:58</t>
  </si>
  <si>
    <t>1114 N. STATE STREET, ST IGNACE MI 49781 US</t>
  </si>
  <si>
    <t>08:36:18  09:41:24</t>
  </si>
  <si>
    <t>6153 M-68 HIGHWAY PO BOX 87, INDIAN RIVER MI 49749</t>
  </si>
  <si>
    <t>08:51:34 10:35:31 10:32:17 08:16:33</t>
  </si>
  <si>
    <t>6977 M-68, ALANSON MI 49706 US</t>
  </si>
  <si>
    <t>09:16:10 08:22:23 09:40:32 09:51:40</t>
  </si>
  <si>
    <t>967 N. STRAITS HWY, TOPINABEE MI 49791 US</t>
  </si>
  <si>
    <t>11:20:34 09:47:03 07:29:00 11:16:20</t>
  </si>
  <si>
    <t>4529 ONAWAY RD, INDIAN RIVER MI 49749 US</t>
  </si>
  <si>
    <t>07:24:40  11:24:46</t>
  </si>
  <si>
    <t>PATRICK DOUDS IRISH PUB</t>
  </si>
  <si>
    <t>7304 MAIN STREET, MACKINAC ISLAND MI 49757 US</t>
  </si>
  <si>
    <t>06:16:03 09:09:43 06:16:03 08:55:42</t>
  </si>
  <si>
    <t>4086 US 31, ALANSON MI 49706 US</t>
  </si>
  <si>
    <t>09:25:23 08:31:36 09:31:23 10:00:53</t>
  </si>
  <si>
    <t>12946 S. STRAITS HWY, WOLVERINE MI 49799 US</t>
  </si>
  <si>
    <t>11:08:13  07:34:42</t>
  </si>
  <si>
    <t>4141 CLUB RD, INDIAN RIVER MI 49749 US</t>
  </si>
  <si>
    <t>11:53:01 07:28:05 10:05:45 09:26:20</t>
  </si>
  <si>
    <t>Held 09/27/24 - 10/08/24</t>
  </si>
  <si>
    <t>A.H.C.-INDIAN RIVER</t>
  </si>
  <si>
    <t>6135 CRESSY ST, INDIAN RIVER MI 49749 US</t>
  </si>
  <si>
    <t>09:54:03  08:14:53</t>
  </si>
  <si>
    <t xml:space="preserve">STARBUCKS                     </t>
  </si>
  <si>
    <t>7308 MIAN ST VIA-ARNOLD LINE, MACKINAC ISLAND MI 4</t>
  </si>
  <si>
    <t xml:space="preserve">JOANN'S FUDGE </t>
  </si>
  <si>
    <t>303 E CENTRAL AVE VIA-ARNOLD LINE, MACKINAC ISLAND</t>
  </si>
  <si>
    <t xml:space="preserve">YANKEE REBEL                  </t>
  </si>
  <si>
    <t>1493 ASTOR ST VIA-SHEPPLER ST IGNACE, MACKINAC ISL</t>
  </si>
  <si>
    <t>PHELPS COLLINS THE RIVER CLUB</t>
  </si>
  <si>
    <t xml:space="preserve">5884 G Street Phelps Collins ANG, Alpena MI 49707 </t>
  </si>
  <si>
    <t>09:18:00  09:04:00</t>
  </si>
  <si>
    <t xml:space="preserve">Wilson's Rivers Edge          </t>
  </si>
  <si>
    <t>4208 South Straits Hwy, Indian River MI 49749 US</t>
  </si>
  <si>
    <t>07:52:06 10:36:12 11:12:45 07:54:23</t>
  </si>
  <si>
    <t>6433 Barbra Indian River P.O. Box 2009, Indian Riv</t>
  </si>
  <si>
    <t>08:12:36 09:56:34 10:33:15 08:17:31</t>
  </si>
  <si>
    <t xml:space="preserve">DOUGLAS LAKE BAR &amp; STEAKHOUSE </t>
  </si>
  <si>
    <t>7314 DOUGLAS LAKE DRIVE, PELLSTON MI 49769 US</t>
  </si>
  <si>
    <t>10:53:51 09:20:20 08:02:39 10:49:37</t>
  </si>
  <si>
    <t>500 FERRY LANE, St. Ignace MI 49781 US</t>
  </si>
  <si>
    <t>09:14:03 09:19:34 09:14:03 08:48:29</t>
  </si>
  <si>
    <t>250 S. State St., St. Ignace MI 49781 US</t>
  </si>
  <si>
    <t>08:26:15 08:17:28 08:26:15 09:02:52</t>
  </si>
  <si>
    <t>Held COVID 12/27/24 - 04/01/25</t>
  </si>
  <si>
    <t>699 US 2 4200 Manchester, ST. IGNACE MI 49781 US</t>
  </si>
  <si>
    <t>09:28:08 09:33:39 09:28:08 08:17:00</t>
  </si>
  <si>
    <t>GOOD DAY CAFE</t>
  </si>
  <si>
    <t>7216 MAIN ST FREIGHT BOAT ONLY, MACKINAC ISLAND MI</t>
  </si>
  <si>
    <t>204 N. STATE ST., ST. IGNACE MI 49781 US</t>
  </si>
  <si>
    <t>08:51:51 08:57:22 08:51:51 09:28:55</t>
  </si>
  <si>
    <t xml:space="preserve">PANCAKE HOUSE                 </t>
  </si>
  <si>
    <t xml:space="preserve">7245 MAINT ST VIA-ARNOLD LINE, MACKINAC ISLAND MI </t>
  </si>
  <si>
    <t xml:space="preserve">HORN'S BAR                    </t>
  </si>
  <si>
    <t>7300 Main St VIA-SHEPPLER ST IGNACE, MACKINAC ISLA</t>
  </si>
  <si>
    <t xml:space="preserve">MILLIES ON MAIN               </t>
  </si>
  <si>
    <t>7294 MAIN ST VIA-ARNOLD LINE, MACKINAC ISLAND MI 4</t>
  </si>
  <si>
    <t xml:space="preserve">MARY'S BISTRO                 </t>
  </si>
  <si>
    <t>7463 MAINT ST VIA-STARLINE, MACKINAC ISLAND MI 497</t>
  </si>
  <si>
    <t xml:space="preserve">SEABISCUIT                    </t>
  </si>
  <si>
    <t xml:space="preserve">1997 MAIN ST. VIA-ARNOLD LINE, MACKINAW ISLAND MI </t>
  </si>
  <si>
    <t xml:space="preserve">ALPENA CRTC ROADS AND GROUNDS </t>
  </si>
  <si>
    <t>ALPENA CRTC BASE SERVICES 122</t>
  </si>
  <si>
    <t>5884 A-STREET, ALPENA MI 49707-8125 US</t>
  </si>
  <si>
    <t>09:09:43</t>
  </si>
  <si>
    <t>AWAKON FCU-WOLVERINE</t>
  </si>
  <si>
    <t>12842 S. STATE HWY, WOLVERINE MI 49799 US</t>
  </si>
  <si>
    <t>11:08:34  07:32:17</t>
  </si>
  <si>
    <t>CHEBOYGAN COUNTY ROAD COMMISSI</t>
  </si>
  <si>
    <t>7055 BUNKER RD, INDIAN RIVER MI 49749 US</t>
  </si>
  <si>
    <t>07:45:13 10:58:04 11:38:38 07:51:30</t>
  </si>
  <si>
    <t>5884 A ST BLDG 7, ALPENA MI 49707 US</t>
  </si>
  <si>
    <t xml:space="preserve">INLAND TRANSMISSIONS          </t>
  </si>
  <si>
    <t>5839 S. Straits Highway, INDIAN RIVER MI 49749 US</t>
  </si>
  <si>
    <t>07:48:56</t>
  </si>
  <si>
    <t xml:space="preserve">ISLAND SLICE PIZZERIA         </t>
  </si>
  <si>
    <t>7234 MAIN ST, MACKINAW ISLAND MI 49757 US</t>
  </si>
  <si>
    <t>7640 US31 SOUTH, ALANSON MI 49706 US</t>
  </si>
  <si>
    <t>09:32:35 08:38:48 09:09:59 10:08:05</t>
  </si>
  <si>
    <t>4524 S. STRAITS HWY, INDIAN RIVER MI 49749 US</t>
  </si>
  <si>
    <t>08:53:19 07:59:32 09:50:29 09:28:49</t>
  </si>
  <si>
    <t>6220 M-68, INDIAN RIVER MI 49749 US</t>
  </si>
  <si>
    <t>11:33:14 07:28:59 10:06:40 09:06:33</t>
  </si>
  <si>
    <t>200 S. STATE, ST IGNACE MI 49781 US</t>
  </si>
  <si>
    <t>08:57:50 09:03:21 08:57:50 09:14:55</t>
  </si>
  <si>
    <t>917 W US-2, ST IGNACE MI 49781 US</t>
  </si>
  <si>
    <t>10:26:09 10:31:40 10:26:09 10:31:03</t>
  </si>
  <si>
    <t>6416 RIGGSVILLE RD, CHEBOYGAN MI 49721 US</t>
  </si>
  <si>
    <t>11:03:28 09:29:57 07:43:41 10:59:14</t>
  </si>
  <si>
    <t>ALPENA CRTC-CUSTODIAL SERVICES</t>
  </si>
  <si>
    <t>5884 A ST, ALPENA MI 49707 US</t>
  </si>
  <si>
    <t>06:21:03 09:14:43 06:21:03 09:00:42</t>
  </si>
  <si>
    <t>AWAKON FCU-INDIAN RIVER</t>
  </si>
  <si>
    <t>6272 M-68 HWY, INDIAN RIVER MI 48749 US</t>
  </si>
  <si>
    <t>07:48:45  08:57:06</t>
  </si>
  <si>
    <t>233684</t>
  </si>
  <si>
    <t>944 STIMPSON ST,PELLSTON</t>
  </si>
  <si>
    <t>70832</t>
  </si>
  <si>
    <t xml:space="preserve">4208 South Straits Hwy,Indian River        </t>
  </si>
  <si>
    <t>70852</t>
  </si>
  <si>
    <t xml:space="preserve">7314 DOUGLAS LAKE DRIVE,PELLSTON            </t>
  </si>
  <si>
    <t>71131</t>
  </si>
  <si>
    <t xml:space="preserve">12551 Orcutt Hwy.,Millersburg         </t>
  </si>
  <si>
    <t>6135 CRESSY ST,INDIAN RIVER</t>
  </si>
  <si>
    <t>73126</t>
  </si>
  <si>
    <t xml:space="preserve">5839 S. Straits Highway,INDIAN RIVER        </t>
  </si>
  <si>
    <t>73264</t>
  </si>
  <si>
    <t>9500 N. M-33,CHEBOYGAN</t>
  </si>
  <si>
    <t>73366</t>
  </si>
  <si>
    <t>3459 US 31,BRUTUS</t>
  </si>
  <si>
    <t>73404</t>
  </si>
  <si>
    <t>4363 S STRAITS HWY,INDIAN RIVER</t>
  </si>
  <si>
    <t>73464</t>
  </si>
  <si>
    <t>3944 SOUTH STRAITS HWY,INDIAN RIVER</t>
  </si>
  <si>
    <t>73470</t>
  </si>
  <si>
    <t>4141 CLUB RD,INDIAN RIVER</t>
  </si>
  <si>
    <t>73499</t>
  </si>
  <si>
    <t>351 S. STRAITS HWY,INDIAN RIVER</t>
  </si>
  <si>
    <t>73517</t>
  </si>
  <si>
    <t>11900 SCOTT ROAD,WOLVERINE</t>
  </si>
  <si>
    <t>73521</t>
  </si>
  <si>
    <t>966 W. VAN ROAD,PELLSTON</t>
  </si>
  <si>
    <t>73544</t>
  </si>
  <si>
    <t>1395 N. US-31,PELLSTON</t>
  </si>
  <si>
    <t>73568</t>
  </si>
  <si>
    <t>5388 MAIN STREET,MILLERSBURG</t>
  </si>
  <si>
    <t>73576</t>
  </si>
  <si>
    <t>7010 BUNKER RD,INDIAN RIVER</t>
  </si>
  <si>
    <t>73578</t>
  </si>
  <si>
    <t xml:space="preserve">7688 MAPLE RIVER RD,BRUTUS </t>
  </si>
  <si>
    <t>73595</t>
  </si>
  <si>
    <t>4086 US 31,ALANSON</t>
  </si>
  <si>
    <t>7640 US31 SOUTH,ALANSON</t>
  </si>
  <si>
    <t>4524 S. STRAITS HWY,INDIAN RIVER</t>
  </si>
  <si>
    <t>6220 M-68,INDIAN RIVER</t>
  </si>
  <si>
    <t>6416 RIGGSVILLE RD,CHEBOYGAN</t>
  </si>
  <si>
    <t>00181</t>
  </si>
  <si>
    <t>6153 M-68 HIGHWAY,INDIAN RIVER</t>
  </si>
  <si>
    <t>00189</t>
  </si>
  <si>
    <t>95851 N STRAITS HWY,CHEBOYGAN</t>
  </si>
  <si>
    <t>00190</t>
  </si>
  <si>
    <t>6977 M-68,ALANSON</t>
  </si>
  <si>
    <t xml:space="preserve">6433 Barbra Indian River,Indian River        </t>
  </si>
  <si>
    <t>99137</t>
  </si>
  <si>
    <t>5285 MAIN ST.,MILLERSBURG</t>
  </si>
  <si>
    <t>99189</t>
  </si>
  <si>
    <t>967 N. STRAITS HWY,TOPINABEE</t>
  </si>
  <si>
    <t>4529 ONAWAY RD,INDIAN RIVER</t>
  </si>
  <si>
    <t>12946 S. STRAITS HWY,WOLVERINE</t>
  </si>
  <si>
    <t>99212</t>
  </si>
  <si>
    <t>6272 M-68 HWY,INDIAN RIVER</t>
  </si>
  <si>
    <t xml:space="preserve">12842 S. STATE HWY,WOLVERINE           </t>
  </si>
  <si>
    <t>70024</t>
  </si>
  <si>
    <t xml:space="preserve">501 PARK DR,ROGERS CITY         </t>
  </si>
  <si>
    <t>70537</t>
  </si>
  <si>
    <t xml:space="preserve">326 Long Lake Ave,Alpena              </t>
  </si>
  <si>
    <t>70618</t>
  </si>
  <si>
    <t xml:space="preserve">5614 WESSEL RD.,ALPENA              </t>
  </si>
  <si>
    <t>71146</t>
  </si>
  <si>
    <t xml:space="preserve">135 N. Bradley Hwy,Roger City          </t>
  </si>
  <si>
    <t>71148</t>
  </si>
  <si>
    <t xml:space="preserve">119 W. Third St.,Rogers City         </t>
  </si>
  <si>
    <t>71159</t>
  </si>
  <si>
    <t xml:space="preserve">420 US 23,Rogers City         </t>
  </si>
  <si>
    <t>71160</t>
  </si>
  <si>
    <t>500 PARK DR,ROGERS CITY</t>
  </si>
  <si>
    <t>71161</t>
  </si>
  <si>
    <t xml:space="preserve">377 N. Third St.,Rogers City         </t>
  </si>
  <si>
    <t>71163</t>
  </si>
  <si>
    <t xml:space="preserve">100 N. Bradley Hwy.,Rogers City         </t>
  </si>
  <si>
    <t>71255</t>
  </si>
  <si>
    <t xml:space="preserve">7090 State St.,Posen               </t>
  </si>
  <si>
    <t>71415</t>
  </si>
  <si>
    <t xml:space="preserve">1035 Calcite Rd.,Rogers City         </t>
  </si>
  <si>
    <t>73190</t>
  </si>
  <si>
    <t xml:space="preserve">555 N BRADLEY HWY STE D,ROGER CITY          </t>
  </si>
  <si>
    <t>73289</t>
  </si>
  <si>
    <t>6201 US 23 N,ALPENA</t>
  </si>
  <si>
    <t xml:space="preserve">205 S Bradley,ROGERS CITY         </t>
  </si>
  <si>
    <t>73413</t>
  </si>
  <si>
    <t>10881 Michigan Ave,POSEN</t>
  </si>
  <si>
    <t>73444</t>
  </si>
  <si>
    <t>498 S 6TH STREET,ROGER CITY</t>
  </si>
  <si>
    <t>73459</t>
  </si>
  <si>
    <t xml:space="preserve">530 NORTH 3RD,ROGER CITY </t>
  </si>
  <si>
    <t>73523</t>
  </si>
  <si>
    <t>188 N. THIRD ST.,ROGERS CITY</t>
  </si>
  <si>
    <t>10933 MICHIGAN AVE.,POSEN</t>
  </si>
  <si>
    <t>73535</t>
  </si>
  <si>
    <t>6811 LONG RAPIDS ROAD,ALPENA</t>
  </si>
  <si>
    <t>73540</t>
  </si>
  <si>
    <t>10760 MICHIGAN AVE,POSEN</t>
  </si>
  <si>
    <t>73549</t>
  </si>
  <si>
    <t>9101 S. BOLTON RD,POSEN</t>
  </si>
  <si>
    <t>73558</t>
  </si>
  <si>
    <t>12653 E. GRAND LAKE ROAD,PRESQUE ISLE</t>
  </si>
  <si>
    <t>73559</t>
  </si>
  <si>
    <t>380 N. THIRD STREET,ROGERS CITY</t>
  </si>
  <si>
    <t>73569</t>
  </si>
  <si>
    <t>14019 US-23 SOUTH,PRESQUE ISLE</t>
  </si>
  <si>
    <t>73590</t>
  </si>
  <si>
    <t>1015 M-68,ROGERS CITY</t>
  </si>
  <si>
    <t>73611</t>
  </si>
  <si>
    <t>643 W. ERIE STREET,ROGERS CITY</t>
  </si>
  <si>
    <t>101 S. BRADLEY HWY,ROGERS CITY</t>
  </si>
  <si>
    <t>00104</t>
  </si>
  <si>
    <t>10706 MICHIGAN AVE,POSEN</t>
  </si>
  <si>
    <t>99047</t>
  </si>
  <si>
    <t xml:space="preserve">478 N. Third St.,Rogers City         </t>
  </si>
  <si>
    <t xml:space="preserve">10514 N. Michigan,Posen               </t>
  </si>
  <si>
    <t>99052</t>
  </si>
  <si>
    <t>7667 US-23,ALPENA</t>
  </si>
  <si>
    <t>00112</t>
  </si>
  <si>
    <t>100 S. BRADLEY HWY.,ROGERS CITY</t>
  </si>
  <si>
    <t>99126</t>
  </si>
  <si>
    <t>1040 M-68,ROGERS CITY</t>
  </si>
  <si>
    <t>335 N. BRADLEY HWY.,ROGERS CITY</t>
  </si>
  <si>
    <t>159 S. 3RD STREET,ROGERS CITY</t>
  </si>
  <si>
    <t>99192</t>
  </si>
  <si>
    <t xml:space="preserve">108 E. Herman St.,Alpena              </t>
  </si>
  <si>
    <t xml:space="preserve">279 US 23,ROGER CITY          </t>
  </si>
  <si>
    <t>70010</t>
  </si>
  <si>
    <t xml:space="preserve">301 N. LOUVINGNY,MACKINAW CITY    </t>
  </si>
  <si>
    <t>70011</t>
  </si>
  <si>
    <t xml:space="preserve">303 E. CENTRAL AVE.,MACKINAW CITY       </t>
  </si>
  <si>
    <t>70013</t>
  </si>
  <si>
    <t xml:space="preserve">110 W. CENTRAL,MACKINAW CITY       </t>
  </si>
  <si>
    <t>70845</t>
  </si>
  <si>
    <t xml:space="preserve">106 South Huron,Mackinaw City       </t>
  </si>
  <si>
    <t>70846</t>
  </si>
  <si>
    <t xml:space="preserve">323 Central Ave.,Mackinaw City       </t>
  </si>
  <si>
    <t>70876</t>
  </si>
  <si>
    <t xml:space="preserve">313 LaFayette Ave,Cheboygan           </t>
  </si>
  <si>
    <t>70883</t>
  </si>
  <si>
    <t xml:space="preserve">127 N. Main Street,Cheboygan           </t>
  </si>
  <si>
    <t>70897</t>
  </si>
  <si>
    <t>190 S. HURON AVE,MACKINAW CITY</t>
  </si>
  <si>
    <t>71145</t>
  </si>
  <si>
    <t xml:space="preserve">5613 US-23 North,Rogers City         </t>
  </si>
  <si>
    <t>71366</t>
  </si>
  <si>
    <t xml:space="preserve">308 E. Central Ave.,Mackinaw City       </t>
  </si>
  <si>
    <t>73260</t>
  </si>
  <si>
    <t>824 S. HURON ST.,CHEBOYGAN</t>
  </si>
  <si>
    <t>73262</t>
  </si>
  <si>
    <t>16454 US 23 N,MILLERSBURG</t>
  </si>
  <si>
    <t>73389</t>
  </si>
  <si>
    <t>556 EAST CENTUZL,MACKINAW CITY</t>
  </si>
  <si>
    <t>73394</t>
  </si>
  <si>
    <t>301 E. CENTRAL,MACKINAW</t>
  </si>
  <si>
    <t>905 W. LINCOLN,CHEBOYGAN</t>
  </si>
  <si>
    <t>73425</t>
  </si>
  <si>
    <t>226 E. CENTRAL AVE,MACKINAW CITY</t>
  </si>
  <si>
    <t>73490</t>
  </si>
  <si>
    <t>840 SOUTH MAIN,CHEBOYGAN</t>
  </si>
  <si>
    <t>73519</t>
  </si>
  <si>
    <t>314 N. STREET,MACKINAC CITY</t>
  </si>
  <si>
    <t>73526</t>
  </si>
  <si>
    <t>404 S. HURON AVE,MACKINAC CITY</t>
  </si>
  <si>
    <t>73557</t>
  </si>
  <si>
    <t>312 E. CENTRAL AVENUE,MACKINAC CITY</t>
  </si>
  <si>
    <t>73561</t>
  </si>
  <si>
    <t>836 S. MAIN STREET,CHEBOYGAN</t>
  </si>
  <si>
    <t>73565</t>
  </si>
  <si>
    <t>411 NORTH MAIN,CHEBOYGAN</t>
  </si>
  <si>
    <t>73575</t>
  </si>
  <si>
    <t>405 N. MAIN,CHEBOYGAN</t>
  </si>
  <si>
    <t>73591</t>
  </si>
  <si>
    <t>325 N MAIN STREET,CHEBOYGAN</t>
  </si>
  <si>
    <t>912 S. MAIN ST,CHEBOYGAN</t>
  </si>
  <si>
    <t>00182</t>
  </si>
  <si>
    <t>101 JAMET ST,MACKINAW CITY</t>
  </si>
  <si>
    <t>00191</t>
  </si>
  <si>
    <t>604 MAIN ST,CHEBOYGAN</t>
  </si>
  <si>
    <t xml:space="preserve">1005 S MAIN ST,Cheboygan           </t>
  </si>
  <si>
    <t>992 S. MAIN,CHEBOYGAN</t>
  </si>
  <si>
    <t>99120</t>
  </si>
  <si>
    <t xml:space="preserve">350 S. MAIN ST.,CHEBOYGAN           </t>
  </si>
  <si>
    <t>99138</t>
  </si>
  <si>
    <t xml:space="preserve">312 S. HURON,MACKINAW CITY       </t>
  </si>
  <si>
    <t>302 SOUTH HURON,MACKINAW CITY</t>
  </si>
  <si>
    <t xml:space="preserve">401 E. Central,Mackinaw City       </t>
  </si>
  <si>
    <t>718 S HURON,MACKINAW CITY</t>
  </si>
  <si>
    <t>416 S. HURON,MACKINAW CITY</t>
  </si>
  <si>
    <t>201 S. HURON,MACKINAW CITY</t>
  </si>
  <si>
    <t>248 S. HURON,MACKINAW CITY</t>
  </si>
  <si>
    <t xml:space="preserve">102 E. CENTRAL,MACKINAW CITY </t>
  </si>
  <si>
    <t xml:space="preserve">861 S MAIN ST,Cheboygan           </t>
  </si>
  <si>
    <t>70613</t>
  </si>
  <si>
    <t>428 N. MAIN STREET,CHEBOYGAN</t>
  </si>
  <si>
    <t>70894</t>
  </si>
  <si>
    <t xml:space="preserve">500 FERRY LANE,St. Ignace          </t>
  </si>
  <si>
    <t>70895</t>
  </si>
  <si>
    <t xml:space="preserve">250 S. State St.,St. Ignace          </t>
  </si>
  <si>
    <t xml:space="preserve">7216 MAIN ST,MACKINAC ISLAND     </t>
  </si>
  <si>
    <t xml:space="preserve">190 SHURON AVE,MACKINAC ISLAND     </t>
  </si>
  <si>
    <t xml:space="preserve">7234 MAIN ST,MACKINAW ISLAND     </t>
  </si>
  <si>
    <t xml:space="preserve">204 N. STATE ST.,ST. IGNACE          </t>
  </si>
  <si>
    <t>70900</t>
  </si>
  <si>
    <t xml:space="preserve">7245 MAINT ST,MACKINAC ISLAND </t>
  </si>
  <si>
    <t xml:space="preserve">1997 MAIN ST.,MACKINAW ISLAND     </t>
  </si>
  <si>
    <t>6966 MAIN ST,MACKINAC ISLAND</t>
  </si>
  <si>
    <t>7463 MAINT ST,MACKINAC ISLAND</t>
  </si>
  <si>
    <t>7308 MIAN ST,MACKINAC ISLAND</t>
  </si>
  <si>
    <t>70901</t>
  </si>
  <si>
    <t xml:space="preserve">7300 Main St,MACKINAC ISLAND </t>
  </si>
  <si>
    <t xml:space="preserve">1493 ASTOR ST,MACKINAC ISLAND </t>
  </si>
  <si>
    <t>70904</t>
  </si>
  <si>
    <t xml:space="preserve">7294 MAIN ST,MACKINAC ISLAND     </t>
  </si>
  <si>
    <t>71149</t>
  </si>
  <si>
    <t xml:space="preserve">3090 US-23 North,Rogers City         </t>
  </si>
  <si>
    <t>71399</t>
  </si>
  <si>
    <t xml:space="preserve">10085 US 23,Alpena              </t>
  </si>
  <si>
    <t>73047</t>
  </si>
  <si>
    <t xml:space="preserve">902 BOAT CLUB DRIVE,CHEBOYGAN           </t>
  </si>
  <si>
    <t>73368</t>
  </si>
  <si>
    <t>9027 W LONG LAKE RD,ALPENA</t>
  </si>
  <si>
    <t>73388</t>
  </si>
  <si>
    <t>601 NORTH STATE ST,ST IGNACE</t>
  </si>
  <si>
    <t>73415</t>
  </si>
  <si>
    <t xml:space="preserve">1359 HOBAN ST,MACKINAW ISLAND </t>
  </si>
  <si>
    <t>7263 MAIN STREET,MACKINAW ISLAND</t>
  </si>
  <si>
    <t>73474</t>
  </si>
  <si>
    <t>7315 MAIN ST,MACKINAW ISLAND</t>
  </si>
  <si>
    <t xml:space="preserve">303  E CENTRAL AVE,MACKINAC ISLAND     </t>
  </si>
  <si>
    <t>73476</t>
  </si>
  <si>
    <t>1442 W. ROAD,ST IGNACE</t>
  </si>
  <si>
    <t>73478</t>
  </si>
  <si>
    <t>626 N STATE,ST IGNACE</t>
  </si>
  <si>
    <t>73502</t>
  </si>
  <si>
    <t xml:space="preserve">1384 HOBAN,MACKINAC ISLAND </t>
  </si>
  <si>
    <t>73522</t>
  </si>
  <si>
    <t>320 NORTH MAIN,CHEBOYGAN</t>
  </si>
  <si>
    <t>73539</t>
  </si>
  <si>
    <t>626 N.MAIN,CHEBOYGAN</t>
  </si>
  <si>
    <t>73543</t>
  </si>
  <si>
    <t>748 US-2,ST IGNACE</t>
  </si>
  <si>
    <t>73547</t>
  </si>
  <si>
    <t>241 N STATE STREET,ST IGNACE</t>
  </si>
  <si>
    <t>73566</t>
  </si>
  <si>
    <t>927 N. STATE STREET,ST. IGNACE</t>
  </si>
  <si>
    <t>73577</t>
  </si>
  <si>
    <t>523 MACKINAC AVENUE,CHEBOYGAN</t>
  </si>
  <si>
    <t>73580</t>
  </si>
  <si>
    <t>1114 N. STATE STREET,ST IGNACE</t>
  </si>
  <si>
    <t>73584</t>
  </si>
  <si>
    <t>7304 MAIN STREET,MACKINAC ISLAND</t>
  </si>
  <si>
    <t>73596</t>
  </si>
  <si>
    <t>303 FERRY LANE,MACKINAC ISLAND</t>
  </si>
  <si>
    <t>73610</t>
  </si>
  <si>
    <t>1140 N. STATE STREET,ST. IGNACE</t>
  </si>
  <si>
    <t>200 S. STATE,ST IGNACE</t>
  </si>
  <si>
    <t>917 W US-2,ST IGNACE</t>
  </si>
  <si>
    <t>00148</t>
  </si>
  <si>
    <t>98 W. US 2,ST. IGNACE</t>
  </si>
  <si>
    <t>699 US 2,ST. IGNACE</t>
  </si>
  <si>
    <t>70021</t>
  </si>
  <si>
    <t xml:space="preserve">20560 STATE ST,ONAWAY              </t>
  </si>
  <si>
    <t>70324</t>
  </si>
  <si>
    <t xml:space="preserve">21061 M-68,ONAWAY              </t>
  </si>
  <si>
    <t>70559</t>
  </si>
  <si>
    <t xml:space="preserve">5884 G Street,Alpena              </t>
  </si>
  <si>
    <t>71128</t>
  </si>
  <si>
    <t xml:space="preserve">20812 WASHINGTON AV,Onaway              </t>
  </si>
  <si>
    <t>71132</t>
  </si>
  <si>
    <t xml:space="preserve">4068 Michigan Ave.,Onaway              </t>
  </si>
  <si>
    <t>71136</t>
  </si>
  <si>
    <t xml:space="preserve">20774 Historical Courthouse,Onaway              </t>
  </si>
  <si>
    <t>71425</t>
  </si>
  <si>
    <t xml:space="preserve">5884 A STREET,ALPENA              </t>
  </si>
  <si>
    <t>73107</t>
  </si>
  <si>
    <t xml:space="preserve">5884 A ST,ALPENA              </t>
  </si>
  <si>
    <t>73277</t>
  </si>
  <si>
    <t>5884 A ST,ALPENA</t>
  </si>
  <si>
    <t xml:space="preserve">21258 W M-68 HWY,ONAWAY              </t>
  </si>
  <si>
    <t xml:space="preserve">4549 M 33,ONAWAY              </t>
  </si>
  <si>
    <t>73495</t>
  </si>
  <si>
    <t>5884 A STREET,ALPENA</t>
  </si>
  <si>
    <t>73508</t>
  </si>
  <si>
    <t>1273 M-211,ONAWAY</t>
  </si>
  <si>
    <t>73516</t>
  </si>
  <si>
    <t>4016 MICHIGAN AVENUE,ONAWAY</t>
  </si>
  <si>
    <t>73524</t>
  </si>
  <si>
    <t>3444 M-21,ONAWAY</t>
  </si>
  <si>
    <t>73586</t>
  </si>
  <si>
    <t>73588</t>
  </si>
  <si>
    <t>1715 M-68 EAST,AFTON</t>
  </si>
  <si>
    <t>00172</t>
  </si>
  <si>
    <t>21016 M-68 HWY,ONAWAY</t>
  </si>
  <si>
    <t>101 MICHIGAN AVE,ONAWAY</t>
  </si>
  <si>
    <t xml:space="preserve">20597 STATE ST,Onaway              </t>
  </si>
  <si>
    <t>99152</t>
  </si>
  <si>
    <t>21258 W. M-68 HWY,ONAWAY</t>
  </si>
  <si>
    <t xml:space="preserve">20855 WASHINGTON AVE,ONWAY               </t>
  </si>
  <si>
    <t>3459 US 31</t>
  </si>
  <si>
    <t>BRUTUS</t>
  </si>
  <si>
    <t>49716</t>
  </si>
  <si>
    <t>145</t>
  </si>
  <si>
    <t>2.25</t>
  </si>
  <si>
    <t>9027 W LONG LAKE RD</t>
  </si>
  <si>
    <t>ALPENA</t>
  </si>
  <si>
    <t>49707</t>
  </si>
  <si>
    <t>601 NORTH STATE ST</t>
  </si>
  <si>
    <t>ST IGNACE</t>
  </si>
  <si>
    <t>49781</t>
  </si>
  <si>
    <t>556 EAST CENTUZL</t>
  </si>
  <si>
    <t>MACKINAW CITY</t>
  </si>
  <si>
    <t>49701</t>
  </si>
  <si>
    <t xml:space="preserve">301 E. CENTRAL </t>
  </si>
  <si>
    <t>MACKINAW</t>
  </si>
  <si>
    <t>905 W. LINCOLN</t>
  </si>
  <si>
    <t>CHEBOYGAN</t>
  </si>
  <si>
    <t>49721</t>
  </si>
  <si>
    <t>2.05</t>
  </si>
  <si>
    <t>10881 Michigan Ave</t>
  </si>
  <si>
    <t>POSEN</t>
  </si>
  <si>
    <t>49776</t>
  </si>
  <si>
    <t>443</t>
  </si>
  <si>
    <t>0.79670329670329665</t>
  </si>
  <si>
    <t>9.58</t>
  </si>
  <si>
    <t xml:space="preserve">1359 HOBAN ST </t>
  </si>
  <si>
    <t>VIA-STARLINE MACKNIAW CITY</t>
  </si>
  <si>
    <t xml:space="preserve">MACKINAW ISLAND </t>
  </si>
  <si>
    <t>49757</t>
  </si>
  <si>
    <t>6966 MAIN ST</t>
  </si>
  <si>
    <t>VIA-ARNOLD LINE</t>
  </si>
  <si>
    <t>MACKINAC ISLAND</t>
  </si>
  <si>
    <t>226 E. CENTRAL AVE</t>
  </si>
  <si>
    <t>102 E. CENTRAL</t>
  </si>
  <si>
    <t xml:space="preserve">MACKINAW CITY </t>
  </si>
  <si>
    <t xml:space="preserve">416 S. HURON </t>
  </si>
  <si>
    <t>498 S 6TH STREET</t>
  </si>
  <si>
    <t>ROGER CITY</t>
  </si>
  <si>
    <t>49779</t>
  </si>
  <si>
    <t>0.56818181818181823</t>
  </si>
  <si>
    <t>98 W. US 2</t>
  </si>
  <si>
    <t>ST. IGNACE</t>
  </si>
  <si>
    <t>13.59</t>
  </si>
  <si>
    <t xml:space="preserve">718 S HURON </t>
  </si>
  <si>
    <t>530 NORTH 3RD</t>
  </si>
  <si>
    <t xml:space="preserve">ROGER CITY </t>
  </si>
  <si>
    <t>3944 SOUTH STRAITS HWY</t>
  </si>
  <si>
    <t>INDIAN RIVER</t>
  </si>
  <si>
    <t>49749</t>
  </si>
  <si>
    <t>4.58</t>
  </si>
  <si>
    <t xml:space="preserve">302 SOUTH HURON </t>
  </si>
  <si>
    <t>7315 MAIN ST</t>
  </si>
  <si>
    <t>MACKINAW ISLAND</t>
  </si>
  <si>
    <t>248 S. HURON</t>
  </si>
  <si>
    <t>1442 W. ROAD</t>
  </si>
  <si>
    <t>7263 MAIN STREET</t>
  </si>
  <si>
    <t>105</t>
  </si>
  <si>
    <t>626 N STATE</t>
  </si>
  <si>
    <t>201 S. HURON</t>
  </si>
  <si>
    <t>992 S. MAIN</t>
  </si>
  <si>
    <t>699 US 2</t>
  </si>
  <si>
    <t>100 S. BRADLEY HWY.</t>
  </si>
  <si>
    <t>ROGERS CITY</t>
  </si>
  <si>
    <t>840 SOUTH MAIN</t>
  </si>
  <si>
    <t>7.63</t>
  </si>
  <si>
    <t>5884 A STREET</t>
  </si>
  <si>
    <t>351 S. STRAITS HWY</t>
  </si>
  <si>
    <t>4.4</t>
  </si>
  <si>
    <t>190 SHURON AVE</t>
  </si>
  <si>
    <t>SHELPERS BOAT</t>
  </si>
  <si>
    <t xml:space="preserve">MACKINAC ISLAND     </t>
  </si>
  <si>
    <t>303 FERRY LANE</t>
  </si>
  <si>
    <t>49708</t>
  </si>
  <si>
    <t>1384 HOBAN</t>
  </si>
  <si>
    <t xml:space="preserve">MACKINAC ISLAND </t>
  </si>
  <si>
    <t>1273 M-211</t>
  </si>
  <si>
    <t>ONAWAY</t>
  </si>
  <si>
    <t>49765</t>
  </si>
  <si>
    <t>0.71074380165289253</t>
  </si>
  <si>
    <t>14.7</t>
  </si>
  <si>
    <t>4016 MICHIGAN AVENUE</t>
  </si>
  <si>
    <t>11900 SCOTT ROAD</t>
  </si>
  <si>
    <t>WOLVERINE</t>
  </si>
  <si>
    <t>49799</t>
  </si>
  <si>
    <t>4.48</t>
  </si>
  <si>
    <t>314 N. STREET</t>
  </si>
  <si>
    <t>MACKINAC CITY</t>
  </si>
  <si>
    <t>63</t>
  </si>
  <si>
    <t>966 W. VAN ROAD</t>
  </si>
  <si>
    <t>PELLSTON</t>
  </si>
  <si>
    <t>49769</t>
  </si>
  <si>
    <t>9.8</t>
  </si>
  <si>
    <t>320 NORTH MAIN</t>
  </si>
  <si>
    <t>6.39</t>
  </si>
  <si>
    <t>188 N. THIRD ST.</t>
  </si>
  <si>
    <t>10933 MICHIGAN AVE.</t>
  </si>
  <si>
    <t>7.16</t>
  </si>
  <si>
    <t>21258 W. M-68 HWY</t>
  </si>
  <si>
    <t>3444 M-21</t>
  </si>
  <si>
    <t>404 S. HURON AVE</t>
  </si>
  <si>
    <t>335 N. BRADLEY HWY.</t>
  </si>
  <si>
    <t>11.75</t>
  </si>
  <si>
    <t>159 S. 3RD STREET</t>
  </si>
  <si>
    <t>5285 MAIN ST.</t>
  </si>
  <si>
    <t>MILLERSBURG</t>
  </si>
  <si>
    <t>49759</t>
  </si>
  <si>
    <t>6811 LONG RAPIDS ROAD</t>
  </si>
  <si>
    <t>626 N.MAIN</t>
  </si>
  <si>
    <t>5.66</t>
  </si>
  <si>
    <t>4363 S STRAITS HWY</t>
  </si>
  <si>
    <t>3.22</t>
  </si>
  <si>
    <t>10760 MICHIGAN AVE</t>
  </si>
  <si>
    <t>748 US-2</t>
  </si>
  <si>
    <t>10.7</t>
  </si>
  <si>
    <t>1395 N. US-31</t>
  </si>
  <si>
    <t>4.64</t>
  </si>
  <si>
    <t>241 N STATE STREET</t>
  </si>
  <si>
    <t>9101 S. BOLTON RD</t>
  </si>
  <si>
    <t>10.69</t>
  </si>
  <si>
    <t>312 E. CENTRAL AVENUE</t>
  </si>
  <si>
    <t>9.3</t>
  </si>
  <si>
    <t>12653 E. GRAND LAKE ROAD</t>
  </si>
  <si>
    <t>PRESQUE ISLE</t>
  </si>
  <si>
    <t>49777</t>
  </si>
  <si>
    <t>380 N. THIRD STREET</t>
  </si>
  <si>
    <t>7.09</t>
  </si>
  <si>
    <t>836 S. MAIN STREET</t>
  </si>
  <si>
    <t>1.85</t>
  </si>
  <si>
    <t>411 NORTH MAIN</t>
  </si>
  <si>
    <t>927 N. STATE STREET</t>
  </si>
  <si>
    <t>5388 MAIN STREET</t>
  </si>
  <si>
    <t>14019 US-23 SOUTH</t>
  </si>
  <si>
    <t>405 N. MAIN</t>
  </si>
  <si>
    <t>C</t>
  </si>
  <si>
    <t>7010 BUNKER RD</t>
  </si>
  <si>
    <t>523 MACKINAC AVENUE</t>
  </si>
  <si>
    <t>7688 MAPLE RIVER RD</t>
  </si>
  <si>
    <t xml:space="preserve">BRUTUS </t>
  </si>
  <si>
    <t>21016 M-68 HWY</t>
  </si>
  <si>
    <t>12218 WEST S. BOX 246</t>
  </si>
  <si>
    <t>944 STIMPSON ST</t>
  </si>
  <si>
    <t>1114 N. STATE STREET</t>
  </si>
  <si>
    <t>428 N. MAIN STREET</t>
  </si>
  <si>
    <t>49753</t>
  </si>
  <si>
    <t>101 MICHIGAN AVE</t>
  </si>
  <si>
    <t>6153 M-68 HIGHWAY</t>
  </si>
  <si>
    <t>PO BOX 87</t>
  </si>
  <si>
    <t>101 JAMET ST</t>
  </si>
  <si>
    <t>95851 N STRAITS HWY</t>
  </si>
  <si>
    <t>6977 M-68</t>
  </si>
  <si>
    <t>ALANSON</t>
  </si>
  <si>
    <t>49706</t>
  </si>
  <si>
    <t>0.88732394366197187</t>
  </si>
  <si>
    <t>604 MAIN ST</t>
  </si>
  <si>
    <t>967 N. STRAITS HWY</t>
  </si>
  <si>
    <t>TOPINABEE</t>
  </si>
  <si>
    <t>49791</t>
  </si>
  <si>
    <t>4529 ONAWAY RD</t>
  </si>
  <si>
    <t>7304 MAIN STREET</t>
  </si>
  <si>
    <t>1715 M-68 EAST</t>
  </si>
  <si>
    <t>AFTON</t>
  </si>
  <si>
    <t>49705</t>
  </si>
  <si>
    <t>1015 M-68</t>
  </si>
  <si>
    <t>325 N MAIN STREET</t>
  </si>
  <si>
    <t>4086 US 31</t>
  </si>
  <si>
    <t>12946 S. STRAITS HWY</t>
  </si>
  <si>
    <t xml:space="preserve">190 S. HURON AVE </t>
  </si>
  <si>
    <t>4141 CLUB RD</t>
  </si>
  <si>
    <t>6135 CRESSY ST</t>
  </si>
  <si>
    <t>1140 N. STATE STREET</t>
  </si>
  <si>
    <t>0.86359610274579268</t>
  </si>
  <si>
    <t>643 W. ERIE STREET</t>
  </si>
  <si>
    <t xml:space="preserve">301 N. LOUVINGNY              </t>
  </si>
  <si>
    <t>P.O.BOX 857</t>
  </si>
  <si>
    <t xml:space="preserve">MACKINAW CITY    </t>
  </si>
  <si>
    <t xml:space="preserve">303 E. CENTRAL AVE.           </t>
  </si>
  <si>
    <t xml:space="preserve">MACKINAW CITY       </t>
  </si>
  <si>
    <t xml:space="preserve">110 W. CENTRAL                </t>
  </si>
  <si>
    <t>0.53333333333333333</t>
  </si>
  <si>
    <t>7308 MIAN ST</t>
  </si>
  <si>
    <t xml:space="preserve">303  E CENTRAL AVE </t>
  </si>
  <si>
    <t>20560 STATE ST</t>
  </si>
  <si>
    <t xml:space="preserve">ONAWAY              </t>
  </si>
  <si>
    <t xml:space="preserve">501 PARK DR                   </t>
  </si>
  <si>
    <t xml:space="preserve">ROGERS CITY         </t>
  </si>
  <si>
    <t>1493 ASTOR ST</t>
  </si>
  <si>
    <t>VIA-SHEPPLER ST IGNACE</t>
  </si>
  <si>
    <t xml:space="preserve">312 S. HURON                  </t>
  </si>
  <si>
    <t xml:space="preserve">21061 M-68                    </t>
  </si>
  <si>
    <t>2.62</t>
  </si>
  <si>
    <t xml:space="preserve">326 Long Lake Ave             </t>
  </si>
  <si>
    <t xml:space="preserve">Alpena              </t>
  </si>
  <si>
    <t>9.85</t>
  </si>
  <si>
    <t>5884 G Street</t>
  </si>
  <si>
    <t>Phelps Collins ANG</t>
  </si>
  <si>
    <t xml:space="preserve">5614 WESSEL RD.               </t>
  </si>
  <si>
    <t xml:space="preserve">ALPENA              </t>
  </si>
  <si>
    <t>7667 US-23</t>
  </si>
  <si>
    <t xml:space="preserve">4208 South Straits Hwy        </t>
  </si>
  <si>
    <t xml:space="preserve">Indian River        </t>
  </si>
  <si>
    <t>18.57</t>
  </si>
  <si>
    <t xml:space="preserve"> 6433 Barbra Indian River     </t>
  </si>
  <si>
    <t xml:space="preserve">P.O. Box 2009                 </t>
  </si>
  <si>
    <t>37.52</t>
  </si>
  <si>
    <t xml:space="preserve">401 E. Central                </t>
  </si>
  <si>
    <t xml:space="preserve">Mackinaw City       </t>
  </si>
  <si>
    <t>10.26</t>
  </si>
  <si>
    <t xml:space="preserve">106 South Huron               </t>
  </si>
  <si>
    <t xml:space="preserve">323 Central Ave.              </t>
  </si>
  <si>
    <t>7.34</t>
  </si>
  <si>
    <t xml:space="preserve">7314 DOUGLAS LAKE DRIVE       </t>
  </si>
  <si>
    <t xml:space="preserve">PELLSTON            </t>
  </si>
  <si>
    <t xml:space="preserve">1005 S MAIN ST                </t>
  </si>
  <si>
    <t xml:space="preserve">Cheboygan           </t>
  </si>
  <si>
    <t>12.97</t>
  </si>
  <si>
    <t>992 S MAIN ST</t>
  </si>
  <si>
    <t>0.80645161290322576</t>
  </si>
  <si>
    <t>20.23</t>
  </si>
  <si>
    <t xml:space="preserve">861 S MAIN ST                 </t>
  </si>
  <si>
    <t xml:space="preserve">313 LaFayette Ave             </t>
  </si>
  <si>
    <t xml:space="preserve">127 N. Main Street            </t>
  </si>
  <si>
    <t xml:space="preserve">350 S. MAIN ST.               </t>
  </si>
  <si>
    <t xml:space="preserve">CHEBOYGAN           </t>
  </si>
  <si>
    <t xml:space="preserve">500 FERRY LANE                </t>
  </si>
  <si>
    <t xml:space="preserve">St. Ignace          </t>
  </si>
  <si>
    <t>0.84090909090909094</t>
  </si>
  <si>
    <t>10.54</t>
  </si>
  <si>
    <t xml:space="preserve">250 S. State St.              </t>
  </si>
  <si>
    <t>11.33</t>
  </si>
  <si>
    <t xml:space="preserve">4200 Manchester               </t>
  </si>
  <si>
    <t>28.79</t>
  </si>
  <si>
    <t xml:space="preserve">7216 MAIN ST </t>
  </si>
  <si>
    <t xml:space="preserve">FREIGHT BOAT ONLY             </t>
  </si>
  <si>
    <t xml:space="preserve">204 N. STATE ST.              </t>
  </si>
  <si>
    <t xml:space="preserve">ST. IGNACE          </t>
  </si>
  <si>
    <t xml:space="preserve">7245 MAINT ST </t>
  </si>
  <si>
    <t xml:space="preserve">VIA-ARNOLD LINE </t>
  </si>
  <si>
    <t>7300 Main St</t>
  </si>
  <si>
    <t xml:space="preserve">7294 MAIN ST </t>
  </si>
  <si>
    <t>7463 MAINT ST</t>
  </si>
  <si>
    <t>VIA-STARLINE</t>
  </si>
  <si>
    <t>4549 M 33</t>
  </si>
  <si>
    <t>SBHC-HIGH SCHOOL</t>
  </si>
  <si>
    <t xml:space="preserve">20812 WASHINGTON AV           </t>
  </si>
  <si>
    <t xml:space="preserve">Onaway              </t>
  </si>
  <si>
    <t>0.64102564102564108</t>
  </si>
  <si>
    <t xml:space="preserve">12551 Orcutt Hwy.             </t>
  </si>
  <si>
    <t xml:space="preserve">Millersburg         </t>
  </si>
  <si>
    <t>3.53</t>
  </si>
  <si>
    <t xml:space="preserve">4068 Michigan Ave.            </t>
  </si>
  <si>
    <t>6.54</t>
  </si>
  <si>
    <t>20597 STATE ST</t>
  </si>
  <si>
    <t>0.70731707317073167</t>
  </si>
  <si>
    <t xml:space="preserve">20774 Historical Courthouse   </t>
  </si>
  <si>
    <t xml:space="preserve">P.O. Box 761                  </t>
  </si>
  <si>
    <t>1040 M-68</t>
  </si>
  <si>
    <t>2.96</t>
  </si>
  <si>
    <t xml:space="preserve">205 S Bradley                 </t>
  </si>
  <si>
    <t xml:space="preserve">5613 US-23 North              </t>
  </si>
  <si>
    <t xml:space="preserve">Rogers City         </t>
  </si>
  <si>
    <t xml:space="preserve">135 N. Bradley Hwy            </t>
  </si>
  <si>
    <t xml:space="preserve">Roger City          </t>
  </si>
  <si>
    <t>0.95918367346938771</t>
  </si>
  <si>
    <t xml:space="preserve">119 W. Third St.              </t>
  </si>
  <si>
    <t xml:space="preserve">3090 US-23 North              </t>
  </si>
  <si>
    <t>1.15</t>
  </si>
  <si>
    <t xml:space="preserve">478 N. Third St.              </t>
  </si>
  <si>
    <t>13.17</t>
  </si>
  <si>
    <t>0.95</t>
  </si>
  <si>
    <t>22.75</t>
  </si>
  <si>
    <t xml:space="preserve">420 US 23                     </t>
  </si>
  <si>
    <t>0.819672131147541</t>
  </si>
  <si>
    <t>9.15</t>
  </si>
  <si>
    <t>500 PARK DR</t>
  </si>
  <si>
    <t>5.13</t>
  </si>
  <si>
    <t xml:space="preserve">377 N. Third St.              </t>
  </si>
  <si>
    <t xml:space="preserve">100 N. Bradley Hwy.           </t>
  </si>
  <si>
    <t>0.45454545454545453</t>
  </si>
  <si>
    <t xml:space="preserve">10514 N. Michigan             </t>
  </si>
  <si>
    <t xml:space="preserve">Posen               </t>
  </si>
  <si>
    <t>175</t>
  </si>
  <si>
    <t>10.92</t>
  </si>
  <si>
    <t xml:space="preserve">7090 State St.                </t>
  </si>
  <si>
    <t>9.32</t>
  </si>
  <si>
    <t xml:space="preserve">308 E. Central Ave.           </t>
  </si>
  <si>
    <t>12.43</t>
  </si>
  <si>
    <t xml:space="preserve">108 E. Herman St.             </t>
  </si>
  <si>
    <t>10085 US 23</t>
  </si>
  <si>
    <t xml:space="preserve">1997 MAIN ST.                 </t>
  </si>
  <si>
    <t xml:space="preserve">MACKINAW ISLAND     </t>
  </si>
  <si>
    <t xml:space="preserve">1035 Calcite Rd.              </t>
  </si>
  <si>
    <t>16.64</t>
  </si>
  <si>
    <t xml:space="preserve">5884 A STREET                 </t>
  </si>
  <si>
    <t xml:space="preserve">12842 S. STATE HWY            </t>
  </si>
  <si>
    <t xml:space="preserve">WOLVERINE           </t>
  </si>
  <si>
    <t xml:space="preserve">279 US 23                     </t>
  </si>
  <si>
    <t xml:space="preserve">ROGER CITY          </t>
  </si>
  <si>
    <t>7.68</t>
  </si>
  <si>
    <t xml:space="preserve">20855 WASHINGTON AVE          </t>
  </si>
  <si>
    <t xml:space="preserve">ONWAY               </t>
  </si>
  <si>
    <t xml:space="preserve">902 BOAT CLUB DRIVE           </t>
  </si>
  <si>
    <t xml:space="preserve">P.O. BOX 6041                 </t>
  </si>
  <si>
    <t>5884 A ST</t>
  </si>
  <si>
    <t>BLDG 7</t>
  </si>
  <si>
    <t>5839 S. Straits Highway</t>
  </si>
  <si>
    <t xml:space="preserve">INDIAN RIVER        </t>
  </si>
  <si>
    <t xml:space="preserve">21258 W M-68 HWY              </t>
  </si>
  <si>
    <t>PO Box 722</t>
  </si>
  <si>
    <t>1.97</t>
  </si>
  <si>
    <t>555 N BRADLEY HWY STE D</t>
  </si>
  <si>
    <t>3.65</t>
  </si>
  <si>
    <t xml:space="preserve">7234 MAIN ST                  </t>
  </si>
  <si>
    <t>7640 US31 SOUTH</t>
  </si>
  <si>
    <t>13.86</t>
  </si>
  <si>
    <t>4524 S. STRAITS HWY</t>
  </si>
  <si>
    <t>6220 M-68</t>
  </si>
  <si>
    <t>18.39</t>
  </si>
  <si>
    <t>912 S. MAIN ST</t>
  </si>
  <si>
    <t>7.06</t>
  </si>
  <si>
    <t>101 S. BRADLEY HWY</t>
  </si>
  <si>
    <t>200 S. STATE</t>
  </si>
  <si>
    <t>12.07</t>
  </si>
  <si>
    <t>917 W US-2</t>
  </si>
  <si>
    <t>18.2</t>
  </si>
  <si>
    <t>6416 RIGGSVILLE RD</t>
  </si>
  <si>
    <t>824 S. HURON ST.</t>
  </si>
  <si>
    <t>8.04</t>
  </si>
  <si>
    <t>16454 US 23 N</t>
  </si>
  <si>
    <t>9500 N. M-33</t>
  </si>
  <si>
    <t>6272 M-68 HWY</t>
  </si>
  <si>
    <t>48749</t>
  </si>
  <si>
    <t>6201 US 23 N</t>
  </si>
  <si>
    <t xml:space="preserve">10706 MICHIGAN AVE </t>
  </si>
  <si>
    <t>POSEN EZ MART #772</t>
  </si>
  <si>
    <t>101M</t>
  </si>
  <si>
    <t>70031</t>
  </si>
  <si>
    <t xml:space="preserve">SANDCASTLE BEACH RESORT       </t>
  </si>
  <si>
    <t xml:space="preserve">3354 US 23,OSCODA              </t>
  </si>
  <si>
    <t>Held 09/02/24 - 05/01/25</t>
  </si>
  <si>
    <t>70518</t>
  </si>
  <si>
    <t xml:space="preserve">Alpena County Road            </t>
  </si>
  <si>
    <t>1400 N. BAGLEY STREET,ALPENA</t>
  </si>
  <si>
    <t>6:00 AM</t>
  </si>
  <si>
    <t>5:00 PM</t>
  </si>
  <si>
    <t>70588</t>
  </si>
  <si>
    <t xml:space="preserve">Alpena Electric Motor Service </t>
  </si>
  <si>
    <t xml:space="preserve">1581 M-32 West,Alpena              </t>
  </si>
  <si>
    <t>7:00 AM</t>
  </si>
  <si>
    <t>4:00 PM</t>
  </si>
  <si>
    <t>SUBWAY- OSCODA</t>
  </si>
  <si>
    <t>5121 US 23 NORTH,OSCODA</t>
  </si>
  <si>
    <t>9:00 AM</t>
  </si>
  <si>
    <t>70622</t>
  </si>
  <si>
    <t>WOLVERINE STATE CREDIT UNION</t>
  </si>
  <si>
    <t>201 N. STATE AVE.,OSCODA</t>
  </si>
  <si>
    <t>71198</t>
  </si>
  <si>
    <t xml:space="preserve">AMERICAN LEGION 254          </t>
  </si>
  <si>
    <t xml:space="preserve">2205 Alger,Mikado              </t>
  </si>
  <si>
    <t>71199</t>
  </si>
  <si>
    <t xml:space="preserve">Mikado Tavern                 </t>
  </si>
  <si>
    <t xml:space="preserve">2167 S. F 41,Mikado              </t>
  </si>
  <si>
    <t>3:00 PM</t>
  </si>
  <si>
    <t>71213</t>
  </si>
  <si>
    <t xml:space="preserve">V.F.W. Post 3735              </t>
  </si>
  <si>
    <t xml:space="preserve">240 Chrysler,Oscoda              </t>
  </si>
  <si>
    <t>71215</t>
  </si>
  <si>
    <t xml:space="preserve">Oscoda Kentucky Fried Chicken </t>
  </si>
  <si>
    <t xml:space="preserve">5150 N US-23,Oscoda              </t>
  </si>
  <si>
    <t>71219</t>
  </si>
  <si>
    <t>CHANG YANG</t>
  </si>
  <si>
    <t xml:space="preserve">220 S. State St.,Oscoda              </t>
  </si>
  <si>
    <t>5:00 AM</t>
  </si>
  <si>
    <t>71220</t>
  </si>
  <si>
    <t xml:space="preserve">AuSable Trans                 </t>
  </si>
  <si>
    <t xml:space="preserve">209 S. State St.,Oscoda              </t>
  </si>
  <si>
    <t>8:00 AM</t>
  </si>
  <si>
    <t>71224</t>
  </si>
  <si>
    <t xml:space="preserve">Vista Lanes                   </t>
  </si>
  <si>
    <t xml:space="preserve">5214 N. US-23,Oscoda              </t>
  </si>
  <si>
    <t>71225</t>
  </si>
  <si>
    <t xml:space="preserve">Block &amp; Bottle                </t>
  </si>
  <si>
    <t xml:space="preserve">5155 US-23 North,Oscoda              </t>
  </si>
  <si>
    <t>71229</t>
  </si>
  <si>
    <t xml:space="preserve">Gilbert's Drug Store          </t>
  </si>
  <si>
    <t xml:space="preserve">212 State St.,Oscoda              </t>
  </si>
  <si>
    <t>71231</t>
  </si>
  <si>
    <t xml:space="preserve">Desi's Taco Lounge            </t>
  </si>
  <si>
    <t xml:space="preserve">1945 W. River,Oscoda              </t>
  </si>
  <si>
    <t>8:30 AM</t>
  </si>
  <si>
    <t>71235</t>
  </si>
  <si>
    <t xml:space="preserve">Johnson Auto Supply           </t>
  </si>
  <si>
    <t xml:space="preserve">5070 US-23,Oscoda              </t>
  </si>
  <si>
    <t>72000</t>
  </si>
  <si>
    <t xml:space="preserve">American Legion               </t>
  </si>
  <si>
    <t xml:space="preserve">849 S. State,Oscoda              </t>
  </si>
  <si>
    <t xml:space="preserve">ALCONA HEALTH CENTER - OSCODA </t>
  </si>
  <si>
    <t xml:space="preserve">208 SOUTH STATE ST,OSCODA              </t>
  </si>
  <si>
    <t>ALCONA HEALTH CENTER-OSCODA</t>
  </si>
  <si>
    <t>208 SOUTH STATE ST,OSCODA</t>
  </si>
  <si>
    <t>00016</t>
  </si>
  <si>
    <t>A.H.C.-RICHARDSON OWL</t>
  </si>
  <si>
    <t>3630 E RIVER RD,OSCODA</t>
  </si>
  <si>
    <t>73359</t>
  </si>
  <si>
    <t>AUSABLE TOWNSHIP HALL</t>
  </si>
  <si>
    <t>4420 NORTH HURON ROAD,OSCODA</t>
  </si>
  <si>
    <t>73431</t>
  </si>
  <si>
    <t>HURON COMMUNITY BANK-OSCODA</t>
  </si>
  <si>
    <t>5077 N. US 23,OSCODA</t>
  </si>
  <si>
    <t>73496</t>
  </si>
  <si>
    <t>MIDWEST DIESEL SERVICE LLC</t>
  </si>
  <si>
    <t>7230 M-32,ALPENA</t>
  </si>
  <si>
    <t>73579</t>
  </si>
  <si>
    <t>OFFICE LOUNGE &amp; GRILL</t>
  </si>
  <si>
    <t>110 E. DWIGHT ST.,OSCODA</t>
  </si>
  <si>
    <t>73607</t>
  </si>
  <si>
    <t>WEINKAUF PLUMBING &amp; HEATING</t>
  </si>
  <si>
    <t>1411 M-43 W,ALPENA</t>
  </si>
  <si>
    <t>73613</t>
  </si>
  <si>
    <t>SECOND CHANCE ANIMAL SHELTER</t>
  </si>
  <si>
    <t>1110 DEVERE DR.,ALPENA</t>
  </si>
  <si>
    <t>00192</t>
  </si>
  <si>
    <t>BLARNEY CASTLE 653</t>
  </si>
  <si>
    <t>5170 N STATE ST,OSCODA</t>
  </si>
  <si>
    <t>Alpena Alcona Area C.U. (Oscod</t>
  </si>
  <si>
    <t xml:space="preserve">103 S. State St.,Oscoda              </t>
  </si>
  <si>
    <t>99054</t>
  </si>
  <si>
    <t>00030</t>
  </si>
  <si>
    <t xml:space="preserve">CHARTER COMMUNICATION OSCODA  </t>
  </si>
  <si>
    <t xml:space="preserve">345 S. STATE ST.,OSCODA              </t>
  </si>
  <si>
    <t>99058</t>
  </si>
  <si>
    <t>00046</t>
  </si>
  <si>
    <t>FORWARDS OSCODA #137</t>
  </si>
  <si>
    <t>5123 N. US-23,OSCODA</t>
  </si>
  <si>
    <t>00047</t>
  </si>
  <si>
    <t>GARY OIL BASE GARAGE</t>
  </si>
  <si>
    <t>00120</t>
  </si>
  <si>
    <t>ROGERS-OSCOCA 4055</t>
  </si>
  <si>
    <t>5112 US 23,OSCODA</t>
  </si>
  <si>
    <t>99121</t>
  </si>
  <si>
    <t xml:space="preserve">Oscoda G's Pizzeria           </t>
  </si>
  <si>
    <t xml:space="preserve">5226 N. US-23,Oscoda              </t>
  </si>
  <si>
    <t>ALPENA REGIONAL MEDICAL CENTER</t>
  </si>
  <si>
    <t xml:space="preserve">1501 W. Chisholm,Alpena              </t>
  </si>
  <si>
    <t>00011</t>
  </si>
  <si>
    <t>MYMICHIGAN IMAGING SERVICES</t>
  </si>
  <si>
    <t>208 S. STATE STREET,OSCODA</t>
  </si>
  <si>
    <t>101T</t>
  </si>
  <si>
    <t>70486</t>
  </si>
  <si>
    <t xml:space="preserve">Alcona Motors, Inc.           </t>
  </si>
  <si>
    <t xml:space="preserve">313 S. Second Lincoln,Lincoln             </t>
  </si>
  <si>
    <t>70502</t>
  </si>
  <si>
    <t xml:space="preserve">Latitudes                     </t>
  </si>
  <si>
    <t xml:space="preserve">307 W. Chisholm St.,Alpena              </t>
  </si>
  <si>
    <t>70603</t>
  </si>
  <si>
    <t>ALLEGRA PRINTING</t>
  </si>
  <si>
    <t xml:space="preserve">829 W. Chisholm St.,Alpena              </t>
  </si>
  <si>
    <t>70634</t>
  </si>
  <si>
    <t xml:space="preserve">Magnaloy Coupling             </t>
  </si>
  <si>
    <t xml:space="preserve">501 Commerce Drive,Alpena              </t>
  </si>
  <si>
    <t>70666</t>
  </si>
  <si>
    <t xml:space="preserve">Sports Page Lounge            </t>
  </si>
  <si>
    <t xml:space="preserve">823 W. Chisholm St.,Alpena              </t>
  </si>
  <si>
    <t>70707</t>
  </si>
  <si>
    <t xml:space="preserve">Steve's Repair Shop           </t>
  </si>
  <si>
    <t xml:space="preserve">1208 N. US-23,Alpena              </t>
  </si>
  <si>
    <t>70740</t>
  </si>
  <si>
    <t xml:space="preserve">Joe's Bar                     </t>
  </si>
  <si>
    <t xml:space="preserve">1300 Ford Ave.,Alpena              </t>
  </si>
  <si>
    <t>70799</t>
  </si>
  <si>
    <t xml:space="preserve">Alcona Elementary School      </t>
  </si>
  <si>
    <t xml:space="preserve">51 N. Barlow Rd.,Lincoln             </t>
  </si>
  <si>
    <t>2:30 PM</t>
  </si>
  <si>
    <t>70800</t>
  </si>
  <si>
    <t xml:space="preserve">Alcona High School            </t>
  </si>
  <si>
    <t>70801</t>
  </si>
  <si>
    <t>ALCONA COUNTY COMMISION ON AGI</t>
  </si>
  <si>
    <t xml:space="preserve">207 CHURCH ST.,LINCOLN             </t>
  </si>
  <si>
    <t>71174</t>
  </si>
  <si>
    <t xml:space="preserve">Barton City Eagles            </t>
  </si>
  <si>
    <t xml:space="preserve">671 Sanborn Rd.,Barton City         </t>
  </si>
  <si>
    <t>71176</t>
  </si>
  <si>
    <t>SCOTT'S BAR &amp; GRILL</t>
  </si>
  <si>
    <t xml:space="preserve">1758 W TRASK LAKE RD,Barton City         </t>
  </si>
  <si>
    <t>71181</t>
  </si>
  <si>
    <t xml:space="preserve">Lincoln Outdoor Center        </t>
  </si>
  <si>
    <t>300 S SECOND ST,LINCOLN</t>
  </si>
  <si>
    <t>71182</t>
  </si>
  <si>
    <t>NORTHERN INDUSTRIAL WOOD INC.</t>
  </si>
  <si>
    <t xml:space="preserve">507 STATE ROAD,Lincoln             </t>
  </si>
  <si>
    <t>71183</t>
  </si>
  <si>
    <t xml:space="preserve">Northern Precision            </t>
  </si>
  <si>
    <t xml:space="preserve">601 South Lake St,Lincoln             </t>
  </si>
  <si>
    <t>71193</t>
  </si>
  <si>
    <t xml:space="preserve">Alcona County Road            </t>
  </si>
  <si>
    <t>301 N LAKE ST,LINCOLN</t>
  </si>
  <si>
    <t>71194</t>
  </si>
  <si>
    <t xml:space="preserve">Lincoln Haven Health Care     </t>
  </si>
  <si>
    <t xml:space="preserve">950 N. Barlow Rd.,Lincoln             </t>
  </si>
  <si>
    <t xml:space="preserve">Alcona Health Center-Lincoln  </t>
  </si>
  <si>
    <t xml:space="preserve">177 N. BARLOW RD,Lincoln             </t>
  </si>
  <si>
    <t>ALCONA HEALTH CENTER-PEDIATRIC</t>
  </si>
  <si>
    <t xml:space="preserve">1209 US 23 N,ALPENA              </t>
  </si>
  <si>
    <t>00014</t>
  </si>
  <si>
    <t>A.H.C-LINCOLN TIGER ELEMENTARY</t>
  </si>
  <si>
    <t>181 N BARLOW RD,LINCOLN</t>
  </si>
  <si>
    <t>73314</t>
  </si>
  <si>
    <t>MARATHON</t>
  </si>
  <si>
    <t>921 N BARLOW,LINCOLN</t>
  </si>
  <si>
    <t>5:30 AM</t>
  </si>
  <si>
    <t>73420</t>
  </si>
  <si>
    <t>LOST LAKE WOODS</t>
  </si>
  <si>
    <t>4243 LOST LAKE TRAIL,LINCOLN</t>
  </si>
  <si>
    <t>HURON COMMUNITY BANK-LINCOLN</t>
  </si>
  <si>
    <t>327 TRAVERSE BAY ROAD,LINCOLN</t>
  </si>
  <si>
    <t>73457</t>
  </si>
  <si>
    <t>JACKS GARAGE</t>
  </si>
  <si>
    <t>324 E HAWLEY,LINCOLN</t>
  </si>
  <si>
    <t>73602</t>
  </si>
  <si>
    <t>HAMMER &amp; NAIL RESTAURANT</t>
  </si>
  <si>
    <t>1770 W. TRASK LAKE RD.,BARTON CITY</t>
  </si>
  <si>
    <t xml:space="preserve">Alp-Alcona C.U.(Lincoln)      </t>
  </si>
  <si>
    <t xml:space="preserve">111 Church St. Lincoln,Lincoln             </t>
  </si>
  <si>
    <t xml:space="preserve">Alp-Alcona C.U. (North)       </t>
  </si>
  <si>
    <t xml:space="preserve">1013 US-23 North,Alpena              </t>
  </si>
  <si>
    <t>99053</t>
  </si>
  <si>
    <t>00017</t>
  </si>
  <si>
    <t>I2P, LLC</t>
  </si>
  <si>
    <t>711 WEST CHISHOLM,ALPENA</t>
  </si>
  <si>
    <t>00121</t>
  </si>
  <si>
    <t>THE LINCOLN MARKET 5679</t>
  </si>
  <si>
    <t xml:space="preserve">863 N. Barlow Rd.,Lincoln             </t>
  </si>
  <si>
    <t>6:30 AM</t>
  </si>
  <si>
    <t>MYMICHIGAN HEALTH</t>
  </si>
  <si>
    <t xml:space="preserve">1501 W. Chisholm St.,Alpena              </t>
  </si>
  <si>
    <t>101W</t>
  </si>
  <si>
    <t>70641</t>
  </si>
  <si>
    <t xml:space="preserve">State St. Lube                </t>
  </si>
  <si>
    <t xml:space="preserve">105 Mason St.,Alpena              </t>
  </si>
  <si>
    <t>70773</t>
  </si>
  <si>
    <t xml:space="preserve">Gauthier Heating              </t>
  </si>
  <si>
    <t>5401 N. US -23,BLACK RIVER</t>
  </si>
  <si>
    <t>70803</t>
  </si>
  <si>
    <t xml:space="preserve">Party &amp; Food Center           </t>
  </si>
  <si>
    <t xml:space="preserve">5692 N. F-41,Oscoda              </t>
  </si>
  <si>
    <t>70805</t>
  </si>
  <si>
    <t xml:space="preserve">Irish Pub                     </t>
  </si>
  <si>
    <t xml:space="preserve">4709 F-41,Oscoda              </t>
  </si>
  <si>
    <t>71054</t>
  </si>
  <si>
    <t xml:space="preserve">Sunrise Tool Products         </t>
  </si>
  <si>
    <t xml:space="preserve">604 S. Third,Harrisville         </t>
  </si>
  <si>
    <t>71058</t>
  </si>
  <si>
    <t xml:space="preserve">Manus Tool                    </t>
  </si>
  <si>
    <t xml:space="preserve">510 S. Third St.,Harrisville         </t>
  </si>
  <si>
    <t>71059</t>
  </si>
  <si>
    <t xml:space="preserve">SHOTMAKERS                    </t>
  </si>
  <si>
    <t xml:space="preserve">49 Main Street,HARRISVILLE         </t>
  </si>
  <si>
    <t>11:30 AM</t>
  </si>
  <si>
    <t>71206</t>
  </si>
  <si>
    <t xml:space="preserve">Tait's Bill of Fare           </t>
  </si>
  <si>
    <t xml:space="preserve">111 E. Dwight Ave.,Oscoda              </t>
  </si>
  <si>
    <t>71207</t>
  </si>
  <si>
    <t xml:space="preserve">Pete's Party Store            </t>
  </si>
  <si>
    <t xml:space="preserve">6521 US-23 North,Oscoda              </t>
  </si>
  <si>
    <t>71211</t>
  </si>
  <si>
    <t xml:space="preserve">Lakewood Shores P.O.A.        </t>
  </si>
  <si>
    <t xml:space="preserve">7701 E. Cedar Lake Dr.,Oscoda              </t>
  </si>
  <si>
    <t>71218</t>
  </si>
  <si>
    <t xml:space="preserve">Mama's Country Kitchen        </t>
  </si>
  <si>
    <t xml:space="preserve">384 S. State Street,Oscoda              </t>
  </si>
  <si>
    <t>71237</t>
  </si>
  <si>
    <t xml:space="preserve">Eagles                        </t>
  </si>
  <si>
    <t xml:space="preserve">6685 US-23 North,Oscoda              </t>
  </si>
  <si>
    <t>2:00 PM</t>
  </si>
  <si>
    <t>71238</t>
  </si>
  <si>
    <t xml:space="preserve">Trinity Lutheran Church       </t>
  </si>
  <si>
    <t xml:space="preserve">5625 N. US 23,Oscoda              </t>
  </si>
  <si>
    <t>71411</t>
  </si>
  <si>
    <t xml:space="preserve">Jamieson Nursing Home         </t>
  </si>
  <si>
    <t xml:space="preserve">790 U.S. 23 South,Harrisville         </t>
  </si>
  <si>
    <t>Alcona Health Center - Harrisv</t>
  </si>
  <si>
    <t xml:space="preserve">205 North State Street,Harrisville         </t>
  </si>
  <si>
    <t>73311</t>
  </si>
  <si>
    <t>HILLTOP BAR &amp; GRILL</t>
  </si>
  <si>
    <t>431 N MILL ST,OSCODA</t>
  </si>
  <si>
    <t>73327</t>
  </si>
  <si>
    <t>MOUNTAIN FOOD SERVICE</t>
  </si>
  <si>
    <t>5495 US 23 N,BLACK RIVER</t>
  </si>
  <si>
    <t>73383</t>
  </si>
  <si>
    <t>VILLAGES OF OSCODA</t>
  </si>
  <si>
    <t>5631 GEORGIA DRIVE,OSCODA</t>
  </si>
  <si>
    <t>HURON COMMUNITY BANK-HARRISVIL</t>
  </si>
  <si>
    <t>423 EAST MAIN STREET,HARRISVILLE</t>
  </si>
  <si>
    <t>73498</t>
  </si>
  <si>
    <t>ALCONA BREW HAUS</t>
  </si>
  <si>
    <t>676 N. US-23,HARRISVILLE</t>
  </si>
  <si>
    <t>73532</t>
  </si>
  <si>
    <t>WAGON WHEEL BAR &amp; GRILL</t>
  </si>
  <si>
    <t>2030 E. NICHOLSON HILL RD,OSSINEKE</t>
  </si>
  <si>
    <t>73533</t>
  </si>
  <si>
    <t>AUSABLE COLLISION</t>
  </si>
  <si>
    <t>5660 F-41,OSCODA</t>
  </si>
  <si>
    <t>73538</t>
  </si>
  <si>
    <t>THE RED FORK</t>
  </si>
  <si>
    <t>3228 US-23,GREENBUSH</t>
  </si>
  <si>
    <t>837 S. STATE,OSCODA</t>
  </si>
  <si>
    <t>73563</t>
  </si>
  <si>
    <t>PLOWMANS</t>
  </si>
  <si>
    <t>3146 US 23 SOUTH,ALPENA</t>
  </si>
  <si>
    <t>00066</t>
  </si>
  <si>
    <t>BLARNEY CASTLE #536</t>
  </si>
  <si>
    <t>449 S. US 23,HARRISVILLE</t>
  </si>
  <si>
    <t>00187</t>
  </si>
  <si>
    <t>BLARNEY CASTLE 538</t>
  </si>
  <si>
    <t>217 S. STATE,HARRISVILLE</t>
  </si>
  <si>
    <t>00113</t>
  </si>
  <si>
    <t>FAMILY FARE #1519</t>
  </si>
  <si>
    <t>5463 N. HURON RD.,OSCODA</t>
  </si>
  <si>
    <t>FAMILY FARE #1519 FIRST AID</t>
  </si>
  <si>
    <t>101R</t>
  </si>
  <si>
    <t>70106</t>
  </si>
  <si>
    <t xml:space="preserve">KENTUCKY FRIED CHICKEN        </t>
  </si>
  <si>
    <t xml:space="preserve">1130 STATE ST,ALPENA              </t>
  </si>
  <si>
    <t>70485</t>
  </si>
  <si>
    <t xml:space="preserve">ARBY'S                        </t>
  </si>
  <si>
    <t xml:space="preserve">2250 US-23 SOUTH,Alpena              </t>
  </si>
  <si>
    <t>70500</t>
  </si>
  <si>
    <t xml:space="preserve">Players Pub &amp; Grub            </t>
  </si>
  <si>
    <t xml:space="preserve">113 S. Ninth St.,Alpena              </t>
  </si>
  <si>
    <t>70565</t>
  </si>
  <si>
    <t xml:space="preserve">Mancino's - Alpena            </t>
  </si>
  <si>
    <t xml:space="preserve">1235 State St.,Alpena              </t>
  </si>
  <si>
    <t>70623</t>
  </si>
  <si>
    <t xml:space="preserve">Downtown Union 76             </t>
  </si>
  <si>
    <t xml:space="preserve">201 E. Chisholm St.,Alpena              </t>
  </si>
  <si>
    <t xml:space="preserve">Great Northern Food           </t>
  </si>
  <si>
    <t xml:space="preserve">170 N. Industrial Hwy.,Alpena              </t>
  </si>
  <si>
    <t>70711</t>
  </si>
  <si>
    <t xml:space="preserve">Bogarts Tavern                </t>
  </si>
  <si>
    <t xml:space="preserve">2085 Werth Rd.,Alpena              </t>
  </si>
  <si>
    <t>70762</t>
  </si>
  <si>
    <t xml:space="preserve">Rosa's Lookout Inn            </t>
  </si>
  <si>
    <t xml:space="preserve">6808 US-23 South,Spruce              </t>
  </si>
  <si>
    <t>70768</t>
  </si>
  <si>
    <t xml:space="preserve">Ossineke Pharmacy             </t>
  </si>
  <si>
    <t xml:space="preserve">11897 US-23 South,Ossineke            </t>
  </si>
  <si>
    <t>70769</t>
  </si>
  <si>
    <t xml:space="preserve">Francis Service               </t>
  </si>
  <si>
    <t xml:space="preserve">11923 US-23 SOUTH,Ossineke            </t>
  </si>
  <si>
    <t>70780</t>
  </si>
  <si>
    <t xml:space="preserve">Connie's Cafe                 </t>
  </si>
  <si>
    <t xml:space="preserve">11585 US-23 South,Ossineke            </t>
  </si>
  <si>
    <t>70784</t>
  </si>
  <si>
    <t xml:space="preserve">CHIPPEWA POINT                </t>
  </si>
  <si>
    <t xml:space="preserve">6575 US 23,SPRUCE              </t>
  </si>
  <si>
    <t>71016</t>
  </si>
  <si>
    <t xml:space="preserve">DeRocher Masonry              </t>
  </si>
  <si>
    <t xml:space="preserve">12272 US-23 South,Ossineke            </t>
  </si>
  <si>
    <t>71061</t>
  </si>
  <si>
    <t xml:space="preserve">North End Restaruant          </t>
  </si>
  <si>
    <t xml:space="preserve">1575 Hubert Rd,Hubbard Lake        </t>
  </si>
  <si>
    <t>71177</t>
  </si>
  <si>
    <t xml:space="preserve">White Pine Golf               </t>
  </si>
  <si>
    <t xml:space="preserve">3450 N.Hubbard Lake Rd.,Spruce              </t>
  </si>
  <si>
    <t>OSSINEKE SERVICES</t>
  </si>
  <si>
    <t xml:space="preserve">11745 US 23 S,Ossineke            </t>
  </si>
  <si>
    <t>73168</t>
  </si>
  <si>
    <t xml:space="preserve">ABEND BROTHERS COLLISION      </t>
  </si>
  <si>
    <t xml:space="preserve">10130 US 23 SOUTH,OSSINEKE            </t>
  </si>
  <si>
    <t>73332</t>
  </si>
  <si>
    <t>COUSINS GRILL</t>
  </si>
  <si>
    <t>214 W MT. MARIE RD,SPRUCE</t>
  </si>
  <si>
    <t>73426</t>
  </si>
  <si>
    <t>STONE BAR &amp; GRILL</t>
  </si>
  <si>
    <t>7002 HURBERT RD,HUBBARD LAKE</t>
  </si>
  <si>
    <t>73489</t>
  </si>
  <si>
    <t>RIVERSIDE APARTMENTS</t>
  </si>
  <si>
    <t>315 RIVER STREET,ALPENA</t>
  </si>
  <si>
    <t>73515</t>
  </si>
  <si>
    <t>NORTHERN INDUSTRIAL SUPPLY</t>
  </si>
  <si>
    <t>1105 STATE STREET,ALPENA</t>
  </si>
  <si>
    <t>73528</t>
  </si>
  <si>
    <t>DAVE'S CUSTOM TILLAGE, INC.</t>
  </si>
  <si>
    <t>289 E. SWEDE ROAD,SPRUCE</t>
  </si>
  <si>
    <t>73545</t>
  </si>
  <si>
    <t>OSSINEKE HARDWARE/BLDG SUPPLY</t>
  </si>
  <si>
    <t>11925 US-23,OSSINEKE</t>
  </si>
  <si>
    <t>73574</t>
  </si>
  <si>
    <t>MICKEY'S MOTORS</t>
  </si>
  <si>
    <t>11895 US-23,OSSINEKE</t>
  </si>
  <si>
    <t>73594</t>
  </si>
  <si>
    <t>LIVING HOPE CHURCH</t>
  </si>
  <si>
    <t>1499 M-32 WEST,ALPENA</t>
  </si>
  <si>
    <t>00057</t>
  </si>
  <si>
    <t>BLARNEY CASTLE 736</t>
  </si>
  <si>
    <t>11596 US 23 SO,OSSINEKE</t>
  </si>
  <si>
    <t>00188</t>
  </si>
  <si>
    <t>BLARNEY CASTLE 588</t>
  </si>
  <si>
    <t>7120 HUBERT RD,HUBBARD LAKE</t>
  </si>
  <si>
    <t xml:space="preserve">Alp-Alcona C.U. (Ossineke)    </t>
  </si>
  <si>
    <t xml:space="preserve">11829 US-23 South,Ossineke            </t>
  </si>
  <si>
    <t>APS SANBORN ELEMENTARY SCHOOL</t>
  </si>
  <si>
    <t xml:space="preserve">12170 US-23 South,Ossineke            </t>
  </si>
  <si>
    <t xml:space="preserve">Big Boy Ripley                </t>
  </si>
  <si>
    <t xml:space="preserve">400 South Ripley,Alpena              </t>
  </si>
  <si>
    <t>99213</t>
  </si>
  <si>
    <t xml:space="preserve">Ossineke Industries           </t>
  </si>
  <si>
    <t xml:space="preserve">10401 Piper Rd.,Ossineke            </t>
  </si>
  <si>
    <t>101F</t>
  </si>
  <si>
    <t>70523</t>
  </si>
  <si>
    <t xml:space="preserve">L &amp; S Concrete Co.            </t>
  </si>
  <si>
    <t xml:space="preserve">520 Fair St.,Alpena              </t>
  </si>
  <si>
    <t>70541</t>
  </si>
  <si>
    <t xml:space="preserve">Immanuel Lutheran Church      </t>
  </si>
  <si>
    <t xml:space="preserve">351 Wilson St.,Alpena              </t>
  </si>
  <si>
    <t>70545</t>
  </si>
  <si>
    <t xml:space="preserve">ALPENA GOLF CLUB              </t>
  </si>
  <si>
    <t xml:space="preserve">1135 GOLF COURSE RD,ALPENA              </t>
  </si>
  <si>
    <t>Held 11/04/24 - 04/01/25</t>
  </si>
  <si>
    <t>70595</t>
  </si>
  <si>
    <t>CHARTER TOWNSHIP OF ALPENA</t>
  </si>
  <si>
    <t xml:space="preserve">4385 US-23 North,Alpena              </t>
  </si>
  <si>
    <t xml:space="preserve">1381 N. Bagley St,Alpena              </t>
  </si>
  <si>
    <t>70655</t>
  </si>
  <si>
    <t xml:space="preserve">19th Hole                     </t>
  </si>
  <si>
    <t xml:space="preserve">1081 U.S.23 North,Alpena              </t>
  </si>
  <si>
    <t>70703</t>
  </si>
  <si>
    <t xml:space="preserve">Skiba Insurance               </t>
  </si>
  <si>
    <t xml:space="preserve">127 River St.,Alpena              </t>
  </si>
  <si>
    <t>70961</t>
  </si>
  <si>
    <t xml:space="preserve">WMCR                          </t>
  </si>
  <si>
    <t>224 WEST CHISHOLM,ALPENA</t>
  </si>
  <si>
    <t>70963</t>
  </si>
  <si>
    <t xml:space="preserve">Thunder Bay Title             </t>
  </si>
  <si>
    <t>621 W CHISHOLM ST,ALPENA</t>
  </si>
  <si>
    <t>73099</t>
  </si>
  <si>
    <t>CLIFF ANSCHUETZ CHEV - SERVICE</t>
  </si>
  <si>
    <t xml:space="preserve">1074 US - 23 NORTH,ALPENA              </t>
  </si>
  <si>
    <t xml:space="preserve">CLIFF ANSCHUETZ CHEVY - BODY  </t>
  </si>
  <si>
    <t xml:space="preserve">1074 US-23 NORTH,ALPENA              </t>
  </si>
  <si>
    <t>73162</t>
  </si>
  <si>
    <t xml:space="preserve">LAFARGE MIDWEST INC OFFICE    </t>
  </si>
  <si>
    <t xml:space="preserve">1435 FORD AVE,ALPENA              </t>
  </si>
  <si>
    <t>73365</t>
  </si>
  <si>
    <t>THE BOAT HOUSE</t>
  </si>
  <si>
    <t>2015 HAMILTON RD,ALPENA</t>
  </si>
  <si>
    <t>Held 11/18/24 - 04/18/25</t>
  </si>
  <si>
    <t>73393</t>
  </si>
  <si>
    <t>SCHULZE, OSWALD, MILLER &amp; EDWA</t>
  </si>
  <si>
    <t>120 N. RIPLEY,ALPENA</t>
  </si>
  <si>
    <t>BIGGBY COFFEE</t>
  </si>
  <si>
    <t>224 E. CHISHOLM STREET,ALPENA</t>
  </si>
  <si>
    <t>73506</t>
  </si>
  <si>
    <t xml:space="preserve">B CUBED </t>
  </si>
  <si>
    <t>666 MCKINLEY AVE,ALPENA</t>
  </si>
  <si>
    <t>Held AR 02/03/25 - 01/01/99</t>
  </si>
  <si>
    <t>73571</t>
  </si>
  <si>
    <t>THUNDER BAY TRANSPORTATION</t>
  </si>
  <si>
    <t>3859 US-23 N.,ALPENA</t>
  </si>
  <si>
    <t>73603</t>
  </si>
  <si>
    <t>ALPENA FLOUR LLC</t>
  </si>
  <si>
    <t>633 W. CAMPBELL ST.,ALPENA</t>
  </si>
  <si>
    <t>73606</t>
  </si>
  <si>
    <t>SCRIBBLES &amp; GIGGLES DAYCARE CT</t>
  </si>
  <si>
    <t>1880 HAMILTON ROAD,ALPENA</t>
  </si>
  <si>
    <t xml:space="preserve">PCI - 2nd Ave.                </t>
  </si>
  <si>
    <t xml:space="preserve">112 2nd Ave,Alpena              </t>
  </si>
  <si>
    <t>00048</t>
  </si>
  <si>
    <t>FORWARD MI STOP</t>
  </si>
  <si>
    <t>1124 US 23 N,ALPENA</t>
  </si>
  <si>
    <t>103M</t>
  </si>
  <si>
    <t>70568</t>
  </si>
  <si>
    <t xml:space="preserve">ALPENA VFW 2496 LOUNGE       </t>
  </si>
  <si>
    <t xml:space="preserve">2900 Connon St.,Alpena              </t>
  </si>
  <si>
    <t>70785</t>
  </si>
  <si>
    <t xml:space="preserve">ALPENA VFW 2496 POST         </t>
  </si>
  <si>
    <t>70790</t>
  </si>
  <si>
    <t xml:space="preserve">Natural Gas Compression       </t>
  </si>
  <si>
    <t>16950 M 32, M33,ATLANTA</t>
  </si>
  <si>
    <t>16950 M 32, M 33,ATLANTA</t>
  </si>
  <si>
    <t>71265</t>
  </si>
  <si>
    <t xml:space="preserve">CANADA CREEK RANCH            </t>
  </si>
  <si>
    <t xml:space="preserve">23500 RANCH HOUSE TRAIL,ATLANTA             </t>
  </si>
  <si>
    <t>4:00 AM</t>
  </si>
  <si>
    <t>71267</t>
  </si>
  <si>
    <t xml:space="preserve">Atlanta Motel                 </t>
  </si>
  <si>
    <t xml:space="preserve">12520 STATE ST,Atlanta             </t>
  </si>
  <si>
    <t>71269</t>
  </si>
  <si>
    <t xml:space="preserve">10980 M-32 West,Atlanta             </t>
  </si>
  <si>
    <t>71272</t>
  </si>
  <si>
    <t xml:space="preserve">Atlanta Community Schools     </t>
  </si>
  <si>
    <t xml:space="preserve">10500 County Rd. 489,Atlanta             </t>
  </si>
  <si>
    <t>71273</t>
  </si>
  <si>
    <t>LUCKY D'S LLC</t>
  </si>
  <si>
    <t xml:space="preserve">12434 STATE ST,Atlanta             </t>
  </si>
  <si>
    <t>71276</t>
  </si>
  <si>
    <t xml:space="preserve">Iron Kettle                   </t>
  </si>
  <si>
    <t xml:space="preserve">4737 SALILNG COUNTY RD 612,Lewiston            </t>
  </si>
  <si>
    <t>71278</t>
  </si>
  <si>
    <t xml:space="preserve">The Villager Restaurant       </t>
  </si>
  <si>
    <t>2935 JENSON,LEWISTON</t>
  </si>
  <si>
    <t>71280</t>
  </si>
  <si>
    <t xml:space="preserve">Redwood Steakhouse            </t>
  </si>
  <si>
    <t>4965 SALLING AVE,LEWSITON</t>
  </si>
  <si>
    <t>71283</t>
  </si>
  <si>
    <t xml:space="preserve">Montmorency Medical Clinic    </t>
  </si>
  <si>
    <t xml:space="preserve">3040 BOURN ST,LEWISTON            </t>
  </si>
  <si>
    <t>71286</t>
  </si>
  <si>
    <t>LEWISTON LODGE</t>
  </si>
  <si>
    <t xml:space="preserve">1525 Fleming,Lewiston            </t>
  </si>
  <si>
    <t>73052</t>
  </si>
  <si>
    <t xml:space="preserve">TALLEY'S BAR                  </t>
  </si>
  <si>
    <t xml:space="preserve">2981 KNEELAND,LEWISTON            </t>
  </si>
  <si>
    <t>73335</t>
  </si>
  <si>
    <t>COMMUNITY FINANCIAL-ATLANTA</t>
  </si>
  <si>
    <t>12483 STATE ST,ATLANTA</t>
  </si>
  <si>
    <t>COMMUNITY FINANCIAL-LEWISTON</t>
  </si>
  <si>
    <t>4970 SAILING AVE,LEWISTON</t>
  </si>
  <si>
    <t>73403</t>
  </si>
  <si>
    <t>CHATTERS BULLPEN BAR &amp; GRILL</t>
  </si>
  <si>
    <t>12350 MAIN ST,ATLANTA</t>
  </si>
  <si>
    <t>Thunder Bay Health - Atlanta 2</t>
  </si>
  <si>
    <t xml:space="preserve">11899 M-32 W,Atlanta             </t>
  </si>
  <si>
    <t>73423</t>
  </si>
  <si>
    <t>A WIN-SANDS MOTEL</t>
  </si>
  <si>
    <t>11630 M-33 N,ATLANTA</t>
  </si>
  <si>
    <t>73424</t>
  </si>
  <si>
    <t>CHATTER'S PIT STOP</t>
  </si>
  <si>
    <t>11610 M-33,ATLANTA</t>
  </si>
  <si>
    <t>73441</t>
  </si>
  <si>
    <t>CCR TRADING POST</t>
  </si>
  <si>
    <t>2433 M-33 SOUTH,ATLANTA</t>
  </si>
  <si>
    <t>9:00 PM</t>
  </si>
  <si>
    <t>73455</t>
  </si>
  <si>
    <t>THE BAKLAVA SHOP</t>
  </si>
  <si>
    <t>2889 KNEELAND ST,LEWISTON</t>
  </si>
  <si>
    <t>73463</t>
  </si>
  <si>
    <t>WINSTON CORNER SUNOCO</t>
  </si>
  <si>
    <t>11310 MAIN ST,ATLANTA</t>
  </si>
  <si>
    <t>73567</t>
  </si>
  <si>
    <t>MA C &amp; LARRYS DINER &amp; PIZZERIA</t>
  </si>
  <si>
    <t>12601 STATE STREET,ATLANTA</t>
  </si>
  <si>
    <t>73592</t>
  </si>
  <si>
    <t>LOVELLS RIVERSIDE TAVERN</t>
  </si>
  <si>
    <t>6535 EAST CO ROAD 612,GRAYLING</t>
  </si>
  <si>
    <t>00174</t>
  </si>
  <si>
    <t>BLARNEY CASTLE EZ MART 837</t>
  </si>
  <si>
    <t>5535 N. RED OAK,LEWISTON</t>
  </si>
  <si>
    <t>00175</t>
  </si>
  <si>
    <t>BLARNEY CASTLE EZ MART 639</t>
  </si>
  <si>
    <t>6510 COUNTY HWY 612,GRAYLING</t>
  </si>
  <si>
    <t>00196</t>
  </si>
  <si>
    <t>LEWISTON EZ MART #644</t>
  </si>
  <si>
    <t>3521 COUNTY RD 612,LEWISTON</t>
  </si>
  <si>
    <t>Held 01/14/25 - 01/15/26</t>
  </si>
  <si>
    <t xml:space="preserve">Alp-Alcona C.U. (Atlanta)     </t>
  </si>
  <si>
    <t>12285 JEROME ST.,ATLANTA</t>
  </si>
  <si>
    <t>00114</t>
  </si>
  <si>
    <t xml:space="preserve">FAMILY FARE #1515 </t>
  </si>
  <si>
    <t>5105 CO. RD 612,LEWISTON</t>
  </si>
  <si>
    <t>99082</t>
  </si>
  <si>
    <t>00012</t>
  </si>
  <si>
    <t xml:space="preserve">SUNRISE STORE 6              </t>
  </si>
  <si>
    <t xml:space="preserve">4831 SAILING AVE,LEWISTON            </t>
  </si>
  <si>
    <t xml:space="preserve">NICOLET BANK - LEWISTON      </t>
  </si>
  <si>
    <t xml:space="preserve">2885 S. Co Rd. 489,Lewiston            </t>
  </si>
  <si>
    <t xml:space="preserve">LEWISTON ACE HARDWARE         </t>
  </si>
  <si>
    <t xml:space="preserve">4910 SALLING AVE.,LEWISTON            </t>
  </si>
  <si>
    <t>ATLANTA IMAGING DEPT.</t>
  </si>
  <si>
    <t>11899 M-32,ATLANTA</t>
  </si>
  <si>
    <t>FAMILY FARE #1515 FIRST AID</t>
  </si>
  <si>
    <t>99173</t>
  </si>
  <si>
    <t xml:space="preserve">LEWISTON SENIOR CENTER        </t>
  </si>
  <si>
    <t xml:space="preserve">2811 KNEELAND,LEWISTON            </t>
  </si>
  <si>
    <t xml:space="preserve">ATLANTA SENIOR CENTER         </t>
  </si>
  <si>
    <t xml:space="preserve">11463 MACARTHUR ROAD,ATLANTA             </t>
  </si>
  <si>
    <t>99193</t>
  </si>
  <si>
    <t xml:space="preserve">MDOT ATLANTA                  </t>
  </si>
  <si>
    <t xml:space="preserve">13490 M-32/M-33,Atlanta             </t>
  </si>
  <si>
    <t xml:space="preserve">H. B. CARBIDE COMPANY 192    </t>
  </si>
  <si>
    <t xml:space="preserve">4210 DOYLE DR,Lewiston            </t>
  </si>
  <si>
    <t xml:space="preserve">4210 DOYLE DR,LEWISTON            </t>
  </si>
  <si>
    <t>103T</t>
  </si>
  <si>
    <t>70608</t>
  </si>
  <si>
    <t xml:space="preserve">Besser Company                </t>
  </si>
  <si>
    <t xml:space="preserve">801 Johnson St.,Alpena              </t>
  </si>
  <si>
    <t>BESSER 23 NORTH</t>
  </si>
  <si>
    <t>801 JOHNSON ST,ALPENA</t>
  </si>
  <si>
    <t>70747</t>
  </si>
  <si>
    <t xml:space="preserve">K &amp; T Party Store             </t>
  </si>
  <si>
    <t xml:space="preserve">10084 M-32,Herron              </t>
  </si>
  <si>
    <t>70754</t>
  </si>
  <si>
    <t xml:space="preserve">LACHINE POST OFFICE           </t>
  </si>
  <si>
    <t xml:space="preserve">2292 M-65 NORTH,LACHINE             </t>
  </si>
  <si>
    <t>70807</t>
  </si>
  <si>
    <t xml:space="preserve">Hillman Community Center      </t>
  </si>
  <si>
    <t xml:space="preserve">24220 Veterans Memorial Hwy,Hillman             </t>
  </si>
  <si>
    <t>70850</t>
  </si>
  <si>
    <t xml:space="preserve">Gaylord Sleep Center          </t>
  </si>
  <si>
    <t xml:space="preserve">930 N. Center Ave.,Gaylord             </t>
  </si>
  <si>
    <t>70886</t>
  </si>
  <si>
    <t xml:space="preserve">Dynamic Physical Therapy      </t>
  </si>
  <si>
    <t xml:space="preserve">2922 D&amp;M DRIVE,Gaylord             </t>
  </si>
  <si>
    <t>71087</t>
  </si>
  <si>
    <t>NORTHSPORT PHYSICAL TERAPY</t>
  </si>
  <si>
    <t>1622 DICKERSON RD.,GAYLORD</t>
  </si>
  <si>
    <t>71088</t>
  </si>
  <si>
    <t xml:space="preserve">Charlton Township Hall        </t>
  </si>
  <si>
    <t xml:space="preserve">10900 E. M-32,Johannesburg        </t>
  </si>
  <si>
    <t>71105</t>
  </si>
  <si>
    <t xml:space="preserve">Old Depot                     </t>
  </si>
  <si>
    <t xml:space="preserve">10826 M-32 East,Johannesburg        </t>
  </si>
  <si>
    <t>71112</t>
  </si>
  <si>
    <t>BJ'S CATERING AND CONFERENCE</t>
  </si>
  <si>
    <t xml:space="preserve">990 N. Center,Gaylord             </t>
  </si>
  <si>
    <t>71115</t>
  </si>
  <si>
    <t xml:space="preserve">Earthworks Enterprises        </t>
  </si>
  <si>
    <t xml:space="preserve">5584 E. M-32,Gaylord             </t>
  </si>
  <si>
    <t>71138</t>
  </si>
  <si>
    <t xml:space="preserve">NORTHEAST MI CONSORTIUM </t>
  </si>
  <si>
    <t xml:space="preserve">2927 D&amp;M Drive,Gaylord             </t>
  </si>
  <si>
    <t>71241</t>
  </si>
  <si>
    <t xml:space="preserve">Bernard Building - Hillman    </t>
  </si>
  <si>
    <t xml:space="preserve">27300 M-32,Hillman             </t>
  </si>
  <si>
    <t>71242</t>
  </si>
  <si>
    <t xml:space="preserve">Calvary Episcopal Church      </t>
  </si>
  <si>
    <t xml:space="preserve">330 State St.,Hillman             </t>
  </si>
  <si>
    <t>71372</t>
  </si>
  <si>
    <t xml:space="preserve">Paul's Pub                    </t>
  </si>
  <si>
    <t xml:space="preserve">10757 M-32,Johannesburg        </t>
  </si>
  <si>
    <t>73028</t>
  </si>
  <si>
    <t xml:space="preserve">HILLMAN ELEMENTARY SCHOOL     </t>
  </si>
  <si>
    <t xml:space="preserve">245 THIRD ST.,HILLMAN             </t>
  </si>
  <si>
    <t>73029</t>
  </si>
  <si>
    <t xml:space="preserve">HILLMAN HIGH SCHOOL           </t>
  </si>
  <si>
    <t xml:space="preserve">26045 M-32,HILLMAN             </t>
  </si>
  <si>
    <t>73045</t>
  </si>
  <si>
    <t>ZIP'S HARLEY DAVIDSON</t>
  </si>
  <si>
    <t xml:space="preserve">980 S. WISCONSIN AVE.,GAYLORD             </t>
  </si>
  <si>
    <t>73245</t>
  </si>
  <si>
    <t>H&amp;R BLOCK-SPAP INC</t>
  </si>
  <si>
    <t>604 WEST MAIN,GAYLORD</t>
  </si>
  <si>
    <t>COMMUNITY FINANCIAL-HILLMAN</t>
  </si>
  <si>
    <t>27477 MICHIGAN AVE,HILLMAN</t>
  </si>
  <si>
    <t>73341</t>
  </si>
  <si>
    <t>NEMROC</t>
  </si>
  <si>
    <t>800 BOLTON,ALPENA</t>
  </si>
  <si>
    <t>73382</t>
  </si>
  <si>
    <t>HILLMAN POST OFFICE</t>
  </si>
  <si>
    <t>111 N. STATE,HILLMAN</t>
  </si>
  <si>
    <t>12:30 PM</t>
  </si>
  <si>
    <t>73386</t>
  </si>
  <si>
    <t>A-1 PARTY MART</t>
  </si>
  <si>
    <t>230 N. STATE STREET,HILLMAN</t>
  </si>
  <si>
    <t xml:space="preserve">Thunder Bay Health-Hillman    </t>
  </si>
  <si>
    <t xml:space="preserve">15774 STATE STREET,HILLMAN             </t>
  </si>
  <si>
    <t>00010</t>
  </si>
  <si>
    <t>THUNDER BAY HEALTH-JOHANNESBUR</t>
  </si>
  <si>
    <t>10854 M32,JOHANNESBURG</t>
  </si>
  <si>
    <t>73418</t>
  </si>
  <si>
    <t>BUCKY'S MEATS</t>
  </si>
  <si>
    <t>13370 DALLAS RD,LACHINE</t>
  </si>
  <si>
    <t>73437</t>
  </si>
  <si>
    <t>JO JO'S MARKET</t>
  </si>
  <si>
    <t>1459 S. OTSEGO AVE,GAYLORD</t>
  </si>
  <si>
    <t>73447</t>
  </si>
  <si>
    <t>VAN PAMELS HOMETOWN DINER</t>
  </si>
  <si>
    <t>14962 STATE ST,HILLMAN</t>
  </si>
  <si>
    <t>73453</t>
  </si>
  <si>
    <t>GREAT LAKES PLUMBING</t>
  </si>
  <si>
    <t>901 DICKENSON,GAYLORD</t>
  </si>
  <si>
    <t>73536</t>
  </si>
  <si>
    <t>VALLEY TRUCK PARTS</t>
  </si>
  <si>
    <t>2483 DICKERSON RD,GAYLORD</t>
  </si>
  <si>
    <t>73537</t>
  </si>
  <si>
    <t>SWAMP II</t>
  </si>
  <si>
    <t>6549 N OLD 27,FREDERIC</t>
  </si>
  <si>
    <t>73581</t>
  </si>
  <si>
    <t>HILLMAN TIRE</t>
  </si>
  <si>
    <t>24320 VETERANS MEMORIAL HWY.,HILLMAN</t>
  </si>
  <si>
    <t>73585</t>
  </si>
  <si>
    <t>SMITH EQUIPMENT RENTAL</t>
  </si>
  <si>
    <t>2349 S. OTSEGO AVE,GAYLORD</t>
  </si>
  <si>
    <t>73597</t>
  </si>
  <si>
    <t>MICHIGAN STATE POLICE-GAYLORD</t>
  </si>
  <si>
    <t>931 S. OTSEGO AVE,GAYLORD</t>
  </si>
  <si>
    <t>73605</t>
  </si>
  <si>
    <t>ELI'S FREEDOM MARKET</t>
  </si>
  <si>
    <t>531 STATE STREET,HILLMAN</t>
  </si>
  <si>
    <t>00058</t>
  </si>
  <si>
    <t>BLARNEY CASTLE 484</t>
  </si>
  <si>
    <t>2678 S OTSEGO AVE,GAYLORD</t>
  </si>
  <si>
    <t>00110</t>
  </si>
  <si>
    <t>BLARNEY WATERS 894</t>
  </si>
  <si>
    <t>10703 OLD US 27 SOUTH,WATERS</t>
  </si>
  <si>
    <t>00138</t>
  </si>
  <si>
    <t>BLARNEY CASTLE #566</t>
  </si>
  <si>
    <t xml:space="preserve">27400 M-32,Hillman             </t>
  </si>
  <si>
    <t xml:space="preserve">Forwards - Gaylord South 144  </t>
  </si>
  <si>
    <t xml:space="preserve">2870 S. Ostego Ave.,Gaylord             </t>
  </si>
  <si>
    <t>00036</t>
  </si>
  <si>
    <t>FORWARDS/SUBWAY-308</t>
  </si>
  <si>
    <t xml:space="preserve">2859 S OTSEGO AVE,GAYLORD             </t>
  </si>
  <si>
    <t xml:space="preserve">HILLMAN IMAGING DEPT. </t>
  </si>
  <si>
    <t>15774 STATE STREET,HILLMAN</t>
  </si>
  <si>
    <t>FAMILY FARE #1510 FIRST AID</t>
  </si>
  <si>
    <t>829 W. MAIN,GAYLORD</t>
  </si>
  <si>
    <t xml:space="preserve">Hillman Senior Center         </t>
  </si>
  <si>
    <t xml:space="preserve">431 Pineview Court,Hillman             </t>
  </si>
  <si>
    <t xml:space="preserve">MDOT-Gaylord                  </t>
  </si>
  <si>
    <t xml:space="preserve">1088 M-32 East,Gaylord             </t>
  </si>
  <si>
    <t xml:space="preserve">M-DOT HILLMAN                 </t>
  </si>
  <si>
    <t xml:space="preserve">410 N. STATE ST.,HILLMAN             </t>
  </si>
  <si>
    <t>103W</t>
  </si>
  <si>
    <t>232954</t>
  </si>
  <si>
    <t>520 S. OTSEGO AVE,GAYLORD</t>
  </si>
  <si>
    <t>70521</t>
  </si>
  <si>
    <t xml:space="preserve">Beaver's Automotive           </t>
  </si>
  <si>
    <t xml:space="preserve">600 N. Ripley,Alpena              </t>
  </si>
  <si>
    <t>70587</t>
  </si>
  <si>
    <t xml:space="preserve">BOBS MUFFLER &amp; REPAIR </t>
  </si>
  <si>
    <t xml:space="preserve">2277 US-23 SOUTH,Alpena              </t>
  </si>
  <si>
    <t>70723</t>
  </si>
  <si>
    <t>GAYLORD ORAL SURGERY</t>
  </si>
  <si>
    <t>400 WEST MAIN ST.,GAYLORD</t>
  </si>
  <si>
    <t>70756</t>
  </si>
  <si>
    <t xml:space="preserve">Little Town Lounge            </t>
  </si>
  <si>
    <t xml:space="preserve">10026 M-32 West,Herron              </t>
  </si>
  <si>
    <t>71008</t>
  </si>
  <si>
    <t xml:space="preserve">WCISEL CONSTRUCTION           </t>
  </si>
  <si>
    <t>1054 ANNA DR,GAYLORD</t>
  </si>
  <si>
    <t>71121</t>
  </si>
  <si>
    <t xml:space="preserve">Gaylord Eye Care Center       </t>
  </si>
  <si>
    <t xml:space="preserve">829 W. Main,Gaylord             </t>
  </si>
  <si>
    <t>71413</t>
  </si>
  <si>
    <t xml:space="preserve">Bronco Oil                    </t>
  </si>
  <si>
    <t xml:space="preserve">231 S. Indiana,Gaylord             </t>
  </si>
  <si>
    <t>73122</t>
  </si>
  <si>
    <t xml:space="preserve">FREESE HYDRAULICS             </t>
  </si>
  <si>
    <t xml:space="preserve">1088 WALTER ST,ALPENA              </t>
  </si>
  <si>
    <t>COMMUNITY FINANCIAL-GAYLORD</t>
  </si>
  <si>
    <t>333 COMMERCE BLVD,GAYLORD</t>
  </si>
  <si>
    <t>COMMUNITY FINANCIAL-GAYLORD 2</t>
  </si>
  <si>
    <t>1360 WEST MAIN,GAYLORD</t>
  </si>
  <si>
    <t>73416</t>
  </si>
  <si>
    <t>HEALTH DEPT OF NW MICH</t>
  </si>
  <si>
    <t>95 LIVINGSTON BLVD,GAYLORD</t>
  </si>
  <si>
    <t>73443</t>
  </si>
  <si>
    <t>PANERA BREAD</t>
  </si>
  <si>
    <t>1386 WEST MAIN,GAYLORD</t>
  </si>
  <si>
    <t>73546</t>
  </si>
  <si>
    <t xml:space="preserve">E3 EVENTS </t>
  </si>
  <si>
    <t>977 N. CENTER,GAYLORD</t>
  </si>
  <si>
    <t>73562</t>
  </si>
  <si>
    <t>NEWDALE PROPERTIES</t>
  </si>
  <si>
    <t>400 WEST MAIN STREET,GAYLORD</t>
  </si>
  <si>
    <t>73583</t>
  </si>
  <si>
    <t>NORTHERN MICHIGAN LIVESTOCK</t>
  </si>
  <si>
    <t>1848 N. TOWNLINE RD,GAYLORD</t>
  </si>
  <si>
    <t>73593</t>
  </si>
  <si>
    <t>MUFFLER MAN &amp; REPAIR GAYLORD</t>
  </si>
  <si>
    <t>101 EAST MAIN STREET,GAYLORD</t>
  </si>
  <si>
    <t>73601</t>
  </si>
  <si>
    <t>BLACK BEAR GOLF CLUB</t>
  </si>
  <si>
    <t>1500 EAST ALEXANDER ROAD,VANDERBILT</t>
  </si>
  <si>
    <t>00133</t>
  </si>
  <si>
    <t>GAYLORD WEST EZ MART 488</t>
  </si>
  <si>
    <t>3400 M32 WEST,GAYLORD</t>
  </si>
  <si>
    <t>00162</t>
  </si>
  <si>
    <t>BLARNEY CASTLE EZ MART 891</t>
  </si>
  <si>
    <t>8114 MILLS ST,VANDERBILT</t>
  </si>
  <si>
    <t>99051</t>
  </si>
  <si>
    <t>00054</t>
  </si>
  <si>
    <t>JET'S PIZZA MI-058</t>
  </si>
  <si>
    <t>111 WEST STREET,GAYLORD</t>
  </si>
  <si>
    <t>APS TRANSPORTATION</t>
  </si>
  <si>
    <t xml:space="preserve">1357 M-32,Alpena              </t>
  </si>
  <si>
    <t>00013</t>
  </si>
  <si>
    <t xml:space="preserve">Forwards - Gaylord North 147  </t>
  </si>
  <si>
    <t xml:space="preserve">1025 W. Main R#2,Gaylord             </t>
  </si>
  <si>
    <t>00035</t>
  </si>
  <si>
    <t>FORWARDS/SUBWAY-307</t>
  </si>
  <si>
    <t xml:space="preserve">400 WEST MAIN,GAYLORD             </t>
  </si>
  <si>
    <t>FAMILY FARE #1510</t>
  </si>
  <si>
    <t>C4</t>
  </si>
  <si>
    <t>00111</t>
  </si>
  <si>
    <t xml:space="preserve">FAMILY FARE #1510 MEAT </t>
  </si>
  <si>
    <t>00116</t>
  </si>
  <si>
    <t xml:space="preserve">FAMILY FARE #1510-STARBUCKS </t>
  </si>
  <si>
    <t>00117</t>
  </si>
  <si>
    <t xml:space="preserve">FAMILY FARE #1510-BAKERY </t>
  </si>
  <si>
    <t>00118</t>
  </si>
  <si>
    <t xml:space="preserve">FAMILY FARE #1510-DELI </t>
  </si>
  <si>
    <t>FAMILY FARE #1510-DAIRY QUEEN</t>
  </si>
  <si>
    <t>00203</t>
  </si>
  <si>
    <t>SPARTAN QUICK STOP #838</t>
  </si>
  <si>
    <t xml:space="preserve">835 W. MAIN STREET,GAYLORD </t>
  </si>
  <si>
    <t>SPARTAN #838 FIRST AID</t>
  </si>
  <si>
    <t>BIG BOY GAYLORD</t>
  </si>
  <si>
    <t>1359 N MAIN,GAYLORD</t>
  </si>
  <si>
    <t>CORWITH STATION</t>
  </si>
  <si>
    <t>4641 OLD HWY 27 N,VANDERBILT</t>
  </si>
  <si>
    <t>AWAKON-GAYLORD</t>
  </si>
  <si>
    <t>1496 WEST MAIN,GAYLORD</t>
  </si>
  <si>
    <t>103R</t>
  </si>
  <si>
    <t>70483</t>
  </si>
  <si>
    <t xml:space="preserve">Alpena City Garage-uniforms   </t>
  </si>
  <si>
    <t xml:space="preserve">208 N. First St.,Alpena              </t>
  </si>
  <si>
    <t>ALPENA CITY GARAGE-MATS</t>
  </si>
  <si>
    <t>208 N. FIRST STREET,ALPENA</t>
  </si>
  <si>
    <t>70519</t>
  </si>
  <si>
    <t xml:space="preserve">Northern Foot &amp; Ankle Center  </t>
  </si>
  <si>
    <t xml:space="preserve">321 long rapids plaza,Alpena              </t>
  </si>
  <si>
    <t>70526</t>
  </si>
  <si>
    <t xml:space="preserve">C &amp; S Carrier                 </t>
  </si>
  <si>
    <t>3224 US-23 SOUTH,ALPENA</t>
  </si>
  <si>
    <t>70531</t>
  </si>
  <si>
    <t>MCINERNEY CHRYSLER, DODGE JEEP</t>
  </si>
  <si>
    <t xml:space="preserve">832 W. Chisholm,Alpena              </t>
  </si>
  <si>
    <t>70548</t>
  </si>
  <si>
    <t xml:space="preserve">Eagle Engineering &amp; Supply    </t>
  </si>
  <si>
    <t xml:space="preserve">101 North Industrial Hwy,Alpena              </t>
  </si>
  <si>
    <t>70552</t>
  </si>
  <si>
    <t xml:space="preserve">Larry's Collision             </t>
  </si>
  <si>
    <t xml:space="preserve">1212 US-23 North,Alpena              </t>
  </si>
  <si>
    <t>70564</t>
  </si>
  <si>
    <t xml:space="preserve">1237 US-23 North,Alpena              </t>
  </si>
  <si>
    <t>70584</t>
  </si>
  <si>
    <t xml:space="preserve">Bannan Funeral Home           </t>
  </si>
  <si>
    <t xml:space="preserve">222 S. Second Ave.,Alpena              </t>
  </si>
  <si>
    <t>70597</t>
  </si>
  <si>
    <t xml:space="preserve">John Boy's                    </t>
  </si>
  <si>
    <t xml:space="preserve">817 W. Chisholm,Alpena              </t>
  </si>
  <si>
    <t>70644</t>
  </si>
  <si>
    <t xml:space="preserve">Alpena Diesel Service         </t>
  </si>
  <si>
    <t xml:space="preserve">1700 M-32 West,Alpena              </t>
  </si>
  <si>
    <t>70650</t>
  </si>
  <si>
    <t xml:space="preserve">N.E.M.S.C.A. (Annex)          </t>
  </si>
  <si>
    <t xml:space="preserve">2569 US-23 South,Alpena              </t>
  </si>
  <si>
    <t>70652</t>
  </si>
  <si>
    <t xml:space="preserve">Internal Medicine Clinic      </t>
  </si>
  <si>
    <t xml:space="preserve">105 Arbor Lane,Alpena              </t>
  </si>
  <si>
    <t>70663</t>
  </si>
  <si>
    <t xml:space="preserve">Rapid Results                 </t>
  </si>
  <si>
    <t>165 N. STATE STREET,ALPENA</t>
  </si>
  <si>
    <t>70665</t>
  </si>
  <si>
    <t xml:space="preserve">Alpena Auto Electric          </t>
  </si>
  <si>
    <t xml:space="preserve">1643 M-32,Alpena              </t>
  </si>
  <si>
    <t>70671</t>
  </si>
  <si>
    <t xml:space="preserve">McDonald Auto Supply          </t>
  </si>
  <si>
    <t xml:space="preserve">126 W. Washington Ave,Alpena              </t>
  </si>
  <si>
    <t>70699</t>
  </si>
  <si>
    <t xml:space="preserve">Alpena College                </t>
  </si>
  <si>
    <t xml:space="preserve">666 Johnson St.,Alpena              </t>
  </si>
  <si>
    <t>70959</t>
  </si>
  <si>
    <t xml:space="preserve">Kipfmiller                    </t>
  </si>
  <si>
    <t xml:space="preserve">2584 US 23 S.,Alpena              </t>
  </si>
  <si>
    <t>Held 10/18/24 - 04/01/25</t>
  </si>
  <si>
    <t>70971</t>
  </si>
  <si>
    <t xml:space="preserve">Sports Unlimited              </t>
  </si>
  <si>
    <t xml:space="preserve">3137 US-23 South,Alpena              </t>
  </si>
  <si>
    <t xml:space="preserve">ALPENA SERVICES               </t>
  </si>
  <si>
    <t xml:space="preserve">1185 US - 23 NORTH,ALPENA              </t>
  </si>
  <si>
    <t>73082</t>
  </si>
  <si>
    <t>MID MICH PHYS GRP GEN SURGERY</t>
  </si>
  <si>
    <t xml:space="preserve">311 LONG RAPIDS PLAZA,ALPENA              </t>
  </si>
  <si>
    <t>73140</t>
  </si>
  <si>
    <t xml:space="preserve">SPECIFICATIONS STONE PRODUCTS </t>
  </si>
  <si>
    <t xml:space="preserve">1009 LONG LAKE AVE,ALPENA              </t>
  </si>
  <si>
    <t>73395</t>
  </si>
  <si>
    <t>MANGOS</t>
  </si>
  <si>
    <t>121 WEST CHISHOLM,ALPENA</t>
  </si>
  <si>
    <t>73450</t>
  </si>
  <si>
    <t>ADVANCED DERMATOLOGY</t>
  </si>
  <si>
    <t>105 ARBOR LANE,ALPENA</t>
  </si>
  <si>
    <t>73492</t>
  </si>
  <si>
    <t>DAIRY QUEEN</t>
  </si>
  <si>
    <t>600 W. CHISOLM,ALPENA</t>
  </si>
  <si>
    <t>Held 10/14/24 - 03/01/25</t>
  </si>
  <si>
    <t>73507</t>
  </si>
  <si>
    <t>FITZPATRICK HARDWARE</t>
  </si>
  <si>
    <t>2733 US 23 SOUTH,ALPENA</t>
  </si>
  <si>
    <t>73530</t>
  </si>
  <si>
    <t>RED BRICK TAP &amp; BARREL</t>
  </si>
  <si>
    <t>109 RIVER STREET,ALPENA</t>
  </si>
  <si>
    <t>73551</t>
  </si>
  <si>
    <t>HOPSIDE BREWERY</t>
  </si>
  <si>
    <t>129 W. CHISHOLM ST.,ALPENA</t>
  </si>
  <si>
    <t>73572</t>
  </si>
  <si>
    <t>SUNRISE VETERINARY SERVICES</t>
  </si>
  <si>
    <t>2640 US 23 SOUTH,ALPENA</t>
  </si>
  <si>
    <t>00063</t>
  </si>
  <si>
    <t>BLARNEY CASTLE 224</t>
  </si>
  <si>
    <t>1035 W. CHISHOLM ST,ALPENA</t>
  </si>
  <si>
    <t>00183</t>
  </si>
  <si>
    <t>BLARNEY CASTLE 226</t>
  </si>
  <si>
    <t>1017 CHISHOLM ST,ALPENA</t>
  </si>
  <si>
    <t>00184</t>
  </si>
  <si>
    <t>BLARNEY CASTLE 390</t>
  </si>
  <si>
    <t>2404 US 23 SOUTH,ALPENA</t>
  </si>
  <si>
    <t>00185</t>
  </si>
  <si>
    <t>BLARNEY CASTLE 646</t>
  </si>
  <si>
    <t>999 LONG RAPIDS RD,ALPENA</t>
  </si>
  <si>
    <t xml:space="preserve">Conveyor Systems              </t>
  </si>
  <si>
    <t xml:space="preserve">167 N. Industrial Hwy.,Alpena              </t>
  </si>
  <si>
    <t>00136</t>
  </si>
  <si>
    <t>PERCH'S IGA 5020</t>
  </si>
  <si>
    <t>1025 US-23 NORTH HWY,ALPENA</t>
  </si>
  <si>
    <t>NICOLET BANK</t>
  </si>
  <si>
    <t xml:space="preserve">100 S. SECOND AVE.,ALPENA              </t>
  </si>
  <si>
    <t>ARMC MEDICAL GROUP-CARDIO ASSO</t>
  </si>
  <si>
    <t xml:space="preserve">460 Long Rapids Plaza,Alpena              </t>
  </si>
  <si>
    <t>99214</t>
  </si>
  <si>
    <t>DEAN ARBOUR FORD LINCOLN MERCU</t>
  </si>
  <si>
    <t xml:space="preserve">1001 US-23 North,Alpena              </t>
  </si>
  <si>
    <t>103F</t>
  </si>
  <si>
    <t>70479</t>
  </si>
  <si>
    <t xml:space="preserve">Thunder Bay Clinic            </t>
  </si>
  <si>
    <t xml:space="preserve">1065 US-23 North,Alpena              </t>
  </si>
  <si>
    <t>ALPENA PUBLIC SAFETY</t>
  </si>
  <si>
    <t>ALPENA CITY HALL</t>
  </si>
  <si>
    <t>70492</t>
  </si>
  <si>
    <t xml:space="preserve">Alpena Agency                 </t>
  </si>
  <si>
    <t xml:space="preserve">102 S. Third St.,Alpena              </t>
  </si>
  <si>
    <t>70495</t>
  </si>
  <si>
    <t xml:space="preserve">North Coney Island            </t>
  </si>
  <si>
    <t xml:space="preserve">2668 US-23 South,Alpena              </t>
  </si>
  <si>
    <t>Held 12/20/24 - 03/01/25</t>
  </si>
  <si>
    <t>70509</t>
  </si>
  <si>
    <t xml:space="preserve">R.A. Townsend Co.             </t>
  </si>
  <si>
    <t xml:space="preserve">1100 N. Bagley St.,Alpena              </t>
  </si>
  <si>
    <t>70510</t>
  </si>
  <si>
    <t xml:space="preserve">Alpena News                   </t>
  </si>
  <si>
    <t xml:space="preserve">130 Park Place,Alpena              </t>
  </si>
  <si>
    <t>70516</t>
  </si>
  <si>
    <t xml:space="preserve">Lappan Agency                 </t>
  </si>
  <si>
    <t xml:space="preserve">180 S. Ripley,Alpena              </t>
  </si>
  <si>
    <t>70522</t>
  </si>
  <si>
    <t xml:space="preserve">St. Vincent DePaul            </t>
  </si>
  <si>
    <t xml:space="preserve">2635 US 23 SOUTH,Alpena              </t>
  </si>
  <si>
    <t>70562</t>
  </si>
  <si>
    <t xml:space="preserve">Dr. David Beatty DDS          </t>
  </si>
  <si>
    <t xml:space="preserve">201 W. Chisholm St.,Alpena              </t>
  </si>
  <si>
    <t>70581</t>
  </si>
  <si>
    <t xml:space="preserve">Overhead Door Company         </t>
  </si>
  <si>
    <t xml:space="preserve">2550 U.S. 23 S.,Alpena              </t>
  </si>
  <si>
    <t>70582</t>
  </si>
  <si>
    <t xml:space="preserve">Dr. Andrew Tarkington DDS     </t>
  </si>
  <si>
    <t xml:space="preserve">215 S. Ripley,Alpena              </t>
  </si>
  <si>
    <t>70591</t>
  </si>
  <si>
    <t xml:space="preserve">Ziebart Tidy Car              </t>
  </si>
  <si>
    <t xml:space="preserve">2673 US-23 South,Alpena              </t>
  </si>
  <si>
    <t>70607</t>
  </si>
  <si>
    <t xml:space="preserve">MEDILODGE OF GREENVIEW       </t>
  </si>
  <si>
    <t xml:space="preserve">1234 Golf Course Rd.,Alpena              </t>
  </si>
  <si>
    <t>70690</t>
  </si>
  <si>
    <t xml:space="preserve">Hunan Restaurant              </t>
  </si>
  <si>
    <t xml:space="preserve">1283 M-32 West,Alpena              </t>
  </si>
  <si>
    <t>70738</t>
  </si>
  <si>
    <t xml:space="preserve">Grand China Buffet            </t>
  </si>
  <si>
    <t xml:space="preserve">2270 U.S. 23 South,Alpena              </t>
  </si>
  <si>
    <t>A.H.C.-ALPENA HIGH SCHOOL</t>
  </si>
  <si>
    <t xml:space="preserve">3303-5 THIRD SUITE D128,ALPENA              </t>
  </si>
  <si>
    <t>73149</t>
  </si>
  <si>
    <t xml:space="preserve">Applebee's                    </t>
  </si>
  <si>
    <t xml:space="preserve">1468 M-32 W.,Alpena              </t>
  </si>
  <si>
    <t>73261</t>
  </si>
  <si>
    <t>GREEN STONE</t>
  </si>
  <si>
    <t>2200 W M-32,ALPENA</t>
  </si>
  <si>
    <t>73333</t>
  </si>
  <si>
    <t>FREEDOM MOTORS</t>
  </si>
  <si>
    <t>929 W WASHINGTON,ALPENA</t>
  </si>
  <si>
    <t>73350</t>
  </si>
  <si>
    <t>JIMMY JOHN'S SUBS</t>
  </si>
  <si>
    <t>494 S RIPLEY,ALPENA</t>
  </si>
  <si>
    <t>73362</t>
  </si>
  <si>
    <t>NOWICKI'S SAUSAGE SHOP</t>
  </si>
  <si>
    <t>1224 2ND AVE,ALPENA</t>
  </si>
  <si>
    <t>BIGGBY 557</t>
  </si>
  <si>
    <t>1253 M-32,ALPENA</t>
  </si>
  <si>
    <t>73472</t>
  </si>
  <si>
    <t>ZEN 24 HR FITNESS</t>
  </si>
  <si>
    <t>2581 B US 23 SOUTH,ALPENA</t>
  </si>
  <si>
    <t>73485</t>
  </si>
  <si>
    <t>SALON 125</t>
  </si>
  <si>
    <t>125 EAST CHISHOLM,ALPENA</t>
  </si>
  <si>
    <t>73488</t>
  </si>
  <si>
    <t>HISER PROPERTIES</t>
  </si>
  <si>
    <t>3303 WEST WASHINGTON,ALPENA</t>
  </si>
  <si>
    <t>6:00 PM</t>
  </si>
  <si>
    <t>73529</t>
  </si>
  <si>
    <t>TOTALLY KIDS DAYCARE</t>
  </si>
  <si>
    <t>2884 M-32 WEST,ALPENA</t>
  </si>
  <si>
    <t>00064</t>
  </si>
  <si>
    <t>BLARNEY CASTLE 225</t>
  </si>
  <si>
    <t>2222 US 23 SO.,ALPENA</t>
  </si>
  <si>
    <t>00065</t>
  </si>
  <si>
    <t>BLARNEY CASTLE 228</t>
  </si>
  <si>
    <t>1000 M-32 WEST,ALPENA</t>
  </si>
  <si>
    <t xml:space="preserve">APS SENIOR HIGH SCHOOL     </t>
  </si>
  <si>
    <t xml:space="preserve">3303 S. 3RD AVE.,Alpena              </t>
  </si>
  <si>
    <t>APS ELLA WHITE ELEMENTARY</t>
  </si>
  <si>
    <t xml:space="preserve">201 N. RIPLEY BLVD.,Alpena              </t>
  </si>
  <si>
    <t>APS THUNDER BAY JR HIGH</t>
  </si>
  <si>
    <t xml:space="preserve">3500 S. 3RD AVE.,Alpena              </t>
  </si>
  <si>
    <t>00029</t>
  </si>
  <si>
    <t xml:space="preserve">2074 M-32 WEST,Alpena              </t>
  </si>
  <si>
    <t>NEIMANS CORNERY CAFE 173</t>
  </si>
  <si>
    <t>144 US-23 SOUTH,ALPENA</t>
  </si>
  <si>
    <t>99158</t>
  </si>
  <si>
    <t xml:space="preserve">H P C Credit Union            </t>
  </si>
  <si>
    <t xml:space="preserve">1234 W. Chisholm St.,Alpena              </t>
  </si>
  <si>
    <t xml:space="preserve">300 S. RIPLEY,Alpena              </t>
  </si>
  <si>
    <t>1945 W. River, Oscoda MI 48750 US</t>
  </si>
  <si>
    <t>2205 Alger P.O. Box 161, Mikado MI 48745 US</t>
  </si>
  <si>
    <t>7230 M-32, ALPENA MI 49707 US</t>
  </si>
  <si>
    <t>1501 W. Chisholm, Alpena MI 49707 US</t>
  </si>
  <si>
    <t>1411 M-43 W, ALPENA MI 49707 US</t>
  </si>
  <si>
    <t>1110 DEVERE DR., ALPENA MI 49707 US</t>
  </si>
  <si>
    <t>2167 S. F 41, Mikado MI 48745 US</t>
  </si>
  <si>
    <t>1400 N. BAGLEY STREET, ALPENA MI 49707 US</t>
  </si>
  <si>
    <t>1581 M-32 West P.O. Box 565, Alpena MI 49707 US</t>
  </si>
  <si>
    <t>1208 N. US-23, Alpena MI 49707 US</t>
  </si>
  <si>
    <t>823 W. Chisholm St., Alpena MI 49707 US</t>
  </si>
  <si>
    <t>501 Commerce Drive P.O. Box 455, Alpena MI 49707 U</t>
  </si>
  <si>
    <t>327 TRAVERSE BAY ROAD, LINCOLN MI 48742 US</t>
  </si>
  <si>
    <t>307 W. Chisholm St., Alpena MI 49707 US</t>
  </si>
  <si>
    <t>1300 Ford Ave., Alpena MI 49707 US</t>
  </si>
  <si>
    <t>313 S. Second Lincoln P.O. Box 130, Lincoln MI 487</t>
  </si>
  <si>
    <t>181 N BARLOW RD, LINCOLN MI 48742 US</t>
  </si>
  <si>
    <t>1770 W. TRASK LAKE RD., BARTON CITY MI 48705 US</t>
  </si>
  <si>
    <t>1209 US 23 N, ALPENA MI 49707 US</t>
  </si>
  <si>
    <t>711 WEST CHISHOLM, ALPENA MI 49707 US</t>
  </si>
  <si>
    <t>1501 W. Chisholm St., Alpena MI 49707 US</t>
  </si>
  <si>
    <t>829 W. Chisholm St., Alpena MI 49707 US</t>
  </si>
  <si>
    <t>921 N BARLOW, LINCOLN MI 48742 US</t>
  </si>
  <si>
    <t>THE LINCOLN MARKET 5679 F.A.</t>
  </si>
  <si>
    <t>863 N. BARLOW RD, LINCOLN MI 48742 US</t>
  </si>
  <si>
    <t>111 Church St. Lincoln P.O. Box 515, Lincoln MI 48</t>
  </si>
  <si>
    <t>51 N. Barlow Rd., Lincoln MI 48742 US</t>
  </si>
  <si>
    <t>950 N. Barlow Rd., Lincoln MI 48742 US</t>
  </si>
  <si>
    <t>207 CHURCH ST., LINCOLN MI 48742 US</t>
  </si>
  <si>
    <t>177 N. BARLOW RD PO BOX 279, Lincoln MI 48742 US</t>
  </si>
  <si>
    <t>863 N. Barlow Rd., Lincoln MI 48742 US</t>
  </si>
  <si>
    <t>601 South Lake St, Lincoln MI 48742 US</t>
  </si>
  <si>
    <t>507 STATE ROAD COMPANY 164, Lincoln MI 48742 US</t>
  </si>
  <si>
    <t>324 E HAWLEY, LINCOLN MI 48742 US</t>
  </si>
  <si>
    <t>300 S SECOND ST, LINCOLN MI 48742 US</t>
  </si>
  <si>
    <t>1758 W TRASK LAKE RD, Barton City MI 48705 US</t>
  </si>
  <si>
    <t>1013 US-23 North P.O. Box 515, Alpena MI 49707 US</t>
  </si>
  <si>
    <t>671 Sanborn Rd., Barton City MI 48705 US</t>
  </si>
  <si>
    <t>6521 US-23 North, Oscoda MI 48750 US</t>
  </si>
  <si>
    <t>5401 N. US -23, BLACK RIVER MI 48721 US</t>
  </si>
  <si>
    <t>384 S. State Street, Oscoda MI 48750 US</t>
  </si>
  <si>
    <t>105 Mason St., Alpena MI 49707 US</t>
  </si>
  <si>
    <t>4709 F-41, Oscoda MI 48750 US</t>
  </si>
  <si>
    <t>5625 N. US 23, Oscoda MI 48750 US</t>
  </si>
  <si>
    <t>5692 N. F-41, Oscoda MI 48750 US</t>
  </si>
  <si>
    <t>6685 US-23 North, Oscoda MI 48750 US</t>
  </si>
  <si>
    <t>3146 US 23 SOUTH, ALPENA MI 49707 US</t>
  </si>
  <si>
    <t>111 E. Dwight Ave., Oscoda MI 48750 US</t>
  </si>
  <si>
    <t>837 S. STATE, OSCODA MI 48750 US</t>
  </si>
  <si>
    <t>5463 N. HURON RD. 5463 N. HURON RD, OSCODA MI 4875</t>
  </si>
  <si>
    <t>5660 F-41, OSCODA MI 48750 US</t>
  </si>
  <si>
    <t>676 N. US-23, HARRISVILLE MI 48740 US</t>
  </si>
  <si>
    <t>431 N MILL ST, OSCODA MI 48750 US</t>
  </si>
  <si>
    <t>2030 E. NICHOLSON HILL RD, OSSINEKE MI 49766 US</t>
  </si>
  <si>
    <t>5495 US 23 N, BLACK RIVER MI 48721 US</t>
  </si>
  <si>
    <t>5463 N. HURON RD., OSCODA MI 48750 US</t>
  </si>
  <si>
    <t>5631 GEORGIA DRIVE, OSCODA MI 48750 US</t>
  </si>
  <si>
    <t>400 South Ripley, Alpena MI 49707 US</t>
  </si>
  <si>
    <t>11596 US 23 SO, OSSINEKE MI 49766 US</t>
  </si>
  <si>
    <t>2250 US-23 SOUTH, Alpena MI 49707 US</t>
  </si>
  <si>
    <t>1235 State St. 319 Parson St., Alpena MI 49707 US</t>
  </si>
  <si>
    <t>1105 STATE STREET, ALPENA MI 49707 US</t>
  </si>
  <si>
    <t>289 E. SWEDE ROAD, SPRUCE MI 48762 US</t>
  </si>
  <si>
    <t>2085 Werth Rd., Alpena MI 49707 US</t>
  </si>
  <si>
    <t>12170 US-23 South, Ossineke MI 49766 US</t>
  </si>
  <si>
    <t>10130 US 23 SOUTH, OSSINEKE MI 49766 US</t>
  </si>
  <si>
    <t>170 N. Industrial Hwy. P.O. Box 475, Alpena MI 497</t>
  </si>
  <si>
    <t>11745 US 23 S PO Box 83, Ossineke MI 49766 US</t>
  </si>
  <si>
    <t>10401 Piper Rd. P.O. Box 376, Ossineke MI 49766 US</t>
  </si>
  <si>
    <t xml:space="preserve">11829 US-23 South P.O. Box 515, Ossineke MI 49766 </t>
  </si>
  <si>
    <t>11897 US-23 South, Ossineke MI 49766 US</t>
  </si>
  <si>
    <t>11923 US-23 SOUTH COMPANY 159, Ossineke MI 49766 U</t>
  </si>
  <si>
    <t>11585 US-23 South, Ossineke MI 49766 US</t>
  </si>
  <si>
    <t>6575 US 23, SPRUCE MI 48762 US</t>
  </si>
  <si>
    <t>12272 US-23 South, Ossineke MI 49766 US</t>
  </si>
  <si>
    <t>1575 Hubert Rd P.O. Box 131, Hubbard Lake MI 49747</t>
  </si>
  <si>
    <t>7002 HURBERT RD, HUBBARD LAKE MI 49747 US</t>
  </si>
  <si>
    <t>3450 N.Hubbard Lake Rd., Spruce MI 48762 US</t>
  </si>
  <si>
    <t>214 W MT. MARIE RD, SPRUCE MI 48762 US</t>
  </si>
  <si>
    <t>6808 US-23 South, Spruce MI 48762 US</t>
  </si>
  <si>
    <t>1499 M-32 WEST, ALPENA MI 49707 US</t>
  </si>
  <si>
    <t>1130 STATE ST, ALPENA MI 49707 US</t>
  </si>
  <si>
    <t>11925 US-23, OSSINEKE MI 49766 US</t>
  </si>
  <si>
    <t>7120 HUBERT RD, HUBBARD LAKE MI 49747 US</t>
  </si>
  <si>
    <t>11895 US-23, OSSINEKE MI 49766 US</t>
  </si>
  <si>
    <t>112 2nd Ave P.O. Box 115, Alpena MI 49707 US</t>
  </si>
  <si>
    <t>666 MCKINLEY AVE, ALPENA MI 49707 US</t>
  </si>
  <si>
    <t>127 River St., Alpena MI 49707 US</t>
  </si>
  <si>
    <t>1435 FORD AVE, ALPENA MI 49707 US</t>
  </si>
  <si>
    <t>621 W CHISHOLM ST, ALPENA MI 49707 US</t>
  </si>
  <si>
    <t>224 E. CHISHOLM STREET, ALPENA MI 49707 US</t>
  </si>
  <si>
    <t>1124 US 23 N, ALPENA MI 49707 US</t>
  </si>
  <si>
    <t>224 WEST CHISHOLM, ALPENA MI 49707 US</t>
  </si>
  <si>
    <t>2900 Connon St. 13460 White Ash, Alpena MI 49707 U</t>
  </si>
  <si>
    <t>2900 Connon St., Alpena MI 49707 US</t>
  </si>
  <si>
    <t>604 WEST MAIN, GAYLORD MI 49735 US</t>
  </si>
  <si>
    <t>10703 OLD US 27 SOUTH, WATERS MI 49797 US</t>
  </si>
  <si>
    <t>800 BOLTON, ALPENA MI 49707 US</t>
  </si>
  <si>
    <t>801 Johnson St., Alpena MI 49707 US</t>
  </si>
  <si>
    <t>990 N. Center P.O. Box 1120, Gaylord MI 49734 US</t>
  </si>
  <si>
    <t>829 W. MAIN POB 580, GAYLORD MI 49734 US</t>
  </si>
  <si>
    <t>6549 N OLD 27, FREDERIC MI 49733 US</t>
  </si>
  <si>
    <t>930 N. Center Ave., Gaylord MI 49735 US</t>
  </si>
  <si>
    <t>801 JOHNSON ST, ALPENA MI 49707 US</t>
  </si>
  <si>
    <t>1357 M-32, Alpena MI 49707 US</t>
  </si>
  <si>
    <t>10026 M-32 West, Herron MI 49744 US</t>
  </si>
  <si>
    <t>333 COMMERCE BLVD, GAYLORD MI 49735 US</t>
  </si>
  <si>
    <t>2277 US-23 SOUTH COMPANY 101, Alpena MI 49707 US</t>
  </si>
  <si>
    <t>1088 WALTER ST, ALPENA MI 49707 US</t>
  </si>
  <si>
    <t>600 N. Ripley, Alpena MI 49707 US</t>
  </si>
  <si>
    <t>2733 US 23 SOUTH, ALPENA MI 49707 US</t>
  </si>
  <si>
    <t>208 N. FIRST STREET, ALPENA MI 49707 US</t>
  </si>
  <si>
    <t>2640 US 23 SOUTH, ALPENA MI 49707 US</t>
  </si>
  <si>
    <t>2404 US 23 SOUTH, ALPENA MI 49707 US</t>
  </si>
  <si>
    <t>208 N. First St., Alpena MI 49707 US</t>
  </si>
  <si>
    <t>2584 US 23 S., Alpena MI 49707 US</t>
  </si>
  <si>
    <t>1700 M-32 West, Alpena MI 49707 US</t>
  </si>
  <si>
    <t>1001 US-23 North, Alpena MI 49707 US</t>
  </si>
  <si>
    <t>1643 M-32, Alpena MI 49707 US</t>
  </si>
  <si>
    <t>3137 US-23 South, Alpena MI 49707 US</t>
  </si>
  <si>
    <t xml:space="preserve">2569 US-23 South 2375 Gordon Rd., Alpena MI 49707 </t>
  </si>
  <si>
    <t>3224 US-23 SOUTH, ALPENA MI 49707 US</t>
  </si>
  <si>
    <t>929 W WASHINGTON, ALPENA MI 49707 US</t>
  </si>
  <si>
    <t>1224 2ND AVE, ALPENA MI 49707 US</t>
  </si>
  <si>
    <t>125 EAST CHISHOLM, ALPENA MI 49707 US</t>
  </si>
  <si>
    <t>2884 M-32 WEST, ALPENA MI 49707 US</t>
  </si>
  <si>
    <t>1234 W. Chisholm St., Alpena MI 49707 US</t>
  </si>
  <si>
    <t>2200 W M-32, ALPENA MI 49707 US</t>
  </si>
  <si>
    <t>144 US-23 SOUTH, ALPENA MI 49707 US</t>
  </si>
  <si>
    <t>NEIMANS 173 FIRST AID</t>
  </si>
  <si>
    <t>2074 M-32 WEST, Alpena MI 49707 US</t>
  </si>
  <si>
    <t>1065 US-23 North, Alpena MI 49707 US</t>
  </si>
  <si>
    <t>201 W. Chisholm St., Alpena MI 49707 US</t>
  </si>
  <si>
    <t>102 S. Third St., Alpena MI 49707 US</t>
  </si>
  <si>
    <t>1234 Golf Course Rd., Alpena MI 49707 US</t>
  </si>
  <si>
    <t>130 Park Place PO BOX 367, Alpena MI 49707 US</t>
  </si>
  <si>
    <t>Coming</t>
  </si>
  <si>
    <t>Going</t>
  </si>
  <si>
    <t>08:00:00  08:00:00</t>
  </si>
  <si>
    <t>212 State St., Oscoda MI 48750 US</t>
  </si>
  <si>
    <t>09:00:00</t>
  </si>
  <si>
    <t>103 S. State St. P.O. Box 515, Oscoda MI 48750 US</t>
  </si>
  <si>
    <t>208 SOUTH STATE ST, OSCODA MI 48750 US</t>
  </si>
  <si>
    <t>209 S. State St., Oscoda MI 48750 US</t>
  </si>
  <si>
    <t>345 S. STATE ST., OSCODA MI 48750 US</t>
  </si>
  <si>
    <t>4420 NORTH HURON ROAD, OSCODA MI 48750 US</t>
  </si>
  <si>
    <t>5121 US 23 NORTH, OSCODA MI 48750 US</t>
  </si>
  <si>
    <t>220 S. State St., Oscoda MI 48750 US</t>
  </si>
  <si>
    <t>5226 N. US-23, Oscoda MI 48750 US</t>
  </si>
  <si>
    <t>5077 N. US 23, OSCODA MI 48750 US</t>
  </si>
  <si>
    <t>3354 US 23, OSCODA MI 48750 US</t>
  </si>
  <si>
    <t>201 N. STATE AVE., OSCODA MI 48750 US</t>
  </si>
  <si>
    <t>5170 N STATE ST, OSCODA MI 48750 US</t>
  </si>
  <si>
    <t>3630 E RIVER RD, OSCODA MI 48750 US</t>
  </si>
  <si>
    <t>240 Chrysler, Oscoda MI 48750 US</t>
  </si>
  <si>
    <t>849 S. State, Oscoda MI 48750 US</t>
  </si>
  <si>
    <t>110 E. DWIGHT ST., OSCODA MI 48750 US</t>
  </si>
  <si>
    <t>208 S. STATE STREET, OSCODA MI 49707 US</t>
  </si>
  <si>
    <t>5123 N. US-23, OSCODA MI 48750 US</t>
  </si>
  <si>
    <t>5112 US 23, OSCODA MI 48750 US</t>
  </si>
  <si>
    <t>5155 US-23 North P.O. Box 243, Oscoda MI 48750 US</t>
  </si>
  <si>
    <t>5070 US-23, Oscoda MI 48750 US</t>
  </si>
  <si>
    <t>5150 N US-23 P.O. Box 1385, Oscoda MI 48750 US</t>
  </si>
  <si>
    <t>5214 N. US-23 P.O. Box 481, Oscoda MI 48750 US</t>
  </si>
  <si>
    <t>4243 LOST LAKE TRAIL, LINCOLN MI 48742 US</t>
  </si>
  <si>
    <t>301 N LAKE ST PO BOX 40, LINCOLN MI 48742 US</t>
  </si>
  <si>
    <t>205 North State Street P.O. Box 130, Harrisville M</t>
  </si>
  <si>
    <t>510 S. Third St. P.O. Box 248, Harrisville MI 4874</t>
  </si>
  <si>
    <t>604 S. Third, Harrisville MI 48740 US</t>
  </si>
  <si>
    <t>217 S. STATE, HARRISVILLE MI 48740 US</t>
  </si>
  <si>
    <t>7701 E. Cedar Lake Dr., Oscoda MI 48750 US</t>
  </si>
  <si>
    <t>449 S. US 23, HARRISVILLE MI 48740 US</t>
  </si>
  <si>
    <t>790 U.S. 23 South P.O. Box 369, Harrisville MI 487</t>
  </si>
  <si>
    <t>3228 US-23, GREENBUSH MI 48738 US</t>
  </si>
  <si>
    <t>49 Main Street, HARRISVILLE MI 48740 US</t>
  </si>
  <si>
    <t>423 EAST MAIN STREET, HARRISVILLE MI 48740 US</t>
  </si>
  <si>
    <t xml:space="preserve">NORTHERN VALLEY ELECTRICAL </t>
  </si>
  <si>
    <t>401 COMMERCE DRIVE, ALPENA MI 49707 US</t>
  </si>
  <si>
    <t>315 RIVER STREET, ALPENA MI 49707 US</t>
  </si>
  <si>
    <t>113 S. Ninth St., Alpena MI 49707 US</t>
  </si>
  <si>
    <t>201 E. Chisholm St., Alpena MI 49707 US</t>
  </si>
  <si>
    <t>1081 U.S.23 North, Alpena MI 49707 US</t>
  </si>
  <si>
    <t>3859 US-23 N., ALPENA MI 49707 US</t>
  </si>
  <si>
    <t>1880 HAMILTON ROAD, ALPENA MI 49707 US</t>
  </si>
  <si>
    <t>2015 HAMILTON RD, ALPENA MI 49707 US</t>
  </si>
  <si>
    <t>4385 US-23 North, Alpena MI 49707 US</t>
  </si>
  <si>
    <t>351 Wilson St., Alpena MI 49707 US</t>
  </si>
  <si>
    <t>CLIFF ANSCHUETZ CHEVROLET OLDS</t>
  </si>
  <si>
    <t>1074 US-23 NORTH BODY SHOP, ALPENA MI 49707 US</t>
  </si>
  <si>
    <t>1074 US - 23 NORTH, ALPENA MI 49707 US</t>
  </si>
  <si>
    <t>633 W. CAMPBELL ST., ALPENA MI 49707 US</t>
  </si>
  <si>
    <t>120 N. RIPLEY, ALPENA MI 49707 US</t>
  </si>
  <si>
    <t>1074 US-23 NORTH, ALPENA MI 49707 US</t>
  </si>
  <si>
    <t>1135 GOLF COURSE RD, ALPENA MI 49707 US</t>
  </si>
  <si>
    <t>1381 N. Bagley St P.O. Box 395, Alpena MI 49707 US</t>
  </si>
  <si>
    <t>520 Fair St., Alpena MI 49707 US</t>
  </si>
  <si>
    <t>08:00:00</t>
  </si>
  <si>
    <t>Held 02/20/25 - 04/01/25</t>
  </si>
  <si>
    <t>14:00:00  14:00:00</t>
  </si>
  <si>
    <t>12520 STATE ST P.O. Box 206, Atlanta MI 49709 US</t>
  </si>
  <si>
    <t>12434 STATE ST PO BOX 209, Atlanta MI 49709 US</t>
  </si>
  <si>
    <t>12350 MAIN ST, ATLANTA MI 49707 US</t>
  </si>
  <si>
    <t>23500 RANCH HOUSE TRAIL, ATLANTA MI 49709 US</t>
  </si>
  <si>
    <t>11899 M-32, ATLANTA MI 48670 US</t>
  </si>
  <si>
    <t>10980 M-32 West, Atlanta MI 49709 US</t>
  </si>
  <si>
    <t>11899 M-32 W, Atlanta MI 49709 US</t>
  </si>
  <si>
    <t>2811 KNEELAND, LEWISTON MI 49756 US</t>
  </si>
  <si>
    <t>4210 DOYLE DR, Lewiston MI 49756 US</t>
  </si>
  <si>
    <t>2889 KNEELAND ST, LEWISTON MI 49756 US</t>
  </si>
  <si>
    <t>4210 DOYLE DR, LEWISTON MI 49756 US</t>
  </si>
  <si>
    <t>5105 CO. RD 612 POB 40, LEWISTON MI 49756 US</t>
  </si>
  <si>
    <t>2981 KNEELAND, LEWISTON MI 49756 US</t>
  </si>
  <si>
    <t>5105 CO. RD 612 PO Box 40, LEWISTON MI 49756 US</t>
  </si>
  <si>
    <t>3521 COUNTY RD 612, LEWISTON MI 49756 US</t>
  </si>
  <si>
    <t>2935 JENSON, LEWISTON MI 49756 US</t>
  </si>
  <si>
    <t>6535 EAST CO ROAD 612, GRAYLING MI 49738 US</t>
  </si>
  <si>
    <t>5535 N. RED OAK, LEWISTON MI 49756 US</t>
  </si>
  <si>
    <t>6510 COUNTY HWY 612, GRAYLING MI 49738 US</t>
  </si>
  <si>
    <t>1525 Fleming, Lewiston MI 49756 US</t>
  </si>
  <si>
    <t>3040 BOURN ST, LEWISTON MI 49756 US</t>
  </si>
  <si>
    <t>10500 County Rd. 489 P.O. Box 619, Atlanta MI 4970</t>
  </si>
  <si>
    <t>4737 SALILNG COUNTY RD 612, Lewiston MI 49756 US</t>
  </si>
  <si>
    <t>2433 M-33 SOUTH, ATLANTA MI 49709 US</t>
  </si>
  <si>
    <t>4831 SAILING AVE, LEWISTON MI 49756 US</t>
  </si>
  <si>
    <t>11463 MACARTHUR ROAD, ATLANTA MI 49709 US</t>
  </si>
  <si>
    <t>11610 M-33, ATLANTA MI 49709 US</t>
  </si>
  <si>
    <t>11630 M-33 N, ATLANTA MI 49709 US</t>
  </si>
  <si>
    <t>4910 SALLING AVE. PO Box 876, LEWISTON MI 49756 US</t>
  </si>
  <si>
    <t>12285 JEROME ST., ATLANTA MI 49709 US</t>
  </si>
  <si>
    <t>4970 SAILING AVE, LEWISTON MI 49756 US</t>
  </si>
  <si>
    <t>11310 MAIN ST, ATLANTA MI 49709 US</t>
  </si>
  <si>
    <t>12601 STATE STREET, ATLANTA MI 49709 US</t>
  </si>
  <si>
    <t>2885 S. Co Rd. 489 PO BOX 673, Lewiston MI 49756 U</t>
  </si>
  <si>
    <t>12483 STATE ST, ATLANTA MI 49709 US</t>
  </si>
  <si>
    <t>16950 M 32, M33, ATLANTA MI 49707 US</t>
  </si>
  <si>
    <t>4965 SALLING AVE, LEWSITON MI 49756 US</t>
  </si>
  <si>
    <t>13490 M-32/M-33 P.O. Box 437, Atlanta MI 49709 US</t>
  </si>
  <si>
    <t>15774 STATE STREET, HILLMAN MI 49746 US</t>
  </si>
  <si>
    <t>10084 M-32, Herron MI 49744 US</t>
  </si>
  <si>
    <t>14962 STATE ST, HILLMAN MI 49746 US</t>
  </si>
  <si>
    <t>26045 M-32, HILLMAN MI 49746 US</t>
  </si>
  <si>
    <t>24220 Veterans Memorial Hwy PO BOX 171, Hillman MI</t>
  </si>
  <si>
    <t>2292 M-65 NORTH, LACHINE MI 49753 US</t>
  </si>
  <si>
    <t>111 N. STATE, HILLMAN MI 49746 US</t>
  </si>
  <si>
    <t>13370 DALLAS RD, LACHINE MI 49753 US</t>
  </si>
  <si>
    <t>10854 M32, JOHANNESBURG MI 49751 US</t>
  </si>
  <si>
    <t xml:space="preserve">431 Pineview Court P.O. Box 788, Hillman MI 49746 </t>
  </si>
  <si>
    <t>24320 VETERANS MEMORIAL HWY., HILLMAN MI 49746 US</t>
  </si>
  <si>
    <t>10900 E. M-32, Johannesburg MI 49751 US</t>
  </si>
  <si>
    <t>10826 M-32 East, Johannesburg MI 49751 US</t>
  </si>
  <si>
    <t>230 N. STATE STREET, HILLMAN MI 49746 US</t>
  </si>
  <si>
    <t>330 State St., Hillman MI 49746 US</t>
  </si>
  <si>
    <t>410 N. STATE ST., HILLMAN MI 49746 US</t>
  </si>
  <si>
    <t>245 THIRD ST., HILLMAN MI 49746 US</t>
  </si>
  <si>
    <t>901 DICKENSON, GAYLORD MI 49735 US</t>
  </si>
  <si>
    <t>1622 DICKERSON RD., GAYLORD MI 49735 US</t>
  </si>
  <si>
    <t>2922 D&amp;M DRIVE, Gaylord MI 49734 US</t>
  </si>
  <si>
    <t>2927 D&amp;M Drive P.O. Box 711, Gaylord MI 49735 US</t>
  </si>
  <si>
    <t>15774 STATE STREET PO BOX 427, HILLMAN MI 49746 US</t>
  </si>
  <si>
    <t>27400 M-32, Hillman MI 49746 US</t>
  </si>
  <si>
    <t>531 STATE STREET, HILLMAN MI 49746 US</t>
  </si>
  <si>
    <t>27477 MICHIGAN AVE, HILLMAN MI 49746 US</t>
  </si>
  <si>
    <t>27300 M-32 P.O. Box 398, Hillman MI 49746 US</t>
  </si>
  <si>
    <t>2859 S OTSEGO AVE, GAYLORD MI 49735 US</t>
  </si>
  <si>
    <t>5584 E. M-32, Gaylord MI 49735 US</t>
  </si>
  <si>
    <t>2349 S. OTSEGO AVE, GAYLORD MI 49735 US</t>
  </si>
  <si>
    <t>1459 S. OTSEGO AVE, GAYLORD MI 49735 US</t>
  </si>
  <si>
    <t>2870 S. Ostego Ave. P.O. Box 1457, Gaylord MI 4973</t>
  </si>
  <si>
    <t>2678 S OTSEGO AVE, GAYLORD MI 49734 US</t>
  </si>
  <si>
    <t>931 S. OTSEGO AVE SUITE 6, GAYLORD MI 49735 US</t>
  </si>
  <si>
    <t>2483 DICKERSON RD, GAYLORD MI 49735 US</t>
  </si>
  <si>
    <t>1088 M-32 East, Gaylord MI 49735 US</t>
  </si>
  <si>
    <t>980 S. WISCONSIN AVE., GAYLORD MI 49735 US</t>
  </si>
  <si>
    <t>10757 M-32 P.O. Box 45, Johannesburg MI 49751 US</t>
  </si>
  <si>
    <t>520 S. OTSEGO AVE, GAYLORD MI 49735 US</t>
  </si>
  <si>
    <t>1500 EAST ALEXANDER ROAD, VANDERBILT MI 49795 US</t>
  </si>
  <si>
    <t>8114 MILLS ST, VANDERBILT MI 49795 US</t>
  </si>
  <si>
    <t>231 S. Indiana P.O. Box 1237, Gaylord MI 49735 US</t>
  </si>
  <si>
    <t>4641 OLD HWY 27 N, VANDERBILT MI 49795 US</t>
  </si>
  <si>
    <t>400 WEST MAIN ST. SUITE 113, GAYLORD MI 49735 US</t>
  </si>
  <si>
    <t>95 LIVINGSTON BLVD, GAYLORD MI 49735 US</t>
  </si>
  <si>
    <t>400 WEST MAIN, GAYLORD MI 49735 US</t>
  </si>
  <si>
    <t>400 WEST MAIN STREET SUITE 106, GAYLORD MI 49735 U</t>
  </si>
  <si>
    <t>835 W. MAIN STREET, GAYLORD MI 49734 US</t>
  </si>
  <si>
    <t>1848 N. TOWNLINE RD, GAYLORD MI 49735 US</t>
  </si>
  <si>
    <t>1054 ANNA DR, GAYLORD MI 49735 US</t>
  </si>
  <si>
    <t>1386 WEST MAIN, GAYLORD MI 49735 US</t>
  </si>
  <si>
    <t>3400 M32 WEST, GAYLORD MI 49735 US</t>
  </si>
  <si>
    <t>1359 N MAIN, GAYLORD MI 49735 US</t>
  </si>
  <si>
    <t>1025 W. Main R#2 P.O. Box 652, Gaylord MI 49735 US</t>
  </si>
  <si>
    <t>829 W. Main Suite E, Gaylord MI 49735 US</t>
  </si>
  <si>
    <t>111 WEST STREET, GAYLORD MI 49735 US</t>
  </si>
  <si>
    <t>1496 WEST MAIN, GAYLORD MI 49735 US</t>
  </si>
  <si>
    <t>977 N. CENTER, GAYLORD MI 49734 US</t>
  </si>
  <si>
    <t>1360 WEST MAIN, GAYLORD MI 49735 US</t>
  </si>
  <si>
    <t>101 EAST MAIN STREET, GAYLORD MI 49735 US</t>
  </si>
  <si>
    <t>167 N. Industrial Hwy. P.O. Box 33, Alpena MI 4970</t>
  </si>
  <si>
    <t>105 Arbor Lane, Alpena MI 49707 US</t>
  </si>
  <si>
    <t>321 long rapids plaza, Alpena MI 49707 US</t>
  </si>
  <si>
    <t>105 ARBOR LANE, ALPENA MI 49707 US</t>
  </si>
  <si>
    <t>311 LONG RAPIDS PLAZA, ALPENA MI 49707 US</t>
  </si>
  <si>
    <t>1212 US-23 North, Alpena MI 49707 US</t>
  </si>
  <si>
    <t>999 LONG RAPIDS RD, ALPENA MI 49707 US</t>
  </si>
  <si>
    <t>1035 W. CHISHOLM ST, ALPENA MI 49707 US</t>
  </si>
  <si>
    <t>1025 US-23 NORTH HWY, ALPENA MI 49707 US</t>
  </si>
  <si>
    <t>1017 CHISHOLM ST, ALPENA MI 49707 US</t>
  </si>
  <si>
    <t>1185 US - 23 NORTH, ALPENA MI 49707 US</t>
  </si>
  <si>
    <t>101 North Industrial Hwy, Alpena MI 49707 US</t>
  </si>
  <si>
    <t>817 W. Chisholm, Alpena MI 49707 US</t>
  </si>
  <si>
    <t>1237 US-23 North, Alpena MI 49707 US</t>
  </si>
  <si>
    <t>600 W. CHISOLM, ALPENA MI 49707 US</t>
  </si>
  <si>
    <t>222 S. Second Ave., Alpena MI 49707 US</t>
  </si>
  <si>
    <t>100 S. SECOND AVE., ALPENA MI 49707 US</t>
  </si>
  <si>
    <t>126 W. Washington Ave, Alpena MI 49707 US</t>
  </si>
  <si>
    <t>109 RIVER STREET, ALPENA MI 49707 US</t>
  </si>
  <si>
    <t>165 N. STATE STREET, ALPENA MI 49707 US</t>
  </si>
  <si>
    <t>832 W. Chisholm, Alpena MI 49707 US</t>
  </si>
  <si>
    <t>460 Long Rapids Plaza, Alpena MI 49707 US</t>
  </si>
  <si>
    <t xml:space="preserve">ALPENA COLLEGE - PAPER ACCT   </t>
  </si>
  <si>
    <t>666 JOHNSON STREET, ALPENA MI 49707 US</t>
  </si>
  <si>
    <t xml:space="preserve">666 Johnson St. Attn: Accounts Payable, Alpena MI </t>
  </si>
  <si>
    <t>1009 LONG LAKE AVE, ALPENA MI 49707 US</t>
  </si>
  <si>
    <t>121 WEST CHISHOLM, ALPENA MI 49707 US</t>
  </si>
  <si>
    <t>129 W. CHISHOLM ST., ALPENA MI 49707 US</t>
  </si>
  <si>
    <t>2581 B US 23 SOUTH, ALPENA MI 49707 US</t>
  </si>
  <si>
    <t>2635 US 23 SOUTH, Alpena MI 49707 US</t>
  </si>
  <si>
    <t>2222 US 23 SO., ALPENA MI 49707 US</t>
  </si>
  <si>
    <t>3500 S. 3RD AVE., Alpena MI 49707 US</t>
  </si>
  <si>
    <t>3303 S. 3RD AVE., Alpena MI 49707 US</t>
  </si>
  <si>
    <t>201 N. RIPLEY BLVD., Alpena MI 49707 US</t>
  </si>
  <si>
    <t>2668 US-23 South, Alpena MI 49707 US</t>
  </si>
  <si>
    <t>2673 US-23 South, Alpena MI 49707 US</t>
  </si>
  <si>
    <t>2550 U.S. 23 S., Alpena MI 49707 US</t>
  </si>
  <si>
    <t>2270 U.S. 23 South, Alpena MI 49707 US</t>
  </si>
  <si>
    <t>215 S. Ripley, Alpena MI 49707 US</t>
  </si>
  <si>
    <t>180 S. Ripley, Alpena MI 49707 US</t>
  </si>
  <si>
    <t>3303 WEST WASHINGTON, ALPENA MI 49707 US</t>
  </si>
  <si>
    <t>300 S. RIPLEY, Alpena MI 49707 US</t>
  </si>
  <si>
    <t>494 S RIPLEY, ALPENA MI 49707 US</t>
  </si>
  <si>
    <t>1100 N. Bagley St., Alpena MI 49707 US</t>
  </si>
  <si>
    <t>3303-5 THIRD SUITE D128, ALPENA MI 49707 US</t>
  </si>
  <si>
    <t>1468 M-32 W., Alpena MI 49707 US</t>
  </si>
  <si>
    <t>1000 M-32 WEST, ALPENA MI 49707 US</t>
  </si>
  <si>
    <t>1283 M-32 West, Alpena MI 49707 US</t>
  </si>
  <si>
    <t>1253 M-32, ALPENA MI 49707 US</t>
  </si>
  <si>
    <t>Held AR 03/03/25 - 01/01/99</t>
  </si>
  <si>
    <t>06:38:22</t>
  </si>
  <si>
    <t>09:36:39 09:13:03 09:29:49 09:13:03</t>
  </si>
  <si>
    <t>09:25:31 09:27:05 09:43:51 09:27:05</t>
  </si>
  <si>
    <t>10:03:46 06:46:17 07:08:43 06:46:17</t>
  </si>
  <si>
    <t>09:12:38</t>
  </si>
  <si>
    <t>09:39:18  09:39:18</t>
  </si>
  <si>
    <t>10:16:49 06:38:14 07:00:40 06:38:14</t>
  </si>
  <si>
    <t>09:24:23</t>
  </si>
  <si>
    <t>10:05:03  10:05:03</t>
  </si>
  <si>
    <t>10:25:04 09:51:22 06:48:30 09:51:22</t>
  </si>
  <si>
    <t>10:40:05</t>
  </si>
  <si>
    <t>Held 02/28/25 - 04/01/25</t>
  </si>
  <si>
    <t>10:46:05</t>
  </si>
  <si>
    <t>09:00:00  10:07:33</t>
  </si>
  <si>
    <t>11:41:46</t>
  </si>
  <si>
    <t>11:50:05  11:42:50</t>
  </si>
  <si>
    <t>10:59:55 12:05:23 12:56:50 11:58:08</t>
  </si>
  <si>
    <t>06:52:59  10:22:54</t>
  </si>
  <si>
    <t>12:16:33  12:09:18</t>
  </si>
  <si>
    <t>14:37:26  11:07:48</t>
  </si>
  <si>
    <t>11:41:36 12:24:07 12:33:46 12:16:51</t>
  </si>
  <si>
    <t>11:52:42 12:35:13 12:14:35 12:27:58</t>
  </si>
  <si>
    <t>12:12:28 12:54:58 11:55:37 12:47:43</t>
  </si>
  <si>
    <t>12:36:11 13:18:42 11:41:06 13:11:27</t>
  </si>
  <si>
    <t>13:26:45</t>
  </si>
  <si>
    <t>13:50:45</t>
  </si>
  <si>
    <t>15:06:38</t>
  </si>
  <si>
    <t>15:56:17 14:34:03 14:00:00 14:34:03</t>
  </si>
  <si>
    <t>15:15:41  15:00:10</t>
  </si>
  <si>
    <t>06:59:37 06:06:37 06:06:37 06:06:37</t>
  </si>
  <si>
    <t>06:06:37</t>
  </si>
  <si>
    <t>07:12:37 06:19:37 06:19:37 06:19:37</t>
  </si>
  <si>
    <t>09:18:10 06:37:50 06:37:50 06:37:50</t>
  </si>
  <si>
    <t>07:01:50</t>
  </si>
  <si>
    <t>07:28:01</t>
  </si>
  <si>
    <t>10:24:47 07:18:44 07:09:36 07:09:36</t>
  </si>
  <si>
    <t>07:32:14 07:40:10 07:31:01 07:31:01</t>
  </si>
  <si>
    <t>07:42:33 07:50:28 07:41:20 07:41:20</t>
  </si>
  <si>
    <t>08:04:45</t>
  </si>
  <si>
    <t>08:13:39  08:07:47</t>
  </si>
  <si>
    <t>08:29:21  08:23:29</t>
  </si>
  <si>
    <t>08:23:46 08:40:38 08:08:26 08:34:46</t>
  </si>
  <si>
    <t>08:59:46 09:16:38 08:44:26 09:10:46</t>
  </si>
  <si>
    <t>09:39:39  09:40:36</t>
  </si>
  <si>
    <t>09:18:38  09:12:46</t>
  </si>
  <si>
    <t>09:03:21  09:51:02</t>
  </si>
  <si>
    <t>10:42:31 09:34:00 08:48:48 09:28:08</t>
  </si>
  <si>
    <t>11:02:49  10:02:51</t>
  </si>
  <si>
    <t>09:52:40  09:46:48</t>
  </si>
  <si>
    <t>09:56:10</t>
  </si>
  <si>
    <t>10:05:26</t>
  </si>
  <si>
    <t>10:15:34</t>
  </si>
  <si>
    <t>10:06:14</t>
  </si>
  <si>
    <t>09:47:40 10:25:39 07:01:20 07:01:20</t>
  </si>
  <si>
    <t>10:30:19</t>
  </si>
  <si>
    <t>09:57:04 10:51:21 09:11:29 10:12:43</t>
  </si>
  <si>
    <t>11:24:20  10:24:22</t>
  </si>
  <si>
    <t>Held 10/17/24 - 04/10/25</t>
  </si>
  <si>
    <t>4086 US 31, Brutus MI 49706 US</t>
  </si>
  <si>
    <t>12:49:31</t>
  </si>
  <si>
    <t>07:00:09</t>
  </si>
  <si>
    <t>12:44:00 07:05:04 13:03:11 07:05:04</t>
  </si>
  <si>
    <t>07:00:23  07:10:23</t>
  </si>
  <si>
    <t>07:23:51 13:28:15 07:40:02 13:47:29</t>
  </si>
  <si>
    <t>07:26:39</t>
  </si>
  <si>
    <t>08:41:29  08:41:29</t>
  </si>
  <si>
    <t>07:43:02 07:41:47 12:38:23 07:41:47</t>
  </si>
  <si>
    <t>07:36:01  07:52:13</t>
  </si>
  <si>
    <t>08:43:54  08:43:54</t>
  </si>
  <si>
    <t>12:21:45 07:20:15 07:58:41 07:20:15</t>
  </si>
  <si>
    <t>09:08:07</t>
  </si>
  <si>
    <t>08:32:19 11:49:31 09:04:30 12:03:45</t>
  </si>
  <si>
    <t>09:04:05 10:28:09 09:36:16 10:29:23</t>
  </si>
  <si>
    <t>10:18:47 09:34:26 10:50:59 09:35:40</t>
  </si>
  <si>
    <t>09:47:52  09:49:05</t>
  </si>
  <si>
    <t>09:58:42 09:52:31 10:30:54 09:53:45</t>
  </si>
  <si>
    <t>09:43:01 10:12:11 10:15:13 10:13:25</t>
  </si>
  <si>
    <t>10:33:15 09:08:59 11:05:27 09:10:13</t>
  </si>
  <si>
    <t>11:05:14 08:55:51 11:37:26 08:55:51</t>
  </si>
  <si>
    <t>11:07:23</t>
  </si>
  <si>
    <t>11:08:18  11:22:32</t>
  </si>
  <si>
    <t>12:06:45 07:26:15 08:04:42 07:26:15</t>
  </si>
  <si>
    <t>11:14:22  11:28:36</t>
  </si>
  <si>
    <t>11:25:54 07:55:02 11:58:06 07:55:02</t>
  </si>
  <si>
    <t>11:20:17  11:34:30</t>
  </si>
  <si>
    <t>08:43:14 11:29:43 09:15:26 11:43:57</t>
  </si>
  <si>
    <t>12:36:48 13:36:02 12:56:00 13:55:15</t>
  </si>
  <si>
    <t>07:46:02  12:41:23</t>
  </si>
  <si>
    <t>12:43:48</t>
  </si>
  <si>
    <t>12:18:22</t>
  </si>
  <si>
    <t>13:00:20  13:21:17</t>
  </si>
  <si>
    <t>12:29:50  12:49:01</t>
  </si>
  <si>
    <t>08:11:18 12:05:56 08:43:29 12:25:10</t>
  </si>
  <si>
    <t>12:30:36  12:49:50</t>
  </si>
  <si>
    <t>07:30:56 13:00:50 07:47:07 13:20:04</t>
  </si>
  <si>
    <t>13:30:47  13:51:45</t>
  </si>
  <si>
    <t>07:28:51 13:33:15 07:45:02 13:52:29</t>
  </si>
  <si>
    <t>13:19:21</t>
  </si>
  <si>
    <t>13:12:42 13:09:13 13:33:40 13:28:27</t>
  </si>
  <si>
    <t>06:15:29 06:15:29 06:15:29 06:15:29</t>
  </si>
  <si>
    <t>06:45:36</t>
  </si>
  <si>
    <t>07:57:57 07:57:57 07:59:57 07:57:57</t>
  </si>
  <si>
    <t>08:26:57 08:26:57 08:28:57 08:26:57</t>
  </si>
  <si>
    <t>08:42:26 08:42:26 08:44:26 08:42:26</t>
  </si>
  <si>
    <t>08:56:40 08:56:40 08:58:40 08:56:40</t>
  </si>
  <si>
    <t>09:22:48 09:09:48 09:24:48 09:27:48</t>
  </si>
  <si>
    <t>09:08:43 11:42:33 09:10:43 09:08:43</t>
  </si>
  <si>
    <t>09:54:15 10:27:12 09:56:15 10:41:04</t>
  </si>
  <si>
    <t>09:35:18 09:22:18 09:37:18 09:40:18</t>
  </si>
  <si>
    <t>11:30:06  09:56:38</t>
  </si>
  <si>
    <t>10:56:50 09:40:27 10:58:50 10:03:33</t>
  </si>
  <si>
    <t>10:18:56  11:43:30</t>
  </si>
  <si>
    <t>11:06:50 09:50:27 11:08:50 10:13:33</t>
  </si>
  <si>
    <t>10:07:12  10:30:18</t>
  </si>
  <si>
    <t>11:34:23 11:58:41 11:36:23 11:56:13</t>
  </si>
  <si>
    <t>11:25:15 11:36:33 11:27:15 09:22:43</t>
  </si>
  <si>
    <t>11:46:11 12:10:29 11:48:11 12:08:01</t>
  </si>
  <si>
    <t>12:48:00  12:50:00</t>
  </si>
  <si>
    <t>12:55:16 13:12:24 12:57:16 13:09:56</t>
  </si>
  <si>
    <t>12:00:34 12:24:52 12:02:34 12:22:24</t>
  </si>
  <si>
    <t>14:16:20  14:18:20</t>
  </si>
  <si>
    <t>08:09:17</t>
  </si>
  <si>
    <t>09:23:41</t>
  </si>
  <si>
    <t>09:57:28</t>
  </si>
  <si>
    <t>Held 02/26/25 - 01/01/99</t>
  </si>
  <si>
    <t>09:50:38 09:00:00 09:00:00 09:00:00</t>
  </si>
  <si>
    <t>11:30:00 11:30:00 12:44:18 11:30:00</t>
  </si>
  <si>
    <t>14:00:00 14:00:00 14:26:49 14:00:00</t>
  </si>
  <si>
    <t>08:15:20 08:05:52 08:00:00 08:00:00</t>
  </si>
  <si>
    <t>06:57:24 06:45:09 06:57:24 06:45:09</t>
  </si>
  <si>
    <t>06:43:55  06:43:55</t>
  </si>
  <si>
    <t>08:00:59 07:48:42 08:00:59 07:48:42</t>
  </si>
  <si>
    <t>08:19:35 11:42:31 08:19:35 11:32:28</t>
  </si>
  <si>
    <t>08:36:56 11:59:50 08:36:56 11:49:47</t>
  </si>
  <si>
    <t>08:48:24 08:30:52 08:48:24 08:30:52</t>
  </si>
  <si>
    <t>08:40:52</t>
  </si>
  <si>
    <t>09:07:43  08:57:43</t>
  </si>
  <si>
    <t>09:11:05 09:28:15 09:11:05 09:18:14</t>
  </si>
  <si>
    <t>09:13:05 09:30:15 09:13:05 09:20:14</t>
  </si>
  <si>
    <t>09:14:05 09:31:15 09:14:05 09:21:14</t>
  </si>
  <si>
    <t>09:12:05 09:29:15 09:12:05 09:19:14</t>
  </si>
  <si>
    <t>09:15:05 09:32:15 09:15:05 09:22:14</t>
  </si>
  <si>
    <t>09:16:05 09:33:15 09:16:05 09:23:14</t>
  </si>
  <si>
    <t>09:17:05 09:34:15 09:17:05 09:24:14</t>
  </si>
  <si>
    <t>09:18:05 09:35:15 09:18:05 09:25:14</t>
  </si>
  <si>
    <t>09:19:05 09:36:15 09:19:05 09:26:14</t>
  </si>
  <si>
    <t>09:21:05 09:38:15 09:21:05 09:28:14</t>
  </si>
  <si>
    <t>09:20:05 09:37:15 09:20:05 09:27:14</t>
  </si>
  <si>
    <t>09:23:05 09:40:15 09:23:05 09:30:14</t>
  </si>
  <si>
    <t>09:22:05 09:39:15 09:22:05 09:29:14</t>
  </si>
  <si>
    <t>09:24:05 09:41:15 09:24:05 09:31:14</t>
  </si>
  <si>
    <t>09:25:05 09:42:15 09:25:05 09:32:14</t>
  </si>
  <si>
    <t>09:26:05 09:43:15 09:26:05 09:33:14</t>
  </si>
  <si>
    <t>09:27:05 09:44:15 09:27:05 09:34:14</t>
  </si>
  <si>
    <t>09:55:59 10:14:10 09:55:59 10:04:08</t>
  </si>
  <si>
    <t>09:45:15  09:35:14</t>
  </si>
  <si>
    <t>10:21:09 08:52:12 10:21:09 08:42:12</t>
  </si>
  <si>
    <t>09:39:56 09:58:08 09:39:56 09:48:06</t>
  </si>
  <si>
    <t>10:11:58 10:30:10 10:11:58 10:20:08</t>
  </si>
  <si>
    <t>10:36:58 10:39:17 10:36:58 10:29:15</t>
  </si>
  <si>
    <t>10:52:34 10:54:53 10:52:34 10:44:51</t>
  </si>
  <si>
    <t>11:24:56  11:24:56</t>
  </si>
  <si>
    <t>11:03:19 11:05:38 11:03:19 10:55:35</t>
  </si>
  <si>
    <t>11:27:23 08:19:47 11:27:23 08:19:47</t>
  </si>
  <si>
    <t>11:16:44  11:06:41</t>
  </si>
  <si>
    <t>11:14:28 11:29:47 11:14:28 11:19:44</t>
  </si>
  <si>
    <t>11:37:37 08:04:35 11:37:37 08:04:35</t>
  </si>
  <si>
    <t>11:53:00 12:11:43 11:53:00 12:01:39</t>
  </si>
  <si>
    <t>12:08:51 12:27:34 12:08:51 12:17:31</t>
  </si>
  <si>
    <t>12:19:03  12:19:03</t>
  </si>
  <si>
    <t>12:36:06 12:39:49 12:36:06 12:29:45</t>
  </si>
  <si>
    <t>13:58:50 14:02:33 13:58:50 13:52:29</t>
  </si>
  <si>
    <t>13:33:29 13:37:12 13:33:29 13:27:08</t>
  </si>
  <si>
    <t>14:11:19 14:15:02 14:11:19 14:04:58</t>
  </si>
  <si>
    <t>11:19:04 07:35:14 07:35:14 07:35:14</t>
  </si>
  <si>
    <t>11:02:19 07:57:55 07:57:55 07:57:55</t>
  </si>
  <si>
    <t>11:44:38 08:16:56 08:16:56 08:16:56</t>
  </si>
  <si>
    <t>08:16:35</t>
  </si>
  <si>
    <t>10:53:24 08:27:55 08:27:55 08:27:55</t>
  </si>
  <si>
    <t>12:28:55 09:04:54 10:00:16 09:04:54</t>
  </si>
  <si>
    <t>08:39:03 10:37:01 11:51:55 10:37:01</t>
  </si>
  <si>
    <t>10:33:01  09:00:01</t>
  </si>
  <si>
    <t>13:08:32 09:44:32 10:39:53 09:44:32</t>
  </si>
  <si>
    <t>10:25:18  09:16:55</t>
  </si>
  <si>
    <t>13:24:40 10:00:37 10:56:00 10:00:37</t>
  </si>
  <si>
    <t>10:03:42  09:34:18</t>
  </si>
  <si>
    <t>10:16:28  10:16:28</t>
  </si>
  <si>
    <t>09:00:03 10:58:01 12:12:55 10:58:01</t>
  </si>
  <si>
    <t>13:42:59 11:12:19 11:42:38 11:12:19</t>
  </si>
  <si>
    <t>11:14:28</t>
  </si>
  <si>
    <t>13:57:04 11:20:36 11:34:14 11:20:36</t>
  </si>
  <si>
    <t>13:51:30  11:28:40</t>
  </si>
  <si>
    <t>11:31:32  11:31:32</t>
  </si>
  <si>
    <t>14:10:09 11:41:41 13:11:22 11:41:41</t>
  </si>
  <si>
    <t>08:00:53 11:57:32 13:27:12 11:57:32</t>
  </si>
  <si>
    <t>07:45:11 12:13:07 13:42:47 12:13:07</t>
  </si>
  <si>
    <t>12:00:03 08:36:03 08:36:03 08:36:03</t>
  </si>
  <si>
    <t>07:23:59 12:34:03 14:03:44 12:34:03</t>
  </si>
  <si>
    <t>09:15:59  12:28:52</t>
  </si>
  <si>
    <t>13:29:45</t>
  </si>
  <si>
    <t>15:24:18 13:30:00 14:59:46 13:52:23</t>
  </si>
  <si>
    <t>09:29:04  12:41:56</t>
  </si>
  <si>
    <t>13:44:11</t>
  </si>
  <si>
    <t>08:27:16  13:02:32</t>
  </si>
  <si>
    <t>13:49:49  14:12:12</t>
  </si>
  <si>
    <t>14:05:27  14:27:49</t>
  </si>
  <si>
    <t>14:05:06</t>
  </si>
  <si>
    <t>14:25:09</t>
  </si>
  <si>
    <t>14:41:57</t>
  </si>
  <si>
    <t>15:37:59 13:43:41 15:13:27 14:06:05</t>
  </si>
  <si>
    <t>09:09:11  08:45:12</t>
  </si>
  <si>
    <t>09:34:57 09:44:58 09:10:58 09:15:19</t>
  </si>
  <si>
    <t>08:53:55</t>
  </si>
  <si>
    <t>09:31:36  09:34:16</t>
  </si>
  <si>
    <t>09:43:22 09:21:36 09:19:23 09:47:16</t>
  </si>
  <si>
    <t>09:53:41 09:53:42 09:29:42 10:03:35</t>
  </si>
  <si>
    <t>12:02:38  10:29:11</t>
  </si>
  <si>
    <t>11:05:52 11:46:55 10:41:52 10:32:53</t>
  </si>
  <si>
    <t>11:03:32 11:44:34 10:39:32 11:46:06</t>
  </si>
  <si>
    <t>10:39:52  10:48:47</t>
  </si>
  <si>
    <t>10:40:32 11:21:34 10:16:32 11:47:06</t>
  </si>
  <si>
    <t>10:48:09  10:57:05</t>
  </si>
  <si>
    <t>10:18:24 10:59:25 09:54:25 11:08:21</t>
  </si>
  <si>
    <t>10:32:25 11:13:27 10:08:26 11:22:22</t>
  </si>
  <si>
    <t>12:09:11  12:35:57</t>
  </si>
  <si>
    <t>10:36:49 11:17:52 10:12:50 11:26:47</t>
  </si>
  <si>
    <t>11:30:16</t>
  </si>
  <si>
    <t>11:49:06</t>
  </si>
  <si>
    <t>06:15:23 13:01:35 06:15:23 06:15:23</t>
  </si>
  <si>
    <t>11:51:04 09:00:00 11:27:03 13:04:29</t>
  </si>
  <si>
    <t>08:22:17 13:11:35 08:09:17 08:00:00</t>
  </si>
  <si>
    <t>12:18:00  12:00:25</t>
  </si>
  <si>
    <t>10:32:23  12:12:33</t>
  </si>
  <si>
    <t>08:32:17 13:21:35 08:19:17 08:10:00</t>
  </si>
  <si>
    <t>12:36:28</t>
  </si>
  <si>
    <t>08:37:17 13:26:35 08:24:17 08:15:00</t>
  </si>
  <si>
    <t>11:23:10 10:25:13 10:59:09 12:18:43</t>
  </si>
  <si>
    <t>08:38:17 13:27:35 08:25:17 08:16:00</t>
  </si>
  <si>
    <t>11:30:27 10:18:57 11:06:26 12:26:00</t>
  </si>
  <si>
    <t>12:19:29  12:46:15</t>
  </si>
  <si>
    <t>12:25:50 08:00:00 12:08:14 13:33:15</t>
  </si>
  <si>
    <t>08:05:38  06:55:07</t>
  </si>
  <si>
    <t>06:45:58</t>
  </si>
  <si>
    <t>09:25:09</t>
  </si>
  <si>
    <t>08:27:08  08:00:00</t>
  </si>
  <si>
    <t>09:54:00</t>
  </si>
  <si>
    <t>09:08:42</t>
  </si>
  <si>
    <t>14:08:12  14:08:12</t>
  </si>
  <si>
    <t>09:30:12</t>
  </si>
  <si>
    <t>10:13:32</t>
  </si>
  <si>
    <t>14:16:48  14:16:48</t>
  </si>
  <si>
    <t>11:08:57  09:31:24</t>
  </si>
  <si>
    <t>10:46:34</t>
  </si>
  <si>
    <t>14:40:51  14:40:51</t>
  </si>
  <si>
    <t>11:42:02  10:04:29</t>
  </si>
  <si>
    <t>14:47:48  14:47:48</t>
  </si>
  <si>
    <t>15:00:19  15:00:19</t>
  </si>
  <si>
    <t>14:00:59  14:01:00</t>
  </si>
  <si>
    <t>15:16:29  15:16:29</t>
  </si>
  <si>
    <t>15:16:12  15:16:12</t>
  </si>
  <si>
    <t>15:31:18  15:31:18</t>
  </si>
  <si>
    <t>15:32:02  15:32:02</t>
  </si>
  <si>
    <t>16:00:26 16:03:12 16:00:26 16:03:12</t>
  </si>
  <si>
    <t>16:34:52 16:37:38 16:34:52 16:37:38</t>
  </si>
  <si>
    <t>17:12:12 17:14:58 17:12:12 17:14:58</t>
  </si>
  <si>
    <t>17:44:13 17:46:59 17:44:13 17:46:59</t>
  </si>
  <si>
    <t>17:48:14 17:51:00 17:48:14 17:51:00</t>
  </si>
  <si>
    <t>17:54:37 17:57:23 17:54:37 17:57:23</t>
  </si>
  <si>
    <t>18:16:46 18:19:32 18:16:46 18:19:32</t>
  </si>
  <si>
    <t>18:24:46 18:27:32 18:24:46 18:27:32</t>
  </si>
  <si>
    <t>18:41:44 18:44:30 18:41:44 18:44:30</t>
  </si>
  <si>
    <t>19:21:02 19:23:48 19:21:02 19:23:48</t>
  </si>
  <si>
    <t>19:56:49 19:59:35 19:56:49 19:59:35</t>
  </si>
  <si>
    <t>19:44:36 19:47:21 19:44:36 19:47:21</t>
  </si>
  <si>
    <t>20:21:07 20:23:53 20:21:07 20:23:53</t>
  </si>
  <si>
    <t>20:38:22 20:41:07 20:38:22 20:41:07</t>
  </si>
  <si>
    <t>07:20:48</t>
  </si>
  <si>
    <t>09:23:55</t>
  </si>
  <si>
    <t>12:00:00</t>
  </si>
  <si>
    <t>13:19:50</t>
  </si>
  <si>
    <t>09:39:29</t>
  </si>
  <si>
    <t>09:28:04  09:28:04</t>
  </si>
  <si>
    <t>09:46:59  13:38:51</t>
  </si>
  <si>
    <t>11:00:52  11:00:52</t>
  </si>
  <si>
    <t>10:35:58 11:08:57 14:28:15 11:08:57</t>
  </si>
  <si>
    <t>10:12:43  14:04:49</t>
  </si>
  <si>
    <t>11:01:55 11:35:02 14:54:23 11:35:02</t>
  </si>
  <si>
    <t>11:15:18 11:48:28 15:07:50 11:48:28</t>
  </si>
  <si>
    <t>11:36:01 12:09:15 15:28:34 12:09:15</t>
  </si>
  <si>
    <t>13:06:38 13:39:47 16:59:02 13:39:47</t>
  </si>
  <si>
    <t>13:35:33 14:08:44 17:27:58 14:08:44</t>
  </si>
  <si>
    <t>13:45:56 14:19:09 17:38:06 14:19:09</t>
  </si>
  <si>
    <t>15:13:18 15:46:33 19:05:08 15:46:33</t>
  </si>
  <si>
    <t>15:15:13 15:48:28 19:06:58 15:48:28</t>
  </si>
  <si>
    <t>15:26:37 15:59:50 19:17:49 15:59:50</t>
  </si>
  <si>
    <t>15:41:25 16:14:38 19:32:35 16:14:38</t>
  </si>
  <si>
    <t>15:53:44 16:26:56 19:44:30 16:26:56</t>
  </si>
  <si>
    <t>16:08:01 16:41:11 19:58:27 16:41:11</t>
  </si>
  <si>
    <t>16:17:11 16:50:20 20:07:36 16:50:20</t>
  </si>
  <si>
    <t>16:18:11 16:51:20 20:08:36 16:51:20</t>
  </si>
  <si>
    <t>16:19:11 16:52:20 20:09:36 16:52:20</t>
  </si>
  <si>
    <t>16:20:11 16:53:20 20:10:36 16:53:20</t>
  </si>
  <si>
    <t>16:21:11 16:54:20 20:11:36 16:54:20</t>
  </si>
  <si>
    <t>17:15:48 17:48:56 21:06:01 17:48:56</t>
  </si>
  <si>
    <t>17:42:49 18:15:50 21:32:19 18:15:50</t>
  </si>
  <si>
    <t>17:59:28 18:32:26 21:48:38 18:32:26</t>
  </si>
  <si>
    <t>18:05:24 18:38:19 21:54:18 18:38:19</t>
  </si>
  <si>
    <t>18:29:50 19:02:39 22:18:06 19:02:39</t>
  </si>
  <si>
    <t>06:05:01</t>
  </si>
  <si>
    <t>06:08:39</t>
  </si>
  <si>
    <t>07:00:00</t>
  </si>
  <si>
    <t>08:14:13</t>
  </si>
  <si>
    <t>08:00:00  08:45:56</t>
  </si>
  <si>
    <t>08:31:30</t>
  </si>
  <si>
    <t>09:00:00  09:00:00</t>
  </si>
  <si>
    <t>08:05:06  08:51:03</t>
  </si>
  <si>
    <t>09:12:32  09:12:32</t>
  </si>
  <si>
    <t>09:19:49  09:19:49</t>
  </si>
  <si>
    <t>08:14:51  09:00:49</t>
  </si>
  <si>
    <t>10:00:00  10:00:00</t>
  </si>
  <si>
    <t>14:29:35 09:53:01 14:29:35 09:53:01</t>
  </si>
  <si>
    <t>10:10:31  10:10:31</t>
  </si>
  <si>
    <t>14:50:12 10:13:33 14:50:12 10:13:33</t>
  </si>
  <si>
    <t>14:58:26 10:21:42 14:58:26 10:21:42</t>
  </si>
  <si>
    <t>14:13:00 09:36:28 14:13:00 09:36:28</t>
  </si>
  <si>
    <t>15:08:09 10:31:22 15:08:09 10:31:22</t>
  </si>
  <si>
    <t>15:13:28 10:36:34 15:13:28 10:36:34</t>
  </si>
  <si>
    <t>15:36:26 10:59:20 15:36:26 10:59:20</t>
  </si>
  <si>
    <t>15:54:13 11:17:06 15:54:13 11:17:06</t>
  </si>
  <si>
    <t>16:05:33 11:28:26 16:05:33 11:28:26</t>
  </si>
  <si>
    <t>16:22:35 11:45:27 16:22:35 11:45:27</t>
  </si>
  <si>
    <t>16:47:37 12:10:25 16:47:37 12:10:25</t>
  </si>
  <si>
    <t>17:34:43 12:57:32 17:34:43 12:57:32</t>
  </si>
  <si>
    <t>17:41:39 13:04:28 17:41:39 13:04:28</t>
  </si>
  <si>
    <t>17:05:28 12:28:16 17:05:28 12:28:16</t>
  </si>
  <si>
    <t>17:53:11 13:16:04 17:53:11 13:16:04</t>
  </si>
  <si>
    <t>17:11:01 12:33:52 17:11:01 12:33:52</t>
  </si>
  <si>
    <t>18:03:15 13:26:08 18:03:15 13:26:08</t>
  </si>
  <si>
    <t>18:21:25 13:44:44 18:21:25 13:44:44</t>
  </si>
  <si>
    <t>18:38:35 14:02:00 18:38:35 14:02:00</t>
  </si>
  <si>
    <t>18:59:54 14:23:27 18:59:54 14:23:27</t>
  </si>
  <si>
    <t>19:23:10 14:47:08 19:23:10 14:47:08</t>
  </si>
  <si>
    <t>19:36:20 15:00:25 19:36:20 15:00:25</t>
  </si>
  <si>
    <t>08:00:00 08:00:00 08:00:00 08:00:00</t>
  </si>
  <si>
    <t>09:19:31 09:19:31 09:21:31 13:17:23</t>
  </si>
  <si>
    <t>09:19:06</t>
  </si>
  <si>
    <t>10:09:39  09:27:25</t>
  </si>
  <si>
    <t>09:32:31 09:32:31 09:34:31 13:30:23</t>
  </si>
  <si>
    <t>10:09:36 10:19:07 10:11:36 09:36:53</t>
  </si>
  <si>
    <t>10:21:36 10:31:07 10:23:36 09:48:53</t>
  </si>
  <si>
    <t>10:31:38</t>
  </si>
  <si>
    <t>10:46:50 11:35:39 10:56:50 09:57:43</t>
  </si>
  <si>
    <t>10:39:35</t>
  </si>
  <si>
    <t>10:30:28 10:52:59 10:40:28 11:09:30</t>
  </si>
  <si>
    <t>11:01:21  11:11:21</t>
  </si>
  <si>
    <t>11:10:04  11:26:35</t>
  </si>
  <si>
    <t>11:14:23  11:24:23</t>
  </si>
  <si>
    <t>11:46:34</t>
  </si>
  <si>
    <t>11:30:02 13:00:39 11:40:03 10:43:13</t>
  </si>
  <si>
    <t>11:53:37  11:53:04</t>
  </si>
  <si>
    <t>12:38:46</t>
  </si>
  <si>
    <t>12:14:50 12:09:01 12:24:51 10:08:23</t>
  </si>
  <si>
    <t>12:08:30</t>
  </si>
  <si>
    <t>12:28:26  12:38:27</t>
  </si>
  <si>
    <t>12:24:46  12:18:13</t>
  </si>
  <si>
    <t>12:24:17</t>
  </si>
  <si>
    <t>12:48:21</t>
  </si>
  <si>
    <t>12:31:03  12:33:29</t>
  </si>
  <si>
    <t>12:54:31</t>
  </si>
  <si>
    <t>13:06:42  13:21:43</t>
  </si>
  <si>
    <t>11:55:49 12:42:51 12:05:49 10:25:25</t>
  </si>
  <si>
    <t>12:45:45 11:22:06 13:00:46 11:38:37</t>
  </si>
  <si>
    <t>12:42:10</t>
  </si>
  <si>
    <t>12:58:46 13:43:34 13:13:47 09:20:26</t>
  </si>
  <si>
    <t>12:48:56</t>
  </si>
  <si>
    <t>13:30:08</t>
  </si>
  <si>
    <t>13:25:14  12:59:08</t>
  </si>
  <si>
    <t>13:34:09  13:08:04</t>
  </si>
  <si>
    <t>13:46:44  13:55:28</t>
  </si>
  <si>
    <t>13:22:06  13:37:07</t>
  </si>
  <si>
    <t>13:35:44  13:44:28</t>
  </si>
  <si>
    <t>06:02:29 06:02:29 06:02:29 06:03:40</t>
  </si>
  <si>
    <t>06:32:42 14:43:43 06:32:42 14:36:26</t>
  </si>
  <si>
    <t>07:07:45</t>
  </si>
  <si>
    <t>07:17:10 10:41:55 07:08:00 10:39:38</t>
  </si>
  <si>
    <t>10:17:50</t>
  </si>
  <si>
    <t>08:33:53 11:04:46 08:33:53 11:02:29</t>
  </si>
  <si>
    <t>08:49:13  08:49:13</t>
  </si>
  <si>
    <t>09:05:05 11:19:52 09:05:05 11:17:35</t>
  </si>
  <si>
    <t>09:35:49  09:35:49</t>
  </si>
  <si>
    <t>10:19:25 11:50:40 10:19:25 11:48:23</t>
  </si>
  <si>
    <t>10:05:50 12:09:16 10:05:50 12:06:59</t>
  </si>
  <si>
    <t>11:06:53 12:34:37 11:06:53 12:32:20</t>
  </si>
  <si>
    <t>10:37:47  10:37:47</t>
  </si>
  <si>
    <t>10:45:32  10:45:32</t>
  </si>
  <si>
    <t>12:50:57  12:48:40</t>
  </si>
  <si>
    <t>12:01:44 13:27:54 12:29:38 13:20:37</t>
  </si>
  <si>
    <t>13:22:06</t>
  </si>
  <si>
    <t>13:42:56  13:35:39</t>
  </si>
  <si>
    <t>11:23:44</t>
  </si>
  <si>
    <t>11:37:52</t>
  </si>
  <si>
    <t>13:46:28  13:39:11</t>
  </si>
  <si>
    <t>11:23:55  11:51:50</t>
  </si>
  <si>
    <t>11:40:44  12:08:38</t>
  </si>
  <si>
    <t>13:57:40  13:50:23</t>
  </si>
  <si>
    <t>14:05:59  13:58:42</t>
  </si>
  <si>
    <t>11:44:12 14:17:23 12:12:06 14:10:06</t>
  </si>
  <si>
    <t>12:27:26 08:15:01 12:55:20 08:15:01</t>
  </si>
  <si>
    <t>14:35:02  14:27:45</t>
  </si>
  <si>
    <t>12:45:39 08:00:00 13:13:33 08:00:00</t>
  </si>
  <si>
    <t>12:58:07 10:00:00 13:26:00 10:00:00</t>
  </si>
  <si>
    <t>15:05:48  15:00:00</t>
  </si>
  <si>
    <t>15:07:51</t>
  </si>
  <si>
    <t>15:14:07</t>
  </si>
  <si>
    <t>15:43:09  15:23:13</t>
  </si>
  <si>
    <t>10:34:02 10:35:09 06:00:36 10:20:26</t>
  </si>
  <si>
    <t>06:01:57 06:01:57 06:09:35 06:01:57</t>
  </si>
  <si>
    <t>08:54:57  09:02:34</t>
  </si>
  <si>
    <t>09:11:14  09:11:14</t>
  </si>
  <si>
    <t>09:21:25  09:21:25</t>
  </si>
  <si>
    <t>09:23:50</t>
  </si>
  <si>
    <t>09:08:17 08:55:17 09:15:54 08:55:17</t>
  </si>
  <si>
    <t>09:34:32</t>
  </si>
  <si>
    <t>09:48:32 09:33:57 09:32:08 09:33:57</t>
  </si>
  <si>
    <t>09:39:11  09:42:33</t>
  </si>
  <si>
    <t>09:59:06  09:51:47</t>
  </si>
  <si>
    <t>10:18:22 09:57:47 10:11:03 09:54:47</t>
  </si>
  <si>
    <t>10:05:46 09:45:11 09:58:26 10:05:23</t>
  </si>
  <si>
    <t>10:05:51  09:47:43</t>
  </si>
  <si>
    <t>10:29:05 10:15:29 10:21:45 10:15:29</t>
  </si>
  <si>
    <t>10:18:16</t>
  </si>
  <si>
    <t>10:28:32</t>
  </si>
  <si>
    <t>10:43:44 09:19:28 11:15:56 09:20:42</t>
  </si>
  <si>
    <t>06:20:09</t>
  </si>
  <si>
    <t>06:16:29  06:16:29</t>
  </si>
  <si>
    <t>09:08:05 08:17:27 07:00:00 08:17:27</t>
  </si>
  <si>
    <t>09:14:29 08:23:51 07:06:23 08:23:51</t>
  </si>
  <si>
    <t>09:35:06  08:00:00</t>
  </si>
  <si>
    <t>08:45:43</t>
  </si>
  <si>
    <t>08:44:36</t>
  </si>
  <si>
    <t>09:51:50  08:28:21</t>
  </si>
  <si>
    <t>09:53:35 08:52:30 08:17:15 09:01:47</t>
  </si>
  <si>
    <t>08:47:38</t>
  </si>
  <si>
    <t>08:23:35</t>
  </si>
  <si>
    <t>10:57:53 10:20:54 09:29:49 10:30:09</t>
  </si>
  <si>
    <t>08:49:48  08:59:05</t>
  </si>
  <si>
    <t>08:29:31</t>
  </si>
  <si>
    <t>11:29:00  11:00:00</t>
  </si>
  <si>
    <t>08:51:30  09:00:47</t>
  </si>
  <si>
    <t>08:58:19  09:07:35</t>
  </si>
  <si>
    <t>12:15:21 11:30:41 12:51:55 11:39:57</t>
  </si>
  <si>
    <t>09:13:16  09:22:33</t>
  </si>
  <si>
    <t>09:24:17  09:33:33</t>
  </si>
  <si>
    <t>12:13:18 11:28:39 11:44:18 11:37:55</t>
  </si>
  <si>
    <t>12:31:50 11:06:56 11:46:14 11:16:12</t>
  </si>
  <si>
    <t>13:09:54</t>
  </si>
  <si>
    <t>12:53:20 10:51:14 12:07:44 11:00:30</t>
  </si>
  <si>
    <t>12:24:33</t>
  </si>
  <si>
    <t>13:32:06  12:41:03</t>
  </si>
  <si>
    <t>13:09:18</t>
  </si>
  <si>
    <t>13:21:19 11:49:11 12:30:16 11:58:27</t>
  </si>
  <si>
    <t>14:06:27</t>
  </si>
  <si>
    <t>13:55:48 12:11:33 13:27:53 12:20:48</t>
  </si>
  <si>
    <t>14:21:50 13:21:41 13:58:21 13:19:48</t>
  </si>
  <si>
    <t>12:01:46  12:11:01</t>
  </si>
  <si>
    <t>13:44:15 12:23:12 13:16:20 12:32:27</t>
  </si>
  <si>
    <t>13:41:13</t>
  </si>
  <si>
    <t>12:33:12</t>
  </si>
  <si>
    <t>12:48:22  12:46:29</t>
  </si>
  <si>
    <t>14:38:43  14:15:14</t>
  </si>
  <si>
    <t>13:05:33  13:03:40</t>
  </si>
  <si>
    <t>13:36:20</t>
  </si>
  <si>
    <t>13:38:34  13:44:48</t>
  </si>
  <si>
    <t>15:00:00 14:59:59 15:00:00 14:59:59</t>
  </si>
  <si>
    <t>06:02:22 06:02:22 06:02:22 06:02:22</t>
  </si>
  <si>
    <t>06:12:47 06:12:47 06:12:47 06:12:47</t>
  </si>
  <si>
    <t>06:16:47 06:16:47 06:16:47 06:16:47</t>
  </si>
  <si>
    <t>06:31:04</t>
  </si>
  <si>
    <t>06:31:41</t>
  </si>
  <si>
    <t>10:38:44 06:41:41 06:31:41 06:31:41</t>
  </si>
  <si>
    <t>11:08:58 06:54:54 06:44:54 06:44:54</t>
  </si>
  <si>
    <t>06:41:31 08:33:41 08:45:37 08:23:42</t>
  </si>
  <si>
    <t>08:32:04 07:20:29 07:10:28 07:10:28</t>
  </si>
  <si>
    <t>06:52:13 08:51:31 09:25:12 08:41:30</t>
  </si>
  <si>
    <t>07:03:47  09:36:46</t>
  </si>
  <si>
    <t>08:06:30 07:39:07 07:40:11 07:29:06</t>
  </si>
  <si>
    <t>07:20:09  08:33:27</t>
  </si>
  <si>
    <t>07:32:47</t>
  </si>
  <si>
    <t>08:01:05 08:04:35 08:05:39 08:02:34</t>
  </si>
  <si>
    <t>07:42:05 08:08:35 08:09:39 07:54:34</t>
  </si>
  <si>
    <t>07:50:05 08:16:35 08:17:39 08:06:34</t>
  </si>
  <si>
    <t>09:02:09  08:52:09</t>
  </si>
  <si>
    <t>08:56:41</t>
  </si>
  <si>
    <t>08:49:47  07:28:11</t>
  </si>
  <si>
    <t>08:56:17</t>
  </si>
  <si>
    <t>09:00:35</t>
  </si>
  <si>
    <t>09:01:37</t>
  </si>
  <si>
    <t>09:17:18  10:34:35</t>
  </si>
  <si>
    <t>09:51:44</t>
  </si>
  <si>
    <t>09:47:46</t>
  </si>
  <si>
    <t>09:52:34</t>
  </si>
  <si>
    <t>09:31:41  10:21:43</t>
  </si>
  <si>
    <t>10:29:44  10:00:23</t>
  </si>
  <si>
    <t>09:40:05 08:44:08 09:00:54 08:34:07</t>
  </si>
  <si>
    <t>10:46:21</t>
  </si>
  <si>
    <t>10:53:55 11:04:33 10:51:27 10:14:33</t>
  </si>
  <si>
    <t>09:48:47 09:08:30 09:09:35 09:11:46</t>
  </si>
  <si>
    <t>10:07:00 09:26:38 10:00:34 09:29:55</t>
  </si>
  <si>
    <t>10:55:58 11:06:36 10:53:30 10:16:36</t>
  </si>
  <si>
    <t>10:28:51  10:26:36</t>
  </si>
  <si>
    <t>11:22:10</t>
  </si>
  <si>
    <t>10:51:44</t>
  </si>
  <si>
    <t>11:07:39</t>
  </si>
  <si>
    <t>11:14:44</t>
  </si>
  <si>
    <t>3Day -&gt; 2Day</t>
  </si>
  <si>
    <t>2051</t>
  </si>
  <si>
    <t>9844</t>
  </si>
  <si>
    <t>11726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</si>
</sst>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;;;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DBDBDB"/>
        <bgColor indexed="64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949494"/>
      </left>
      <right style="thin">
        <color rgb="FF949494"/>
      </right>
      <top style="thin">
        <color rgb="FF949494"/>
      </top>
      <bottom style="thin">
        <color rgb="FF94949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2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3" borderId="1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 vertical="center"/>
    </xf>
    <xf numFmtId="4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9" fontId="0" fillId="0" borderId="0" xfId="2" applyFon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1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center" wrapText="1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5" borderId="4" xfId="0" applyFont="1" applyFill="1" applyBorder="1"/>
    <xf numFmtId="49" fontId="6" fillId="6" borderId="4" xfId="0" applyNumberFormat="1" applyFont="1" applyFill="1" applyBorder="1"/>
    <xf numFmtId="49" fontId="6" fillId="0" borderId="4" xfId="0" applyNumberFormat="1" applyFont="1" applyBorder="1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</cellXfs>
  <cellStyles count="3">
    <cellStyle name="Currency" xfId="1" builtinId="4"/>
    <cellStyle name="Normal" xfId="0" builtinId="0"/>
    <cellStyle name="Percent" xfId="2" builtinId="5"/>
  </cellStyles>
  <dxfs count="267"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92D05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2</xdr:col>
          <xdr:colOff>312420</xdr:colOff>
          <xdr:row>1</xdr:row>
          <xdr:rowOff>121920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3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2</xdr:col>
          <xdr:colOff>662940</xdr:colOff>
          <xdr:row>1</xdr:row>
          <xdr:rowOff>121920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30480</xdr:rowOff>
        </xdr:from>
        <xdr:to>
          <xdr:col>3</xdr:col>
          <xdr:colOff>22860</xdr:colOff>
          <xdr:row>1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2</xdr:col>
          <xdr:colOff>190500</xdr:colOff>
          <xdr:row>1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9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411480</xdr:colOff>
          <xdr:row>2</xdr:row>
          <xdr:rowOff>121920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8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434340</xdr:colOff>
          <xdr:row>2</xdr:row>
          <xdr:rowOff>121920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9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30480</xdr:rowOff>
        </xdr:from>
        <xdr:to>
          <xdr:col>2</xdr:col>
          <xdr:colOff>182880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Print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3" xr16:uid="{4F1A07FE-3895-4AD2-8EF8-28EFB4D36273}" autoFormatId="16" applyNumberFormats="0" applyBorderFormats="0" applyFontFormats="0" applyPatternFormats="0" applyAlignmentFormats="0" applyWidthHeightFormats="0">
  <queryTableRefresh nextId="66">
    <queryTableFields count="63">
      <queryTableField id="1" name="cu_id" tableColumnId="1"/>
      <queryTableField id="2" name="Branch" tableColumnId="2"/>
      <queryTableField id="3" name="Account" tableColumnId="3"/>
      <queryTableField id="4" name="Customer" tableColumnId="4"/>
      <queryTableField id="5" name="Week" tableColumnId="5"/>
      <queryTableField id="6" name="New Route" tableColumnId="6"/>
      <queryTableField id="7" name="New Delivery Day" tableColumnId="7"/>
      <queryTableField id="8" name="New Stop" tableColumnId="8"/>
      <queryTableField id="9" name="Alliant Sequence" tableColumnId="9"/>
      <queryTableField id="10" name="Old Route" tableColumnId="10"/>
      <queryTableField id="11" name="Old Delivery Day" tableColumnId="11"/>
      <queryTableField id="12" name="Old Stop" tableColumnId="12"/>
      <queryTableField id="13" name="Customer Name" tableColumnId="13"/>
      <queryTableField id="14" name="Frequency" tableColumnId="14"/>
      <queryTableField id="15" name="New Freq" tableColumnId="15"/>
      <queryTableField id="16" name="Address" tableColumnId="16"/>
      <queryTableField id="17" name="X_Longitude" tableColumnId="17"/>
      <queryTableField id="18" name="Y_Latitude" tableColumnId="18"/>
      <queryTableField id="19" name="Garment Inventory" tableColumnId="19"/>
      <queryTableField id="20" name="Wearer Count" tableColumnId="20"/>
      <queryTableField id="21" name="Total Assigned Garments" tableColumnId="21"/>
      <queryTableField id="22" name="Average Weekly Garment Soil Scans" tableColumnId="22"/>
      <queryTableField id="23" name="Garment Underwash" tableColumnId="23"/>
      <queryTableField id="24" name="Q1 Average" tableColumnId="24"/>
      <queryTableField id="25" name="Q1 Weighted" tableColumnId="25"/>
      <queryTableField id="26" name="Q1 Low Deviation" tableColumnId="26"/>
      <queryTableField id="27" name="Q1 High Deviation" tableColumnId="27"/>
      <queryTableField id="28" name="Q2 Average" tableColumnId="28"/>
      <queryTableField id="29" name="Q2 Weighted" tableColumnId="29"/>
      <queryTableField id="30" name="Q2 Low Deviation" tableColumnId="30"/>
      <queryTableField id="31" name="Q2 High Deviation" tableColumnId="31"/>
      <queryTableField id="32" name="Q3 Average" tableColumnId="32"/>
      <queryTableField id="33" name="Q3 Weighted" tableColumnId="33"/>
      <queryTableField id="34" name="Q3 Low Deviation" tableColumnId="34"/>
      <queryTableField id="35" name="Q3 High Deviation" tableColumnId="35"/>
      <queryTableField id="36" name="Q4 Average" tableColumnId="36"/>
      <queryTableField id="37" name="Q4 Weighted" tableColumnId="37"/>
      <queryTableField id="38" name="Q4 Low Deviation" tableColumnId="38"/>
      <queryTableField id="39" name="Q4 High Deviation" tableColumnId="39"/>
      <queryTableField id="40" name="Service Notes" tableColumnId="40"/>
      <queryTableField id="41" name="Earliest Time - Window 1" tableColumnId="41"/>
      <queryTableField id="42" name="Latest Time - Window 1" tableColumnId="42"/>
      <queryTableField id="43" name="Earliest Time - Window 2" tableColumnId="43"/>
      <queryTableField id="44" name="Latest Time - Window 2" tableColumnId="44"/>
      <queryTableField id="45" name="Available Delivery Days" tableColumnId="45"/>
      <queryTableField id="46" name="MilesFromPrevious" tableColumnId="46"/>
      <queryTableField id="47" name="Arrival Times" tableColumnId="47"/>
      <queryTableField id="48" name="Service Minutes" tableColumnId="48"/>
      <queryTableField id="49" name="MinutesFromPrevious" tableColumnId="49"/>
      <queryTableField id="50" name="Wait Minutes" tableColumnId="50"/>
      <queryTableField id="51" name="Is Route Changing" tableColumnId="51"/>
      <queryTableField id="52" name="Is Day Changing" tableColumnId="52"/>
      <queryTableField id="53" name="Is Frequency Changing?" tableColumnId="53"/>
      <queryTableField id="54" name="Is new Day feasible?" tableColumnId="54"/>
      <queryTableField id="55" name="Retape Needed?" tableColumnId="55"/>
      <queryTableField id="56" name="Garments Days to Turn Around" tableColumnId="56"/>
      <queryTableField id="57" name="Days Between Regular Deliverys" tableColumnId="57"/>
      <queryTableField id="58" name="Special Garment pu/do" tableColumnId="58"/>
      <queryTableField id="59" name="Long Gap (8-9Days) Consider Special delivery" tableColumnId="59"/>
      <queryTableField id="64" name="Hold/Seasonal" tableColumnId="63"/>
      <queryTableField id="60" name="Short Gap (6-7days) Consider leaving extra product" tableColumnId="60"/>
      <queryTableField id="61" name="Special invoice needed to have invoice live week" tableColumnId="61"/>
      <queryTableField id="62" name="Is Customer Changing?" tableColumnId="6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40" xr16:uid="{A8AC18A2-83EF-4848-9EBD-4F290DF45385}" autoFormatId="16" applyNumberFormats="0" applyBorderFormats="0" applyFontFormats="0" applyPatternFormats="0" applyAlignmentFormats="0" applyWidthHeightFormats="0">
  <queryTableRefresh nextId="3">
    <queryTableFields count="2">
      <queryTableField id="1" name="New Route Day" tableColumnId="1"/>
      <queryTableField id="2" name="Is Customer Changing?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21" xr16:uid="{E27EB421-4818-4456-BBE2-CBF6E0873A8C}" autoFormatId="16" applyNumberFormats="0" applyBorderFormats="0" applyFontFormats="0" applyPatternFormats="0" applyAlignmentFormats="0" applyWidthHeightFormats="0">
  <queryTableRefresh nextId="15">
    <queryTableFields count="11">
      <queryTableField id="1" name="Account" tableColumnId="1"/>
      <queryTableField id="2" name="Customer" tableColumnId="2"/>
      <queryTableField id="13" name="Current Route Day" tableColumnId="13"/>
      <queryTableField id="4" name="New Delivery Day" tableColumnId="4"/>
      <queryTableField id="6" name="Customer Name" tableColumnId="6"/>
      <queryTableField id="7" name="Frequency" tableColumnId="7"/>
      <queryTableField id="8" name="Address" tableColumnId="8"/>
      <queryTableField id="9" name="Service Minutes" tableColumnId="9"/>
      <queryTableField id="10" name="Average Weekly Garment Soil Scans" tableColumnId="10"/>
      <queryTableField id="11" name="Garment Underwash" tableColumnId="11"/>
      <queryTableField id="12" name="Available Delivery Days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2" xr16:uid="{724FFF80-2B09-4EA9-977D-15D392C25507}" autoFormatId="16" applyNumberFormats="0" applyBorderFormats="0" applyFontFormats="0" applyPatternFormats="0" applyAlignmentFormats="0" applyWidthHeightFormats="0">
  <queryTableRefresh nextId="32">
    <queryTableFields count="17">
      <queryTableField id="24" name="Route Day" tableColumnId="22"/>
      <queryTableField id="1" name="Coming Or Going" tableColumnId="1"/>
      <queryTableField id="3" name="Account" tableColumnId="3"/>
      <queryTableField id="4" name="Customer" tableColumnId="4"/>
      <queryTableField id="28" name="New Route Day" tableColumnId="2"/>
      <queryTableField id="26" name="Old Route Day" tableColumnId="23"/>
      <queryTableField id="9" name="Customer Name" tableColumnId="9"/>
      <queryTableField id="10" name="Frequency" tableColumnId="10"/>
      <queryTableField id="11" name="Address" tableColumnId="11"/>
      <queryTableField id="12" name="Service Minutes" tableColumnId="12"/>
      <queryTableField id="13" name="Q1 Average" tableColumnId="13"/>
      <queryTableField id="14" name="Q2 Average" tableColumnId="14"/>
      <queryTableField id="15" name="Q3 Average" tableColumnId="15"/>
      <queryTableField id="16" name="Q4 Average" tableColumnId="16"/>
      <queryTableField id="17" name="Average Weekly Garment Soil Scans" tableColumnId="17"/>
      <queryTableField id="18" name="Garment Underwash" tableColumnId="18"/>
      <queryTableField id="19" name="Available Delivery Days" tableColumnId="1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adjustColumnWidth="0" connectionId="20" xr16:uid="{2B16A7C6-25DD-47BC-B336-9B9DC5FF8ECD}" autoFormatId="16" applyNumberFormats="0" applyBorderFormats="0" applyFontFormats="0" applyPatternFormats="0" applyAlignmentFormats="0" applyWidthHeightFormats="0">
  <queryTableRefresh nextId="26">
    <queryTableFields count="16">
      <queryTableField id="1" name="Account" tableColumnId="1"/>
      <queryTableField id="2" name="Customer" tableColumnId="2"/>
      <queryTableField id="14" name="New Route Day" tableColumnId="13"/>
      <queryTableField id="5" name="Alliant Sequence" tableColumnId="5"/>
      <queryTableField id="15" name="Old Route Day" tableColumnId="14"/>
      <queryTableField id="7" name="Customer Name" tableColumnId="7"/>
      <queryTableField id="8" name="Frequency" tableColumnId="8"/>
      <queryTableField id="10" name="New Freq" tableColumnId="10"/>
      <queryTableField id="9" name="Address" tableColumnId="9"/>
      <queryTableField id="11" name="Arrival Times" tableColumnId="11"/>
      <queryTableField id="18" name="Service Minutes" tableColumnId="3"/>
      <queryTableField id="19" name="MinutesFromPrevious" tableColumnId="4"/>
      <queryTableField id="20" name="Hold/Seasonal" tableColumnId="6"/>
      <queryTableField id="24" name="Avg Wkly Garment Soil Scans" tableColumnId="17"/>
      <queryTableField id="22" name="Earliest Time - Window 1" tableColumnId="15"/>
      <queryTableField id="23" name="Available Delivery Days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adjustColumnWidth="0" connectionId="36" xr16:uid="{8EB12607-C81C-4EE7-BFC2-F4DFAB07707B}" autoFormatId="16" applyNumberFormats="0" applyBorderFormats="0" applyFontFormats="0" applyPatternFormats="0" applyAlignmentFormats="0" applyWidthHeightFormats="0">
  <queryTableRefresh nextId="68">
    <queryTableFields count="9">
      <queryTableField id="1" name="Cu_ID" tableColumnId="1"/>
      <queryTableField id="62" name="Account" tableColumnId="2"/>
      <queryTableField id="63" name="Customer" tableColumnId="3"/>
      <queryTableField id="64" name="New Route" tableColumnId="4"/>
      <queryTableField id="6" name="New Delivery Day" tableColumnId="6"/>
      <queryTableField id="60" name="Old RtDay" tableColumnId="60"/>
      <queryTableField id="12" name="Customer Name" tableColumnId="12"/>
      <queryTableField id="15" name="Frequency" tableColumnId="15"/>
      <queryTableField id="34" name="Garment Inventory" tableColumnId="3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27F56755-4DB9-4CC3-92A0-467AD292DFF9}" autoFormatId="16" applyNumberFormats="0" applyBorderFormats="0" applyFontFormats="0" applyPatternFormats="0" applyAlignmentFormats="0" applyWidthHeightFormats="0">
  <queryTableRefresh nextId="25">
    <queryTableFields count="13">
      <queryTableField id="1" name="Cu_ID" tableColumnId="1"/>
      <queryTableField id="17" name="Account" tableColumnId="2"/>
      <queryTableField id="18" name="Customer" tableColumnId="3"/>
      <queryTableField id="19" name="New Route" tableColumnId="4"/>
      <queryTableField id="5" name="New Delivery Day" tableColumnId="5"/>
      <queryTableField id="6" name="Customer Name" tableColumnId="6"/>
      <queryTableField id="20" name="Old Route" tableColumnId="7"/>
      <queryTableField id="8" name="Old Delivery Day" tableColumnId="8"/>
      <queryTableField id="10" name="Garment Inventory" tableColumnId="10"/>
      <queryTableField id="13" name="Garments Days to Turn Around" tableColumnId="9"/>
      <queryTableField id="14" name="Days Between Regular Deliverys" tableColumnId="11"/>
      <queryTableField id="15" name="Special Garment pu/do" tableColumnId="12"/>
      <queryTableField id="16" name="Long Gap (8-9Days) Consider Special delivery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46" xr16:uid="{EAD3595F-0E69-49CE-8577-5D92D580CDC3}" autoFormatId="16" applyNumberFormats="0" applyBorderFormats="0" applyFontFormats="0" applyPatternFormats="0" applyAlignmentFormats="0" applyWidthHeightFormats="0">
  <queryTableRefresh nextId="26">
    <queryTableFields count="10">
      <queryTableField id="18" name="Account" tableColumnId="1"/>
      <queryTableField id="19" name="Customer" tableColumnId="2"/>
      <queryTableField id="20" name="New Route" tableColumnId="3"/>
      <queryTableField id="8" name="New Delivery Day" tableColumnId="8"/>
      <queryTableField id="21" name="Old Route" tableColumnId="7"/>
      <queryTableField id="4" name="Old Delivery Day" tableColumnId="4"/>
      <queryTableField id="6" name="Customer Name" tableColumnId="6"/>
      <queryTableField id="12" name="Frequency" tableColumnId="10"/>
      <queryTableField id="16" name="Days Between Regular Deliverys" tableColumnId="5"/>
      <queryTableField id="17" name="Special Garment pu/do" tableColumnId="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44" xr16:uid="{73F1F1F8-058C-46E8-830D-55F4F27FAAE4}" autoFormatId="16" applyNumberFormats="0" applyBorderFormats="0" applyFontFormats="0" applyPatternFormats="0" applyAlignmentFormats="0" applyWidthHeightFormats="0">
  <queryTableRefresh nextId="22">
    <queryTableFields count="7">
      <queryTableField id="16" name="Account" tableColumnId="1"/>
      <queryTableField id="17" name="Customer" tableColumnId="2"/>
      <queryTableField id="8" name="New Delivery Day" tableColumnId="8"/>
      <queryTableField id="18" name="Old Route" tableColumnId="3"/>
      <queryTableField id="4" name="Old Delivery Day" tableColumnId="4"/>
      <queryTableField id="6" name="Customer Name" tableColumnId="6"/>
      <queryTableField id="14" name="Days Between Regular Deliverys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45" xr16:uid="{4A086887-E628-4A0D-AF87-11A4E35FB443}" autoFormatId="16" applyNumberFormats="0" applyBorderFormats="0" applyFontFormats="0" applyPatternFormats="0" applyAlignmentFormats="0" applyWidthHeightFormats="0">
  <queryTableRefresh nextId="25">
    <queryTableFields count="12">
      <queryTableField id="1" name="Cu_ID" tableColumnId="1"/>
      <queryTableField id="12" name="Special Garment pu/do" tableColumnId="2"/>
      <queryTableField id="17" name="Account" tableColumnId="3"/>
      <queryTableField id="18" name="Customer" tableColumnId="4"/>
      <queryTableField id="5" name="Customer Name" tableColumnId="5"/>
      <queryTableField id="19" name="Old Route" tableColumnId="6"/>
      <queryTableField id="7" name="Old Delivery Day" tableColumnId="7"/>
      <queryTableField id="20" name="New Route" tableColumnId="8"/>
      <queryTableField id="9" name="New Delivery Day" tableColumnId="9"/>
      <queryTableField id="10" name="Retape Inventory" tableColumnId="10"/>
      <queryTableField id="13" name="Days Between Regular Deliverys" tableColumnId="11"/>
      <queryTableField id="14" name="Garments Days to Turn Around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47" xr16:uid="{D14FDC09-D9E6-4557-A15D-D5BDA198DE60}" autoFormatId="16" applyNumberFormats="0" applyBorderFormats="0" applyFontFormats="0" applyPatternFormats="0" applyAlignmentFormats="0" applyWidthHeightFormats="0">
  <queryTableRefresh nextId="15">
    <queryTableFields count="4">
      <queryTableField id="13" name="New Route" tableColumnId="1"/>
      <queryTableField id="10" name="New Delivery Day" tableColumnId="4"/>
      <queryTableField id="7" name="Count of New Stops" tableColumnId="3"/>
      <queryTableField id="5" name="Old Rts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28" xr16:uid="{9ABAD597-FCCD-4656-A24C-98BCF68897E9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29" xr16:uid="{9230A22C-5129-4704-9415-ED01A72D0007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31" xr16:uid="{9C5E0B83-21C1-4E75-A3F3-C5BF00712C0D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30" xr16:uid="{82DF69C4-2AF1-4582-8841-5C2F4F8763B3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adjustColumnWidth="0" connectionId="27" xr16:uid="{CBC24D54-713D-4A41-A622-BE570FB67032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9F12E8DF-1C70-43A8-8518-6419582096E1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4" xr16:uid="{95108E1D-B1C6-4587-B3D1-502C12B4CB62}" autoFormatId="16" applyNumberFormats="0" applyBorderFormats="0" applyFontFormats="0" applyPatternFormats="0" applyAlignmentFormats="0" applyWidthHeightFormats="0">
  <queryTableRefresh nextId="3">
    <queryTableFields count="2">
      <queryTableField id="1" name="Cu_ID" tableColumnId="1"/>
      <queryTableField id="2" name="Message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5" xr16:uid="{1BC064BC-76A6-4291-8CE1-C3F25855C4B1}" autoFormatId="16" applyNumberFormats="0" applyBorderFormats="0" applyFontFormats="0" applyPatternFormats="0" applyAlignmentFormats="0" applyWidthHeightFormats="0">
  <queryTableRefresh nextId="3">
    <queryTableFields count="1">
      <queryTableField id="2" name="Account" tableColumnId="1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19" xr16:uid="{0604B28D-3B48-4C6F-9DAA-10C6D4B8330E}" autoFormatId="16" applyNumberFormats="0" applyBorderFormats="0" applyFontFormats="0" applyPatternFormats="0" applyAlignmentFormats="0" applyWidthHeightFormats="0">
  <queryTableRefresh nextId="24">
    <queryTableFields count="9">
      <queryTableField id="1" name="Cu_ID" tableColumnId="1"/>
      <queryTableField id="14" name="Account" tableColumnId="2"/>
      <queryTableField id="15" name="Customer" tableColumnId="3"/>
      <queryTableField id="16" name="New Route" tableColumnId="4"/>
      <queryTableField id="11" name="New Delivery Day" tableColumnId="11"/>
      <queryTableField id="22" name="Alliant Sequence" tableColumnId="8"/>
      <queryTableField id="17" name="Old Route" tableColumnId="6"/>
      <queryTableField id="5" name="Old Delivery Day" tableColumnId="5"/>
      <queryTableField id="7" name="Customer Name" tableColumnId="7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4" xr16:uid="{73B3323D-57EF-4F80-BB6B-B52B9954557B}" autoFormatId="16" applyNumberFormats="0" applyBorderFormats="0" applyFontFormats="0" applyPatternFormats="0" applyAlignmentFormats="0" applyWidthHeightFormats="0">
  <queryTableRefresh nextId="14">
    <queryTableFields count="12">
      <queryTableField id="1" name="cu_id" tableColumnId="1"/>
      <queryTableField id="2" name="Account" tableColumnId="2"/>
      <queryTableField id="3" name="Customer" tableColumnId="3"/>
      <queryTableField id="4" name="Customer Name" tableColumnId="4"/>
      <queryTableField id="5" name="Old Route" tableColumnId="5"/>
      <queryTableField id="6" name="Old Delivery Day" tableColumnId="6"/>
      <queryTableField id="7" name="Frequency" tableColumnId="7"/>
      <queryTableField id="8" name="New Route" tableColumnId="8"/>
      <queryTableField id="9" name="New Delivery Day" tableColumnId="9"/>
      <queryTableField id="10" name="New Frequency" tableColumnId="10"/>
      <queryTableField id="12" name="Old Stop" tableColumnId="12"/>
      <queryTableField id="11" name="Alliant Sequence" tableColumnId="1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9D0E62C2-E35E-440A-9A70-375A23E3220A}" autoFormatId="16" applyNumberFormats="0" applyBorderFormats="0" applyFontFormats="0" applyPatternFormats="0" applyAlignmentFormats="0" applyWidthHeightFormats="0">
  <queryTableRefresh nextId="30">
    <queryTableFields count="12">
      <queryTableField id="1" name="Cu_ID" tableColumnId="1"/>
      <queryTableField id="20" name="Account" tableColumnId="2"/>
      <queryTableField id="21" name="Customer" tableColumnId="3"/>
      <queryTableField id="4" name="Customer Name" tableColumnId="4"/>
      <queryTableField id="22" name="Old Route" tableColumnId="5"/>
      <queryTableField id="6" name="Old Delivery Day" tableColumnId="6"/>
      <queryTableField id="7" name="Frequency" tableColumnId="7"/>
      <queryTableField id="23" name="New Route" tableColumnId="8"/>
      <queryTableField id="9" name="New Delivery Day" tableColumnId="9"/>
      <queryTableField id="10" name="New Frequency" tableColumnId="10"/>
      <queryTableField id="28" name="Old Stop" tableColumnId="12"/>
      <queryTableField id="19" name="Alliant Sequence" tableColumnId="1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7" xr16:uid="{6ECDFA5B-4F29-4BB1-8FB0-D7135207B4BB}" autoFormatId="16" applyNumberFormats="0" applyBorderFormats="0" applyFontFormats="0" applyPatternFormats="0" applyAlignmentFormats="0" applyWidthHeightFormats="0">
  <queryTableRefresh nextId="30">
    <queryTableFields count="12">
      <queryTableField id="1" name="Cu_ID" tableColumnId="1"/>
      <queryTableField id="20" name="Account" tableColumnId="2"/>
      <queryTableField id="21" name="Customer" tableColumnId="3"/>
      <queryTableField id="4" name="Customer Name" tableColumnId="4"/>
      <queryTableField id="22" name="Old Route" tableColumnId="5"/>
      <queryTableField id="6" name="Old Delivery Day" tableColumnId="6"/>
      <queryTableField id="7" name="Frequency" tableColumnId="7"/>
      <queryTableField id="23" name="New Route" tableColumnId="8"/>
      <queryTableField id="9" name="New Delivery Day" tableColumnId="9"/>
      <queryTableField id="10" name="New Frequency" tableColumnId="10"/>
      <queryTableField id="28" name="Old Stop" tableColumnId="12"/>
      <queryTableField id="19" name="Alliant Sequence" tableColumnId="1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43" xr16:uid="{ECAE0DE8-160A-46B6-A510-B95B0A1A73D1}" autoFormatId="16" applyNumberFormats="0" applyBorderFormats="0" applyFontFormats="0" applyPatternFormats="0" applyAlignmentFormats="0" applyWidthHeightFormats="0">
  <queryTableRefresh nextId="11">
    <queryTableFields count="9">
      <queryTableField id="1" name="Account" tableColumnId="1"/>
      <queryTableField id="2" name="Customer" tableColumnId="2"/>
      <queryTableField id="3" name="New Route Day" tableColumnId="3"/>
      <queryTableField id="5" name="Old Route Day" tableColumnId="5"/>
      <queryTableField id="6" name="Customer Name" tableColumnId="6"/>
      <queryTableField id="7" name="Frequency" tableColumnId="7"/>
      <queryTableField id="8" name="Garment Inventory" tableColumnId="8"/>
      <queryTableField id="9" name="Wearer Count" tableColumnId="9"/>
      <queryTableField id="10" name="Average Weekly Garment Soil Scans" tableColumnId="10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48" xr16:uid="{4E427BDD-7D22-4738-A3D1-33518EC673BC}" autoFormatId="16" applyNumberFormats="0" applyBorderFormats="0" applyFontFormats="0" applyPatternFormats="0" applyAlignmentFormats="0" applyWidthHeightFormats="0">
  <queryTableRefresh nextId="11">
    <queryTableFields count="10">
      <queryTableField id="1" name="Old Route Day" tableColumnId="1"/>
      <queryTableField id="2" name="Account" tableColumnId="2"/>
      <queryTableField id="3" name="Customer" tableColumnId="3"/>
      <queryTableField id="4" name="New Route Day" tableColumnId="4"/>
      <queryTableField id="5" name="Customer Name" tableColumnId="5"/>
      <queryTableField id="6" name="Frequency" tableColumnId="6"/>
      <queryTableField id="7" name="Retape Inventory" tableColumnId="7"/>
      <queryTableField id="8" name="Garments Days to Turn Around" tableColumnId="8"/>
      <queryTableField id="9" name="Days Between Regular Deliverys" tableColumnId="9"/>
      <queryTableField id="10" name="Special Garment pu/do" tableColumnId="1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8" xr16:uid="{C1B79E7B-77DA-4EA3-B1CC-0937EE726B01}" autoFormatId="16" applyNumberFormats="0" applyBorderFormats="0" applyFontFormats="0" applyPatternFormats="0" applyAlignmentFormats="0" applyWidthHeightFormats="0">
  <queryTableRefresh nextId="26">
    <queryTableFields count="13">
      <queryTableField id="1" name="Cu_ID" tableColumnId="1"/>
      <queryTableField id="18" name="Old Route" tableColumnId="2"/>
      <queryTableField id="3" name="Old Delivery Day" tableColumnId="3"/>
      <queryTableField id="19" name="Account" tableColumnId="4"/>
      <queryTableField id="20" name="Customer" tableColumnId="5"/>
      <queryTableField id="21" name="New Route" tableColumnId="6"/>
      <queryTableField id="7" name="New Delivery Day" tableColumnId="7"/>
      <queryTableField id="8" name="Customer Name" tableColumnId="8"/>
      <queryTableField id="9" name="Frequency" tableColumnId="9"/>
      <queryTableField id="10" name="Retape Inventory" tableColumnId="10"/>
      <queryTableField id="15" name="Garments Days to Turn Around" tableColumnId="11"/>
      <queryTableField id="16" name="Days Between Regular Deliverys" tableColumnId="12"/>
      <queryTableField id="17" name="Special Garment pu/do" tableColumnId="1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" xr16:uid="{8C81AD2F-A0E6-49BB-96F8-236A6C063219}" autoFormatId="16" applyNumberFormats="0" applyBorderFormats="0" applyFontFormats="0" applyPatternFormats="0" applyAlignmentFormats="0" applyWidthHeightFormats="0">
  <queryTableRefresh nextId="141">
    <queryTableFields count="63">
      <queryTableField id="1" name="Cu_ID" tableColumnId="1"/>
      <queryTableField id="71" name="Branch" tableColumnId="2"/>
      <queryTableField id="72" name="Account" tableColumnId="3"/>
      <queryTableField id="73" name="Customer" tableColumnId="4"/>
      <queryTableField id="74" name="Week" tableColumnId="5"/>
      <queryTableField id="75" name="New Route" tableColumnId="9"/>
      <queryTableField id="6" name="New Delivery Day" tableColumnId="6"/>
      <queryTableField id="7" name="New Stop" tableColumnId="7"/>
      <queryTableField id="61" name="Alliant Sequence" tableColumnId="8"/>
      <queryTableField id="76" name="Old Route" tableColumnId="16"/>
      <queryTableField id="10" name="Old Delivery Day" tableColumnId="10"/>
      <queryTableField id="11" name="Old Stop" tableColumnId="11"/>
      <queryTableField id="12" name="Customer Name" tableColumnId="12"/>
      <queryTableField id="15" name="Frequency" tableColumnId="15"/>
      <queryTableField id="53" name="New Freq" tableColumnId="53"/>
      <queryTableField id="13" name="Address" tableColumnId="13"/>
      <queryTableField id="18" name="X_Longitude" tableColumnId="18"/>
      <queryTableField id="19" name="Y_Latitude" tableColumnId="19"/>
      <queryTableField id="35" name="Garment Inventory" tableColumnId="35"/>
      <queryTableField id="77" name="Wearer Count" tableColumnId="17"/>
      <queryTableField id="78" name="Total Assigned Garments" tableColumnId="20"/>
      <queryTableField id="79" name="Average Weekly Garment Soil Scans" tableColumnId="21"/>
      <queryTableField id="80" name="Garment Underwash" tableColumnId="22"/>
      <queryTableField id="81" name="Q1 Average" tableColumnId="23"/>
      <queryTableField id="48" name="Q1 Weighted" tableColumnId="48"/>
      <queryTableField id="82" name="Q1 Low Deviation" tableColumnId="24"/>
      <queryTableField id="83" name="Q1 High Deviation" tableColumnId="25"/>
      <queryTableField id="84" name="Q2 Average" tableColumnId="26"/>
      <queryTableField id="49" name="Q2 Weighted" tableColumnId="49"/>
      <queryTableField id="85" name="Q2 Low Deviation" tableColumnId="27"/>
      <queryTableField id="86" name="Q2 High Deviation" tableColumnId="28"/>
      <queryTableField id="87" name="Q3 Average" tableColumnId="29"/>
      <queryTableField id="50" name="Q3 Weighted" tableColumnId="50"/>
      <queryTableField id="88" name="Q3 Low Deviation" tableColumnId="30"/>
      <queryTableField id="89" name="Q3 High Deviation" tableColumnId="31"/>
      <queryTableField id="90" name="Q4 Average" tableColumnId="32"/>
      <queryTableField id="51" name="Q4 Weighted" tableColumnId="51"/>
      <queryTableField id="91" name="Q4 Low Deviation" tableColumnId="36"/>
      <queryTableField id="92" name="Q4 High Deviation" tableColumnId="37"/>
      <queryTableField id="93" name="Service Notes" tableColumnId="46"/>
      <queryTableField id="38" name="Earliest Time - Window 1" tableColumnId="38"/>
      <queryTableField id="39" name="Latest Time - Window 1" tableColumnId="39"/>
      <queryTableField id="40" name="Earliest Time - Window 2" tableColumnId="40"/>
      <queryTableField id="41" name="Latest Time - Window 2" tableColumnId="41"/>
      <queryTableField id="42" name="Available Delivery Days" tableColumnId="42"/>
      <queryTableField id="33" name="MilesFromPrevious" tableColumnId="33"/>
      <queryTableField id="52" name="Arrival Times" tableColumnId="52"/>
      <queryTableField id="94" name="Service Minutes" tableColumnId="60"/>
      <queryTableField id="14" name="MinutesFromPrevious" tableColumnId="14"/>
      <queryTableField id="95" name="Wait Minutes" tableColumnId="61"/>
      <queryTableField id="43" name="Is Route Changing" tableColumnId="43"/>
      <queryTableField id="44" name="Is Day Changing" tableColumnId="44"/>
      <queryTableField id="54" name="Is Frequency Changing?" tableColumnId="54"/>
      <queryTableField id="45" name="Is new Day feasible?" tableColumnId="45"/>
      <queryTableField id="47" name="Retape Needed?" tableColumnId="47"/>
      <queryTableField id="64" name="Garments Days to Turn Around" tableColumnId="34"/>
      <queryTableField id="65" name="Days Between Regular Deliverys" tableColumnId="55"/>
      <queryTableField id="66" name="Special Garment pu/do" tableColumnId="56"/>
      <queryTableField id="67" name="Long Gap (8-9Days) Consider Special delivery" tableColumnId="57"/>
      <queryTableField id="139" name="Hold/Seasonal" tableColumnId="63"/>
      <queryTableField id="68" name="Short Gap (6-7days) Consider leaving extra product" tableColumnId="58"/>
      <queryTableField id="69" name="Special invoice needed to have invoice live week" tableColumnId="59"/>
      <queryTableField id="138" name="Is Customer Changing?" tableColumnId="6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adjustColumnWidth="0" connectionId="49" xr16:uid="{24664266-B2EA-470A-83B5-93645D272566}" autoFormatId="16" applyNumberFormats="0" applyBorderFormats="0" applyFontFormats="0" applyPatternFormats="0" applyAlignmentFormats="0" applyWidthHeightFormats="0">
  <queryTableRefresh preserveSortFilterLayout="0" nextId="16">
    <queryTableFields count="15">
      <queryTableField id="1" name="Route Day" tableColumnId="1"/>
      <queryTableField id="2" name="Account" tableColumnId="2"/>
      <queryTableField id="3" name="Customer" tableColumnId="3"/>
      <queryTableField id="4" name="Customer Name" tableColumnId="4"/>
      <queryTableField id="5" name="Address" tableColumnId="5"/>
      <queryTableField id="6" name="Frequency" tableColumnId="6"/>
      <queryTableField id="7" name="Hold/Seasonal" tableColumnId="7"/>
      <queryTableField id="8" name="Earliest Time - Window 1" tableColumnId="8"/>
      <queryTableField id="9" name="Latest Time - Window 1" tableColumnId="9"/>
      <queryTableField id="10" name="Earliest Time - Window 2" tableColumnId="10"/>
      <queryTableField id="11" name="Latest Time - Window 2" tableColumnId="11"/>
      <queryTableField id="12" name="Do we have Outside Hours Access" tableColumnId="12"/>
      <queryTableField id="13" name="Available Delivery Days" tableColumnId="13"/>
      <queryTableField id="14" name="Average Stop Time" tableColumnId="14"/>
      <queryTableField id="15" name="RSP StopTime Override" tableColumnId="15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5" xr16:uid="{CA951575-E5F2-4F9F-9493-7F6C8D05C48D}" autoFormatId="16" applyNumberFormats="0" applyBorderFormats="0" applyFontFormats="0" applyPatternFormats="0" applyAlignmentFormats="0" applyWidthHeightFormats="0">
  <queryTableRefresh nextId="50">
    <queryTableFields count="42">
      <queryTableField id="1" name="cu_id" tableColumnId="1"/>
      <queryTableField id="2" name="Branch" tableColumnId="2"/>
      <queryTableField id="42" name="Current Route" tableColumnId="42"/>
      <queryTableField id="43" name="Current Delivery Day" tableColumnId="43"/>
      <queryTableField id="5" name="Account" tableColumnId="5"/>
      <queryTableField id="6" name="Customer" tableColumnId="6"/>
      <queryTableField id="7" name="Customer Name" tableColumnId="7"/>
      <queryTableField id="8" name="Street Address 1" tableColumnId="8"/>
      <queryTableField id="9" name="Street Address 2" tableColumnId="9"/>
      <queryTableField id="10" name="City" tableColumnId="10"/>
      <queryTableField id="11" name="State" tableColumnId="11"/>
      <queryTableField id="12" name="Zip" tableColumnId="12"/>
      <queryTableField id="13" name="Frequency" tableColumnId="13"/>
      <queryTableField id="44" name="Stop" tableColumnId="44"/>
      <queryTableField id="15" name="Invoice Count" tableColumnId="15"/>
      <queryTableField id="16" name="Garment Inventory" tableColumnId="16"/>
      <queryTableField id="17" name="Garment Underwash" tableColumnId="17"/>
      <queryTableField id="18" name="Average Weekly Garment Soil Scans" tableColumnId="18"/>
      <queryTableField id="19" name="Wearer Count" tableColumnId="19"/>
      <queryTableField id="20" name="Total Assigned Garments" tableColumnId="20"/>
      <queryTableField id="48" name="Hold/Seasonal" tableColumnId="3"/>
      <queryTableField id="21" name="Earliest Time - Window 1" tableColumnId="21"/>
      <queryTableField id="22" name="Latest Time - Window 1" tableColumnId="22"/>
      <queryTableField id="23" name="Earliest Time - Window 2" tableColumnId="23"/>
      <queryTableField id="24" name="Latest Time - Window 2" tableColumnId="24"/>
      <queryTableField id="25" name="Outside Hours Access" tableColumnId="25"/>
      <queryTableField id="26" name="Available Delivery Days" tableColumnId="26"/>
      <queryTableField id="27" name="Average Stop Time" tableColumnId="27"/>
      <queryTableField id="28" name="RSP StopTime Override" tableColumnId="28"/>
      <queryTableField id="29" name="Service Notes" tableColumnId="29"/>
      <queryTableField id="30" name="Q1 Average" tableColumnId="30"/>
      <queryTableField id="31" name="Q1 High Deviation" tableColumnId="31"/>
      <queryTableField id="32" name="Q1 Low Deviation" tableColumnId="32"/>
      <queryTableField id="33" name="Q2 Average" tableColumnId="33"/>
      <queryTableField id="34" name="Q2 High Deviation" tableColumnId="34"/>
      <queryTableField id="35" name="Q2 Low Deviation" tableColumnId="35"/>
      <queryTableField id="36" name="Q3 Average" tableColumnId="36"/>
      <queryTableField id="37" name="Q3 High Deviation" tableColumnId="37"/>
      <queryTableField id="38" name="Q3 Low Deviation" tableColumnId="38"/>
      <queryTableField id="39" name="Q4 Average" tableColumnId="39"/>
      <queryTableField id="40" name="Q4 High Deviation" tableColumnId="40"/>
      <queryTableField id="41" name="Q4 Low Deviation" tableColumnId="4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50" xr16:uid="{034B9990-3016-43AA-959C-BD69EB08CFDC}" autoFormatId="16" applyNumberFormats="0" applyBorderFormats="0" applyFontFormats="0" applyPatternFormats="0" applyAlignmentFormats="0" applyWidthHeightFormats="0">
  <queryTableRefresh nextId="7">
    <queryTableFields count="6">
      <queryTableField id="1" name="Cu_ID" tableColumnId="1"/>
      <queryTableField id="2" name="mon_stop" tableColumnId="2"/>
      <queryTableField id="3" name="tue_stop" tableColumnId="3"/>
      <queryTableField id="4" name="wed_stop" tableColumnId="4"/>
      <queryTableField id="5" name="thu_stop" tableColumnId="5"/>
      <queryTableField id="6" name="fri_stop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57B3DA-3534-4AD2-A11D-9DE1A20095D1}" name="Control" displayName="Control" ref="A1:D2" totalsRowShown="0">
  <autoFilter ref="A1:D2" xr:uid="{A157B3DA-3534-4AD2-A11D-9DE1A20095D1}"/>
  <tableColumns count="4">
    <tableColumn id="1" xr3:uid="{E1D4A720-B57D-4989-9521-D63461846070}" name="Frequencies to Include for IT Sequences"/>
    <tableColumn id="2" xr3:uid="{BCD7FF08-3CF7-4E6A-B6FC-88DE0BC4D090}" name="Include Changing customer in It Sequences"/>
    <tableColumn id="3" xr3:uid="{7D9D421C-B8F0-47C3-8226-9346088FF8A2}" name="RtDay for IT whole day resequence"/>
    <tableColumn id="4" xr3:uid="{B50CE1ED-9E07-4602-8AEC-2004C49EA41D}" name="Retape Messag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CDAB3A0-0E9C-496F-817D-8141F5A2C1C6}" name="Table_Customers_Changing" displayName="Table_Customers_Changing" ref="A1:BK112" tableType="queryTable" totalsRowShown="0">
  <autoFilter ref="A1:BK112" xr:uid="{FCDAB3A0-0E9C-496F-817D-8141F5A2C1C6}">
    <filterColumn colId="13">
      <filters>
        <filter val="1"/>
      </filters>
    </filterColumn>
  </autoFilter>
  <tableColumns count="63">
    <tableColumn id="1" xr3:uid="{F3D63A43-296A-4B0F-ACFE-DC79ECFC1571}" uniqueName="1" name="cu_id" queryTableFieldId="1"/>
    <tableColumn id="2" xr3:uid="{D8E01641-C51F-4306-86F1-7B69C3EC66F8}" uniqueName="2" name="Branch" queryTableFieldId="2"/>
    <tableColumn id="3" xr3:uid="{27458645-B6F1-4231-AA65-EA84E57046B2}" uniqueName="3" name="Account" queryTableFieldId="3"/>
    <tableColumn id="4" xr3:uid="{3612C51E-DA76-4406-A845-43C7A2739026}" uniqueName="4" name="Customer" queryTableFieldId="4"/>
    <tableColumn id="5" xr3:uid="{DCD2BBA3-3B29-4CD5-984E-AF8FB4D2E9C3}" uniqueName="5" name="Week" queryTableFieldId="5"/>
    <tableColumn id="6" xr3:uid="{B881E067-8C06-4FF9-9651-3C378547647C}" uniqueName="6" name="New Route" queryTableFieldId="6"/>
    <tableColumn id="7" xr3:uid="{5F077E97-6A74-43F8-941D-1A67930C0AC3}" uniqueName="7" name="New Delivery Day" queryTableFieldId="7"/>
    <tableColumn id="8" xr3:uid="{66EA55A7-3875-478B-89DE-FBA5F81D82E2}" uniqueName="8" name="New Stop" queryTableFieldId="8"/>
    <tableColumn id="9" xr3:uid="{D336E013-9BFA-4988-99D5-8C19C97639FD}" uniqueName="9" name="Alliant Sequence" queryTableFieldId="9"/>
    <tableColumn id="10" xr3:uid="{2FC741CA-2B4D-4CFC-A9D2-830FFAAA07DF}" uniqueName="10" name="Old Route" queryTableFieldId="10"/>
    <tableColumn id="11" xr3:uid="{81A94A09-DAB6-4195-859F-1BDECE67924A}" uniqueName="11" name="Old Delivery Day" queryTableFieldId="11"/>
    <tableColumn id="12" xr3:uid="{D3ADA1F5-1E3B-4B27-B268-C159A7352C32}" uniqueName="12" name="Old Stop" queryTableFieldId="12"/>
    <tableColumn id="13" xr3:uid="{C43BAB74-6BFA-42FD-BABB-DDBFBA5D8473}" uniqueName="13" name="Customer Name" queryTableFieldId="13"/>
    <tableColumn id="14" xr3:uid="{02F82DE7-E328-4DFE-B0BA-7998995845D6}" uniqueName="14" name="Frequency" queryTableFieldId="14"/>
    <tableColumn id="15" xr3:uid="{9BB01B4F-AF78-4BB2-AA9D-E27D39CD4254}" uniqueName="15" name="New Freq" queryTableFieldId="15" dataDxfId="266"/>
    <tableColumn id="16" xr3:uid="{F658D0B0-73BD-4783-85B4-0BCE3394DBCE}" uniqueName="16" name="Address" queryTableFieldId="16"/>
    <tableColumn id="17" xr3:uid="{0A8C7D4C-C564-44C6-8C1B-9D87DF108FCF}" uniqueName="17" name="X_Longitude" queryTableFieldId="17"/>
    <tableColumn id="18" xr3:uid="{B73E7B83-626A-474A-913A-34CCBE55A060}" uniqueName="18" name="Y_Latitude" queryTableFieldId="18"/>
    <tableColumn id="19" xr3:uid="{7ED22BC4-50FA-46AF-95F9-32D27F5153AF}" uniqueName="19" name="Garment Inventory" queryTableFieldId="19"/>
    <tableColumn id="20" xr3:uid="{7456A4B1-52DA-418A-B5CC-7E0D3F5B25AB}" uniqueName="20" name="Wearer Count" queryTableFieldId="20"/>
    <tableColumn id="21" xr3:uid="{984A31E3-5039-4990-B29D-D98AE435DCAC}" uniqueName="21" name="Total Assigned Garments" queryTableFieldId="21"/>
    <tableColumn id="22" xr3:uid="{301BB8C2-9806-4A48-A6EF-F8B880595379}" uniqueName="22" name="Average Weekly Garment Soil Scans" queryTableFieldId="22"/>
    <tableColumn id="23" xr3:uid="{F5EB4D37-2D08-48A0-9A38-1A308922CAF4}" uniqueName="23" name="Garment Underwash" queryTableFieldId="23"/>
    <tableColumn id="24" xr3:uid="{4065E308-10EF-45C8-8439-5F5B341D08B0}" uniqueName="24" name="Q1 Average" queryTableFieldId="24"/>
    <tableColumn id="25" xr3:uid="{920FD805-6404-4FCB-A15E-EDEA16D2641B}" uniqueName="25" name="Q1 Weighted" queryTableFieldId="25"/>
    <tableColumn id="26" xr3:uid="{A207D18F-A2B0-4759-A5ED-ECE10FC99DC5}" uniqueName="26" name="Q1 Low Deviation" queryTableFieldId="26"/>
    <tableColumn id="27" xr3:uid="{F407CCAE-24CC-469C-AD0A-A24DD3F7E453}" uniqueName="27" name="Q1 High Deviation" queryTableFieldId="27"/>
    <tableColumn id="28" xr3:uid="{3F30683D-A149-4214-8425-947DB43D747D}" uniqueName="28" name="Q2 Average" queryTableFieldId="28"/>
    <tableColumn id="29" xr3:uid="{DA5575D5-11E3-46F3-AB29-817F3D6B090F}" uniqueName="29" name="Q2 Weighted" queryTableFieldId="29"/>
    <tableColumn id="30" xr3:uid="{62E861FC-3197-47AD-86FE-9948FB860459}" uniqueName="30" name="Q2 Low Deviation" queryTableFieldId="30"/>
    <tableColumn id="31" xr3:uid="{D1740536-198F-41A2-B313-1B00317BF06E}" uniqueName="31" name="Q2 High Deviation" queryTableFieldId="31"/>
    <tableColumn id="32" xr3:uid="{456CD192-54A7-4E5A-A3C7-12D23431A2EB}" uniqueName="32" name="Q3 Average" queryTableFieldId="32"/>
    <tableColumn id="33" xr3:uid="{1B229778-E5F6-4491-89C3-8F1564515CD5}" uniqueName="33" name="Q3 Weighted" queryTableFieldId="33"/>
    <tableColumn id="34" xr3:uid="{EC187F90-369E-47E1-8C76-2902CC6521F3}" uniqueName="34" name="Q3 Low Deviation" queryTableFieldId="34"/>
    <tableColumn id="35" xr3:uid="{F35B9712-062A-4480-8CCC-ED5A17B5F149}" uniqueName="35" name="Q3 High Deviation" queryTableFieldId="35"/>
    <tableColumn id="36" xr3:uid="{A5F927EE-1F23-4E70-B011-303DB56B3136}" uniqueName="36" name="Q4 Average" queryTableFieldId="36"/>
    <tableColumn id="37" xr3:uid="{101E2E04-8EA7-45E1-AF1D-1853FF8B0CD8}" uniqueName="37" name="Q4 Weighted" queryTableFieldId="37"/>
    <tableColumn id="38" xr3:uid="{9A8FE0DE-B037-4593-9537-2339F716FA2C}" uniqueName="38" name="Q4 Low Deviation" queryTableFieldId="38"/>
    <tableColumn id="39" xr3:uid="{D7286107-A4E5-4F1D-8C6A-6615AD96F119}" uniqueName="39" name="Q4 High Deviation" queryTableFieldId="39"/>
    <tableColumn id="40" xr3:uid="{2B8475A4-54C2-4623-B7A9-E46953AC6FFC}" uniqueName="40" name="Service Notes" queryTableFieldId="40"/>
    <tableColumn id="41" xr3:uid="{E3400B14-C45E-44CF-B663-045DB0524142}" uniqueName="41" name="Earliest Time - Window 1" queryTableFieldId="41" dataDxfId="265"/>
    <tableColumn id="42" xr3:uid="{9A082CB8-FA62-4B46-AF13-EE7B5EBBAFF6}" uniqueName="42" name="Latest Time - Window 1" queryTableFieldId="42" dataDxfId="264"/>
    <tableColumn id="43" xr3:uid="{C192A62F-9C94-444D-8BE6-A2AE2D57F25D}" uniqueName="43" name="Earliest Time - Window 2" queryTableFieldId="43"/>
    <tableColumn id="44" xr3:uid="{21198703-56FD-4725-8BF4-6F5790D8F50C}" uniqueName="44" name="Latest Time - Window 2" queryTableFieldId="44"/>
    <tableColumn id="45" xr3:uid="{48CCDBFA-98C9-42AC-A493-C3C404CACE20}" uniqueName="45" name="Available Delivery Days" queryTableFieldId="45"/>
    <tableColumn id="46" xr3:uid="{4564A1C3-5CEB-4E41-B2B9-76602B02CCF6}" uniqueName="46" name="MilesFromPrevious" queryTableFieldId="46"/>
    <tableColumn id="47" xr3:uid="{CC8832FC-0663-40DA-9C2A-4FF3CC4A13DC}" uniqueName="47" name="Arrival Times" queryTableFieldId="47"/>
    <tableColumn id="48" xr3:uid="{7A2DDCB6-708A-46AA-92D0-4DD21E501C20}" uniqueName="48" name="Service Minutes" queryTableFieldId="48"/>
    <tableColumn id="49" xr3:uid="{564F9329-6E36-495C-8A2C-D632DA6C0B8D}" uniqueName="49" name="MinutesFromPrevious" queryTableFieldId="49"/>
    <tableColumn id="50" xr3:uid="{334A0584-2728-46F1-87DC-9A13B02DC317}" uniqueName="50" name="Wait Minutes" queryTableFieldId="50"/>
    <tableColumn id="51" xr3:uid="{B7309B4C-EEFD-4A01-A90D-8F425637ABA2}" uniqueName="51" name="Is Route Changing" queryTableFieldId="51"/>
    <tableColumn id="52" xr3:uid="{3916EA4B-654B-4AE4-9EF4-190005A53517}" uniqueName="52" name="Is Day Changing" queryTableFieldId="52"/>
    <tableColumn id="53" xr3:uid="{7A494F33-9328-4DEF-BE8D-272839A91ECA}" uniqueName="53" name="Is Frequency Changing?" queryTableFieldId="53" dataDxfId="263"/>
    <tableColumn id="54" xr3:uid="{53DC5AC6-AEC8-47B0-A87C-8C34554DB9D0}" uniqueName="54" name="Is new Day feasible?" queryTableFieldId="54"/>
    <tableColumn id="55" xr3:uid="{B398B0AD-49C9-46B3-B1BA-DB2987445B27}" uniqueName="55" name="Retape Needed?" queryTableFieldId="55"/>
    <tableColumn id="56" xr3:uid="{B45FDA49-C434-4086-B009-E00A42F4473B}" uniqueName="56" name="Garments Days to Turn Around" queryTableFieldId="56"/>
    <tableColumn id="57" xr3:uid="{A651E350-7D10-4D89-A178-61AA53D82A48}" uniqueName="57" name="Days Between Regular Deliverys" queryTableFieldId="57"/>
    <tableColumn id="58" xr3:uid="{74ACA655-7A02-4B4B-851E-4DA54EA28269}" uniqueName="58" name="Special Garment pu/do" queryTableFieldId="58"/>
    <tableColumn id="59" xr3:uid="{DA35BF64-2621-4168-A538-4E361B1DABD1}" uniqueName="59" name="Long Gap (8-9Days) Consider Special delivery" queryTableFieldId="59"/>
    <tableColumn id="63" xr3:uid="{0CEA7BEA-457E-41D7-AFBD-697FA1A46BC2}" uniqueName="63" name="Hold/Seasonal" queryTableFieldId="64" dataDxfId="262"/>
    <tableColumn id="60" xr3:uid="{88FBA78F-8B8B-4E8D-8743-B1557F2C9AA9}" uniqueName="60" name="Short Gap (6-7days) Consider leaving extra product" queryTableFieldId="60"/>
    <tableColumn id="61" xr3:uid="{D9B688BF-D073-4E9B-B802-E13DF859755F}" uniqueName="61" name="Special invoice needed to have invoice live week" queryTableFieldId="61"/>
    <tableColumn id="62" xr3:uid="{BB9D202F-8B52-4DA3-8969-B50216C081AB}" uniqueName="62" name="Is Customer Changing?" queryTableField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2F1E947-DECF-4D65-8C92-316CAEF3D23A}" name="Table_Route_Days_with_no_changes" displayName="Table_Route_Days_with_no_changes" ref="A1:B2" tableType="queryTable" insertRow="1" totalsRowShown="0">
  <autoFilter ref="A1:B2" xr:uid="{A2F1E947-DECF-4D65-8C92-316CAEF3D23A}"/>
  <tableColumns count="2">
    <tableColumn id="1" xr3:uid="{2AE4EEB4-3CE3-49A8-B472-4F2B331AD933}" uniqueName="1" name="New Route Day" queryTableFieldId="1"/>
    <tableColumn id="2" xr3:uid="{D417BA5A-CBE6-418C-996A-494BAB495A7D}" uniqueName="2" name="Is Customer Changing?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D203BD3-5913-4C5E-8447-A691F175ED01}" name="Table_Internal_Changes" displayName="Table_Internal_Changes" ref="A4:K233" tableType="queryTable" totalsRowShown="0" headerRowDxfId="261">
  <autoFilter ref="A4:K233" xr:uid="{2D203BD3-5913-4C5E-8447-A691F175ED01}"/>
  <tableColumns count="11">
    <tableColumn id="1" xr3:uid="{B183B725-C456-45B5-8766-FAC44D6E931C}" uniqueName="1" name="Account" queryTableFieldId="1" dataDxfId="260"/>
    <tableColumn id="2" xr3:uid="{5BFEAEEB-DA36-44AD-A3D1-F41B6A6302DD}" uniqueName="2" name="Customer" queryTableFieldId="2" dataDxfId="259"/>
    <tableColumn id="13" xr3:uid="{0EA43009-A961-4AC4-B892-EB1742BE7CD9}" uniqueName="13" name="Current Route Day" queryTableFieldId="13" dataDxfId="258"/>
    <tableColumn id="4" xr3:uid="{06C63011-79C6-401D-9013-54F481C41F08}" uniqueName="4" name="New Delivery Day" queryTableFieldId="4" dataDxfId="257"/>
    <tableColumn id="6" xr3:uid="{92677971-9A38-409F-B926-949E75BC14A9}" uniqueName="6" name="Customer Name" queryTableFieldId="6"/>
    <tableColumn id="7" xr3:uid="{7BCDEA29-E854-4CF9-9C2C-BD1619222EFF}" uniqueName="7" name="Frequency" queryTableFieldId="7" dataDxfId="256"/>
    <tableColumn id="8" xr3:uid="{D4192252-06BA-4C06-BD0E-8243C0CECD76}" uniqueName="8" name="Address" queryTableFieldId="8"/>
    <tableColumn id="9" xr3:uid="{17B49C9E-B537-43AA-8D12-8D54FDFC0DF5}" uniqueName="9" name="Service Minutes" queryTableFieldId="9" dataDxfId="255"/>
    <tableColumn id="10" xr3:uid="{FD5A4BC1-AAAC-4EA4-8295-BA33991150FE}" uniqueName="10" name="Average Weekly Garment Soil Scans" queryTableFieldId="10" dataDxfId="254"/>
    <tableColumn id="11" xr3:uid="{C6B5E331-2FED-4D8A-B5AF-D237AA763D19}" uniqueName="11" name="Garment Underwash" queryTableFieldId="11" dataDxfId="253" dataCellStyle="Percent"/>
    <tableColumn id="12" xr3:uid="{F81C1550-F72A-4BFC-9149-E5A228375F00}" uniqueName="12" name="Available Delivery Days" queryTableFieldId="12" dataDxfId="25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B9374D0-6046-49E4-95C3-505C7DFEFE25}" name="Table_Coming_Or_Going" displayName="Table_Coming_Or_Going" ref="A4:Q8" tableType="queryTable" totalsRowShown="0" headerRowDxfId="251">
  <autoFilter ref="A4:Q8" xr:uid="{9B9374D0-6046-49E4-95C3-505C7DFEFE25}"/>
  <tableColumns count="17">
    <tableColumn id="22" xr3:uid="{C1A1A9B6-78A1-4385-B055-6C6C9A74DEE2}" uniqueName="22" name="Route Day" queryTableFieldId="24" dataDxfId="250"/>
    <tableColumn id="1" xr3:uid="{FA8A04F4-DE4A-415F-9D8D-68083936386C}" uniqueName="1" name="Coming Or Going" queryTableFieldId="1"/>
    <tableColumn id="3" xr3:uid="{2ADA0633-D399-4E70-8EBA-A7C35C65DD08}" uniqueName="3" name="Account" queryTableFieldId="3" dataDxfId="249"/>
    <tableColumn id="4" xr3:uid="{79594A32-0B90-4E04-8D13-DD47FDB2F299}" uniqueName="4" name="Customer" queryTableFieldId="4" dataDxfId="248"/>
    <tableColumn id="2" xr3:uid="{BD054231-6A9A-48A0-8F14-D27F020DFD22}" uniqueName="2" name="New Route Day" queryTableFieldId="28"/>
    <tableColumn id="23" xr3:uid="{1B3C1065-C31B-4531-A069-D3FACD6C60D8}" uniqueName="23" name="Old Route Day" queryTableFieldId="26" dataDxfId="247"/>
    <tableColumn id="9" xr3:uid="{7AFE1B0E-F800-4644-86AF-8A7612070936}" uniqueName="9" name="Customer Name" queryTableFieldId="9"/>
    <tableColumn id="10" xr3:uid="{18DAC318-CE21-4B82-8CC6-8CB02F642527}" uniqueName="10" name="Frequency" queryTableFieldId="10" dataDxfId="246"/>
    <tableColumn id="11" xr3:uid="{9EDBEA69-22ED-4640-8E08-ABA638B16643}" uniqueName="11" name="Address" queryTableFieldId="11"/>
    <tableColumn id="12" xr3:uid="{C12AFD48-EC9B-4EBF-B135-BBD83DF0E5EE}" uniqueName="12" name="Service Minutes" queryTableFieldId="12" dataDxfId="245"/>
    <tableColumn id="13" xr3:uid="{214EC612-8B2A-4327-995E-85EA15516329}" uniqueName="13" name="Q1 Average" queryTableFieldId="13" dataDxfId="244" dataCellStyle="Currency"/>
    <tableColumn id="14" xr3:uid="{D4E6ADD9-5C92-4EB2-AEAA-C43C3A1D6FE0}" uniqueName="14" name="Q2 Average" queryTableFieldId="14" dataDxfId="243" dataCellStyle="Currency"/>
    <tableColumn id="15" xr3:uid="{741C8E3E-021D-4705-BEFB-CFF65FFED34A}" uniqueName="15" name="Q3 Average" queryTableFieldId="15" dataDxfId="242" dataCellStyle="Currency"/>
    <tableColumn id="16" xr3:uid="{B792F47D-E8C4-49FD-AB8C-2A07DEDCE294}" uniqueName="16" name="Q4 Average" queryTableFieldId="16" dataDxfId="241" dataCellStyle="Currency"/>
    <tableColumn id="17" xr3:uid="{E1B92B73-08D7-4DA7-9876-687D41FD6EF1}" uniqueName="17" name="Average Weekly Garment Soil Scans" queryTableFieldId="17" dataDxfId="240"/>
    <tableColumn id="18" xr3:uid="{AD2E1EEF-0CD6-42C7-905E-EDE1129FEE5A}" uniqueName="18" name="Garment Underwash" queryTableFieldId="18" dataDxfId="239" dataCellStyle="Percent"/>
    <tableColumn id="19" xr3:uid="{D3BFB273-48B3-4D0E-9C07-7D45ADF57CCA}" uniqueName="19" name="Available Delivery Days" queryTableFieldId="19" dataDxfId="23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8E06DC0-1F70-4738-97C6-10370A9F0E6D}" name="Table_Five_Days" displayName="Table_Five_Days" ref="A4:P533" tableType="queryTable" totalsRowShown="0" headerRowDxfId="237" dataDxfId="236">
  <tableColumns count="16">
    <tableColumn id="1" xr3:uid="{C79E4018-C4A3-4A45-A3BC-2D981A2AE10D}" uniqueName="1" name="Account" queryTableFieldId="1" dataDxfId="235"/>
    <tableColumn id="2" xr3:uid="{FF35A439-EF09-4DBF-A9E6-7ADB70CB56D2}" uniqueName="2" name="Customer" queryTableFieldId="2" dataDxfId="234"/>
    <tableColumn id="13" xr3:uid="{4D58B142-3925-42B1-AA2D-F21CA594EAE9}" uniqueName="13" name="New Route Day" queryTableFieldId="14" dataDxfId="233"/>
    <tableColumn id="5" xr3:uid="{1FB8E543-94AD-4D7B-AFC1-742D7294AAB0}" uniqueName="5" name="Alliant Sequence" queryTableFieldId="5" dataDxfId="232"/>
    <tableColumn id="14" xr3:uid="{0603433C-CF53-4952-AD84-0DAE2F30AD01}" uniqueName="14" name="Old Route Day" queryTableFieldId="15" dataDxfId="231"/>
    <tableColumn id="7" xr3:uid="{27587459-0042-4ED1-B5CB-9E5BAE8BBCB1}" uniqueName="7" name="Customer Name" queryTableFieldId="7" dataDxfId="230"/>
    <tableColumn id="8" xr3:uid="{EEA19C3E-78D1-430B-9A79-2A27EDBF3A6C}" uniqueName="8" name="Frequency" queryTableFieldId="8" dataDxfId="229"/>
    <tableColumn id="10" xr3:uid="{9530B125-A82B-4010-885B-66BB5B03D787}" uniqueName="10" name="New Freq" queryTableFieldId="10" dataDxfId="228"/>
    <tableColumn id="9" xr3:uid="{085343A0-0336-4FD2-AB67-54C259A95AA1}" uniqueName="9" name="Address" queryTableFieldId="9" dataDxfId="227"/>
    <tableColumn id="11" xr3:uid="{08A9FD69-3735-48EE-82C5-EBAFAE179411}" uniqueName="11" name="Arrival Times" queryTableFieldId="11" dataDxfId="226"/>
    <tableColumn id="3" xr3:uid="{90301E7E-80E0-4A13-B2E2-4DE4C1D87F01}" uniqueName="3" name="Service Minutes" queryTableFieldId="18" dataDxfId="225"/>
    <tableColumn id="4" xr3:uid="{772CDE72-F4AB-460C-8362-D4F2C8001DDB}" uniqueName="4" name="MinutesFromPrevious" queryTableFieldId="19" dataDxfId="224"/>
    <tableColumn id="6" xr3:uid="{6E5C41D3-ED9A-43EF-8136-1684E043B742}" uniqueName="6" name="Hold/Seasonal" queryTableFieldId="20" dataDxfId="223"/>
    <tableColumn id="17" xr3:uid="{1F10A29F-D190-4738-B06D-A6780EF9579A}" uniqueName="17" name="Avg Wkly Garment Soil Scans" queryTableFieldId="24" dataDxfId="222"/>
    <tableColumn id="15" xr3:uid="{9371864C-B73E-431B-A086-06F25FB08D90}" uniqueName="15" name="Earliest Time - Window 1" queryTableFieldId="22" dataDxfId="221"/>
    <tableColumn id="16" xr3:uid="{0A9C819B-374E-4008-AC6B-D98F623626CD}" uniqueName="16" name="Available Delivery Days" queryTableFieldId="23" dataDxfId="22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9064DA2-3931-4AB4-9FBF-27298630D187}" name="Table_Primary_Garment_Referance" displayName="Table_Primary_Garment_Referance" ref="A4:I83" tableType="queryTable" totalsRowShown="0" headerRowDxfId="219">
  <autoFilter ref="A4:I83" xr:uid="{49064DA2-3931-4AB4-9FBF-27298630D187}"/>
  <tableColumns count="9">
    <tableColumn id="1" xr3:uid="{1ECECC5A-5FD5-46BB-9C83-3555475D8296}" uniqueName="1" name="cu_id" queryTableFieldId="1" dataDxfId="218"/>
    <tableColumn id="2" xr3:uid="{E34EA755-3307-4442-AF3F-2EE63F52D99D}" uniqueName="2" name="Account" queryTableFieldId="62" dataDxfId="217"/>
    <tableColumn id="3" xr3:uid="{9F0F9712-FDCF-4E0E-84D9-E080F9EB9040}" uniqueName="3" name="Customer" queryTableFieldId="63" dataDxfId="216"/>
    <tableColumn id="4" xr3:uid="{F797AC71-A879-4963-9645-D54894E97D1F}" uniqueName="4" name="New Route" queryTableFieldId="64" dataDxfId="215"/>
    <tableColumn id="6" xr3:uid="{7392EDB2-9E3E-48FB-8E50-816BA387879D}" uniqueName="6" name="New Delivery Day" queryTableFieldId="6" dataDxfId="214"/>
    <tableColumn id="60" xr3:uid="{745CFFDE-B39E-4831-8166-9A596EA88EBE}" uniqueName="60" name="Old RtDay" queryTableFieldId="60" dataDxfId="213"/>
    <tableColumn id="12" xr3:uid="{E3454095-E7F2-432A-A8D9-AE34E5E7D5F6}" uniqueName="12" name="Customer Name" queryTableFieldId="12" dataDxfId="212"/>
    <tableColumn id="15" xr3:uid="{70F988B5-00AC-44F1-9985-FF340772BDE2}" uniqueName="15" name="Frequency" queryTableFieldId="15" dataDxfId="211"/>
    <tableColumn id="34" xr3:uid="{208FE177-ACAC-4CA2-8CBE-04A22D0169F1}" uniqueName="34" name="Garment Inventory" queryTableFieldId="34" dataDxfId="210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31B4A7-034A-4731-ADA5-1EC43167FF93}" name="All_Special_Deliveries" displayName="All_Special_Deliveries" ref="A4:M24" tableType="queryTable" totalsRowShown="0">
  <autoFilter ref="A4:M24" xr:uid="{3931B4A7-034A-4731-ADA5-1EC43167FF93}"/>
  <tableColumns count="13">
    <tableColumn id="1" xr3:uid="{01CD3ACF-CC66-477F-A661-41AAD1165387}" uniqueName="1" name="cu_id" queryTableFieldId="1" dataDxfId="209"/>
    <tableColumn id="2" xr3:uid="{69C6F1BB-5725-43EE-A6B5-E5F247484C70}" uniqueName="2" name="Account" queryTableFieldId="17" dataDxfId="208"/>
    <tableColumn id="3" xr3:uid="{4067B1FC-DF18-496C-BA14-7A54B0A32020}" uniqueName="3" name="Customer" queryTableFieldId="18" dataDxfId="207"/>
    <tableColumn id="4" xr3:uid="{3E770B42-3126-49BA-AA46-A2EE4325B212}" uniqueName="4" name="New Route" queryTableFieldId="19" dataDxfId="206"/>
    <tableColumn id="5" xr3:uid="{826F9EAC-E1BE-4DB0-BD79-754546964233}" uniqueName="5" name="New Delivery Day" queryTableFieldId="5" dataDxfId="205"/>
    <tableColumn id="6" xr3:uid="{C4F45E52-5929-4DA6-BE1A-DAF484A7BBC2}" uniqueName="6" name="Customer Name" queryTableFieldId="6"/>
    <tableColumn id="7" xr3:uid="{A2EC3D22-54BC-49A0-86EE-34BF37999E3F}" uniqueName="7" name="Old Route" queryTableFieldId="20" dataDxfId="204"/>
    <tableColumn id="8" xr3:uid="{215D7F29-A248-4872-A957-9EDE85319B30}" uniqueName="8" name="Old Delivery Day" queryTableFieldId="8" dataDxfId="203"/>
    <tableColumn id="10" xr3:uid="{FBD8A333-9660-424F-956D-DAF0C3380EBE}" uniqueName="10" name="Garment Inventory" queryTableFieldId="10" dataDxfId="202"/>
    <tableColumn id="9" xr3:uid="{7EA0EB27-48D7-4049-93C6-4AA48C7C9DF9}" uniqueName="9" name="Garments Days to Turn Around" queryTableFieldId="13" dataDxfId="201"/>
    <tableColumn id="11" xr3:uid="{EAB5E69A-738E-4C58-9E94-9DD8F9772E5E}" uniqueName="11" name="Days Between Regular Deliverys" queryTableFieldId="14" dataDxfId="200"/>
    <tableColumn id="12" xr3:uid="{BDD4526F-FDE7-4D01-96C1-D68F61F2EC00}" uniqueName="12" name="Special Garment pu/do" queryTableFieldId="15" dataDxfId="199"/>
    <tableColumn id="13" xr3:uid="{2075015F-8E4F-44CC-874D-DA38BD86212F}" uniqueName="13" name="Long Gap (8-9Days) Consider Special delivery" queryTableFieldId="16" dataDxfId="19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BC0CF-64C4-4FC9-BE55-3050D2AC5AA5}" name="Service_Large_Gap_Special_Deliverys" displayName="Service_Large_Gap_Special_Deliverys" ref="A1:J8" tableType="queryTable" totalsRowShown="0" headerRowDxfId="197">
  <autoFilter ref="A1:J8" xr:uid="{8BCBC0CF-64C4-4FC9-BE55-3050D2AC5AA5}"/>
  <tableColumns count="10">
    <tableColumn id="1" xr3:uid="{8F49EF64-8955-45EB-BD58-3B61602F4564}" uniqueName="1" name="Account" queryTableFieldId="18" dataDxfId="196"/>
    <tableColumn id="2" xr3:uid="{6E618D2F-3D20-431A-8E60-4E99CA4F6BDB}" uniqueName="2" name="Customer" queryTableFieldId="19" dataDxfId="195"/>
    <tableColumn id="3" xr3:uid="{C3AE399D-67B1-4C52-945B-E1FEB82C3D96}" uniqueName="3" name="New Route" queryTableFieldId="20" dataDxfId="194"/>
    <tableColumn id="8" xr3:uid="{1C7FC8B3-E7E4-4181-9158-9DC2A452B863}" uniqueName="8" name="New Delivery Day" queryTableFieldId="8" dataDxfId="193"/>
    <tableColumn id="7" xr3:uid="{36E786D9-AC6E-4F7D-A490-2EEB8431F6AC}" uniqueName="7" name="Old Route" queryTableFieldId="21" dataDxfId="192"/>
    <tableColumn id="4" xr3:uid="{32A36A8A-A17F-412F-9479-AC6221238154}" uniqueName="4" name="Old Delivery Day" queryTableFieldId="4" dataDxfId="191"/>
    <tableColumn id="6" xr3:uid="{B3781029-FA83-4D1F-9219-BFBE811EE762}" uniqueName="6" name="Customer Name" queryTableFieldId="6"/>
    <tableColumn id="10" xr3:uid="{B4C2C701-6FF2-4581-A616-A6FCCF7D3474}" uniqueName="10" name="Frequency" queryTableFieldId="12" dataDxfId="190"/>
    <tableColumn id="5" xr3:uid="{3C125D13-1E38-48CE-85D7-BBFFB9BA3C7B}" uniqueName="5" name="Days Between Regular Deliverys" queryTableFieldId="16" dataDxfId="189"/>
    <tableColumn id="9" xr3:uid="{52143572-EC3A-4617-B3C6-D1F949D12FD8}" uniqueName="9" name="Special Garment pu/do" queryTableFieldId="17" dataDxfId="18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58181A-8FA6-47E5-AF7B-C3EB7783F7B0}" name="Service_Gap_inventory_lists" displayName="Service_Gap_inventory_lists" ref="A4:G31" tableType="queryTable" totalsRowShown="0" headerRowDxfId="187">
  <tableColumns count="7">
    <tableColumn id="1" xr3:uid="{CCF604F1-08B3-49C1-A3CF-E94C20C8A904}" uniqueName="1" name="Account" queryTableFieldId="16"/>
    <tableColumn id="2" xr3:uid="{F88F4C0E-7F2D-4015-AFB4-3050D02C54E7}" uniqueName="2" name="Customer" queryTableFieldId="17"/>
    <tableColumn id="8" xr3:uid="{23B76695-F74A-4103-909D-C5E7D05A08F9}" uniqueName="8" name="New Delivery Day" queryTableFieldId="8" dataDxfId="186"/>
    <tableColumn id="3" xr3:uid="{A0D701D6-B721-4A2A-A8A8-7BF264241E65}" uniqueName="3" name="Old Route" queryTableFieldId="18" dataDxfId="185"/>
    <tableColumn id="4" xr3:uid="{FCE8C2C6-333F-4F13-AC0B-D494BF88EEF3}" uniqueName="4" name="Old Delivery Day" queryTableFieldId="4" dataDxfId="184"/>
    <tableColumn id="6" xr3:uid="{7A8EE557-98F4-4C0B-9C5C-00D16853AAA1}" uniqueName="6" name="Customer Name" queryTableFieldId="6"/>
    <tableColumn id="5" xr3:uid="{1E09468D-4BF8-4199-840D-BFA7E7B59886}" uniqueName="5" name="Days Between Regular Deliverys" queryTableFieldId="14" dataDxfId="18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F039D65-6606-478A-A48F-0A4808DC1176}" name="Service_Garment_Specials_by_Day" displayName="Service_Garment_Specials_by_Day" ref="A4:L23" tableType="queryTable" totalsRowShown="0" headerRowDxfId="182">
  <autoFilter ref="A4:L23" xr:uid="{4F039D65-6606-478A-A48F-0A4808DC1176}"/>
  <sortState xmlns:xlrd2="http://schemas.microsoft.com/office/spreadsheetml/2017/richdata2" ref="A5:L23">
    <sortCondition ref="B5:B23" customList="W,R,F,M,T"/>
  </sortState>
  <tableColumns count="12">
    <tableColumn id="1" xr3:uid="{0E4317A5-B120-4ECE-9002-67AA6529D806}" uniqueName="1" name="cu_id" queryTableFieldId="1"/>
    <tableColumn id="2" xr3:uid="{73A115F0-DA1C-4636-A189-3A80C298E983}" uniqueName="2" name="Special Garment pu/do" queryTableFieldId="12" dataDxfId="181"/>
    <tableColumn id="3" xr3:uid="{614C1683-AD48-496B-8EDE-8483EDB8C0D9}" uniqueName="3" name="Account" queryTableFieldId="17"/>
    <tableColumn id="4" xr3:uid="{E9D98199-7E78-47CD-8FD0-C3CD286A1D13}" uniqueName="4" name="Customer" queryTableFieldId="18"/>
    <tableColumn id="5" xr3:uid="{77CF1121-6874-445E-A112-73AA51E1C76B}" uniqueName="5" name="Customer Name" queryTableFieldId="5" dataDxfId="180"/>
    <tableColumn id="6" xr3:uid="{7D50E74D-E662-475C-A60A-BCD0C0EB2A79}" uniqueName="6" name="Old Route" queryTableFieldId="19"/>
    <tableColumn id="7" xr3:uid="{73BACFC4-8D96-433F-ABFA-E8C2BEBE7A41}" uniqueName="7" name="Old Delivery Day" queryTableFieldId="7" dataDxfId="179"/>
    <tableColumn id="8" xr3:uid="{0FBA63A1-0030-4E47-B9F7-E5CBD75BB5BA}" uniqueName="8" name="New Route" queryTableFieldId="20" dataDxfId="178"/>
    <tableColumn id="9" xr3:uid="{C06FE257-3496-46A3-8A5C-1BF0A04AE4FB}" uniqueName="9" name="New Delivery Day" queryTableFieldId="9" dataDxfId="177"/>
    <tableColumn id="10" xr3:uid="{E8E4AC27-A32B-4911-A4E2-D1544B3A03DF}" uniqueName="10" name="Retape Inventory" queryTableFieldId="10" dataDxfId="176"/>
    <tableColumn id="11" xr3:uid="{5C67D931-A23D-4E99-A3C8-6802875C603B}" uniqueName="11" name="Days Between Regular Deliverys" queryTableFieldId="13" dataDxfId="175"/>
    <tableColumn id="12" xr3:uid="{CFB1B631-447A-41F3-A611-1D6CA1AD26F0}" uniqueName="12" name="Garments Days to Turn Around" queryTableFieldId="14" dataDxfId="174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CCA1A95-DF46-4C05-ABEB-9BE75B44E95B}" name="Service_Ranked_New_Exposure_List" displayName="Service_Ranked_New_Exposure_List" ref="A1:D2" tableType="queryTable" insertRow="1" totalsRowShown="0" headerRowDxfId="173">
  <autoFilter ref="A1:D2" xr:uid="{ACCA1A95-DF46-4C05-ABEB-9BE75B44E95B}"/>
  <tableColumns count="4">
    <tableColumn id="1" xr3:uid="{157629F4-34EA-48CB-B7C3-767EFD1F3DD8}" uniqueName="1" name="New Route" queryTableFieldId="13" dataDxfId="172"/>
    <tableColumn id="4" xr3:uid="{527D0A56-66AF-4EF7-9F7A-3D45C4738F89}" uniqueName="4" name="New Delivery Day" queryTableFieldId="10" dataDxfId="171"/>
    <tableColumn id="3" xr3:uid="{E1BC08E9-126F-435F-BC4E-72674399B3DC}" uniqueName="3" name="Count of New Stops" queryTableFieldId="7" dataDxfId="170"/>
    <tableColumn id="2" xr3:uid="{71B30429-A979-4ACA-B6F5-62E311553A9C}" uniqueName="2" name="Old Rts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E0E6FA-A399-46F3-87D1-BF55783130C3}" name="Table_IT__New_Sequences__M" displayName="Table_IT__New_Sequences__M" ref="A1:F28" tableType="queryTable" totalsRowShown="0">
  <autoFilter ref="A1:F28" xr:uid="{A6E0E6FA-A399-46F3-87D1-BF55783130C3}"/>
  <tableColumns count="6">
    <tableColumn id="1" xr3:uid="{9F21352E-A685-4625-ADF0-969F5EEFFC7D}" uniqueName="1" name="cu_id" queryTableFieldId="1" dataDxfId="169"/>
    <tableColumn id="2" xr3:uid="{9B2FA574-A8A3-4549-952D-38C6741BC669}" uniqueName="2" name="mon_stop" queryTableFieldId="2"/>
    <tableColumn id="3" xr3:uid="{9775583E-6D01-4992-A5B8-538263092FD9}" uniqueName="3" name="tue_stop" queryTableFieldId="3"/>
    <tableColumn id="4" xr3:uid="{C714D004-4630-4A97-ACEB-5A591A7F7FF2}" uniqueName="4" name="wed_stop" queryTableFieldId="4"/>
    <tableColumn id="5" xr3:uid="{4E8D52F1-B324-44DB-8A4B-94F270E317B6}" uniqueName="5" name="thu_stop" queryTableFieldId="5"/>
    <tableColumn id="6" xr3:uid="{1DB42E44-5520-42F2-AECF-2F2D65A3F5BF}" uniqueName="6" name="fri_stop" queryTableFieldId="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4ADA4A-3703-4114-BD08-36875C5E1BBD}" name="Table_IT__New_Sequences__T" displayName="Table_IT__New_Sequences__T" ref="A1:F33" tableType="queryTable" totalsRowShown="0">
  <autoFilter ref="A1:F33" xr:uid="{A34ADA4A-3703-4114-BD08-36875C5E1BBD}"/>
  <sortState xmlns:xlrd2="http://schemas.microsoft.com/office/spreadsheetml/2017/richdata2" ref="A2:F33">
    <sortCondition ref="A1:A33"/>
  </sortState>
  <tableColumns count="6">
    <tableColumn id="1" xr3:uid="{394BD60B-EEBB-475F-8537-3D6549AE1D06}" uniqueName="1" name="cu_id" queryTableFieldId="1" dataDxfId="168"/>
    <tableColumn id="2" xr3:uid="{774463B5-D66B-4D96-B149-16B509F13C22}" uniqueName="2" name="mon_stop" queryTableFieldId="2"/>
    <tableColumn id="3" xr3:uid="{3458384D-C80C-4628-A64A-9E65CAB0E5FB}" uniqueName="3" name="tue_stop" queryTableFieldId="3"/>
    <tableColumn id="4" xr3:uid="{9F0A8B1E-8E39-4D00-BFBD-21B6B59A5870}" uniqueName="4" name="wed_stop" queryTableFieldId="4"/>
    <tableColumn id="5" xr3:uid="{C1970DC0-AE74-48F1-A59A-027FCD68285C}" uniqueName="5" name="thu_stop" queryTableFieldId="5"/>
    <tableColumn id="6" xr3:uid="{6CCEB288-06E2-4498-A7CB-8F1B3FCDC975}" uniqueName="6" name="fri_stop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290354-B1BF-4E2F-9F2E-92DE30802897}" name="Table_IT__New_Sequences__W" displayName="Table_IT__New_Sequences__W" ref="A1:F27" tableType="queryTable" totalsRowShown="0">
  <autoFilter ref="A1:F27" xr:uid="{07290354-B1BF-4E2F-9F2E-92DE30802897}"/>
  <tableColumns count="6">
    <tableColumn id="1" xr3:uid="{CD34D1EA-252C-4F44-A8D7-8BDE133EC384}" uniqueName="1" name="cu_id" queryTableFieldId="1" dataDxfId="167"/>
    <tableColumn id="2" xr3:uid="{DEA9C5BB-7750-4267-A345-6868A23A13A3}" uniqueName="2" name="mon_stop" queryTableFieldId="2"/>
    <tableColumn id="3" xr3:uid="{C8DA63D8-3458-4A0F-A0EC-831904B3170B}" uniqueName="3" name="tue_stop" queryTableFieldId="3"/>
    <tableColumn id="4" xr3:uid="{F2653007-4FB8-45F8-9253-668434B0E696}" uniqueName="4" name="wed_stop" queryTableFieldId="4"/>
    <tableColumn id="5" xr3:uid="{99FA4D71-8E4D-467B-A1D5-B8A6C80BC3AC}" uniqueName="5" name="thu_stop" queryTableFieldId="5"/>
    <tableColumn id="6" xr3:uid="{90B05953-F497-455F-B43D-83D472DE9C21}" uniqueName="6" name="fri_stop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2B5546A-D21C-4812-8EE1-BD916F3CA7E5}" name="Table_IT__New_Sequences__TH" displayName="Table_IT__New_Sequences__TH" ref="A1:F41" tableType="queryTable" totalsRowShown="0">
  <autoFilter ref="A1:F41" xr:uid="{52B5546A-D21C-4812-8EE1-BD916F3CA7E5}"/>
  <tableColumns count="6">
    <tableColumn id="1" xr3:uid="{E876ADC6-C571-42C6-8DA2-7E89FB6CA6FF}" uniqueName="1" name="cu_id" queryTableFieldId="1"/>
    <tableColumn id="2" xr3:uid="{86FF261C-F787-41B0-85C4-A8EB8FC10CDE}" uniqueName="2" name="mon_stop" queryTableFieldId="2"/>
    <tableColumn id="3" xr3:uid="{4178EDDF-6880-4409-806E-8D6DBD55F971}" uniqueName="3" name="tue_stop" queryTableFieldId="3"/>
    <tableColumn id="4" xr3:uid="{BB6EF3FF-6348-4EC5-B8CC-B7F1269B2242}" uniqueName="4" name="wed_stop" queryTableFieldId="4"/>
    <tableColumn id="5" xr3:uid="{86E73951-B55C-4B7B-8412-65FE034163AD}" uniqueName="5" name="thu_stop" queryTableFieldId="5"/>
    <tableColumn id="6" xr3:uid="{428C98E9-B0FC-48F8-887C-7AC765EB352D}" uniqueName="6" name="fri_stop" queryTableFieldId="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05880CE-C00D-4CCB-A5D4-4DE2C879BC12}" name="Table_IT__New_Sequences__F" displayName="Table_IT__New_Sequences__F" ref="A1:F24" tableType="queryTable" totalsRowShown="0">
  <autoFilter ref="A1:F24" xr:uid="{705880CE-C00D-4CCB-A5D4-4DE2C879BC12}"/>
  <tableColumns count="6">
    <tableColumn id="1" xr3:uid="{380A9B3E-B9EF-4167-B397-331F1E43E1CB}" uniqueName="1" name="cu_id" queryTableFieldId="1"/>
    <tableColumn id="2" xr3:uid="{94AB5124-1F26-47C8-91B3-97F7918C75DD}" uniqueName="2" name="mon_stop" queryTableFieldId="2"/>
    <tableColumn id="3" xr3:uid="{04D38AD6-B1B4-4EA4-82A5-9A8962B707ED}" uniqueName="3" name="tue_stop" queryTableFieldId="3"/>
    <tableColumn id="4" xr3:uid="{B2CF34EB-8738-4292-87E4-28781A5D3825}" uniqueName="4" name="wed_stop" queryTableFieldId="4"/>
    <tableColumn id="5" xr3:uid="{0BE00A7B-5844-4A42-BE66-DBAE23353ED0}" uniqueName="5" name="thu_stop" queryTableFieldId="5"/>
    <tableColumn id="6" xr3:uid="{AC5C3542-244F-46EF-91AE-A7EF0685BF57}" uniqueName="6" name="fri_stop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0BC5EDD-7298-4CCF-AC31-CEDCD5663E2D}" name="Table_IT__New_Sequences_Whole_RTDay" displayName="Table_IT__New_Sequences_Whole_RTDay" ref="A1:F2" tableType="queryTable" insertRow="1" totalsRowShown="0">
  <autoFilter ref="A1:F2" xr:uid="{20BC5EDD-7298-4CCF-AC31-CEDCD5663E2D}"/>
  <tableColumns count="6">
    <tableColumn id="1" xr3:uid="{DB31DED2-AE90-4547-853D-5862DA0BB7F6}" uniqueName="1" name="cu_id" queryTableFieldId="1"/>
    <tableColumn id="2" xr3:uid="{3B11FEE8-4763-4BEF-BB41-6949B244633A}" uniqueName="2" name="mon_stop" queryTableFieldId="2"/>
    <tableColumn id="3" xr3:uid="{D925CAF6-576C-47A1-B328-54177847DFB4}" uniqueName="3" name="tue_stop" queryTableFieldId="3"/>
    <tableColumn id="4" xr3:uid="{A450CB66-C119-4B09-BDE9-4F146A622276}" uniqueName="4" name="wed_stop" queryTableFieldId="4"/>
    <tableColumn id="5" xr3:uid="{020A71BA-19D4-4574-9F5B-3930152F8F0C}" uniqueName="5" name="thu_stop" queryTableFieldId="5"/>
    <tableColumn id="6" xr3:uid="{BCDF3720-3895-4338-B8E5-48270DBF5ED6}" uniqueName="6" name="fri_stop" queryTableFieldId="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F75E2E-28B8-4F29-B55A-02E4E7EA9DFA}" name="IT_Flag_Garment_Retapes" displayName="IT_Flag_Garment_Retapes" ref="A1:B51" tableType="queryTable" totalsRowShown="0">
  <autoFilter ref="A1:B51" xr:uid="{2CF75E2E-28B8-4F29-B55A-02E4E7EA9DFA}"/>
  <tableColumns count="2">
    <tableColumn id="1" xr3:uid="{84F70D91-949D-4227-ADBE-9D9BB4C4F2D9}" uniqueName="1" name="cu_id" queryTableFieldId="1"/>
    <tableColumn id="2" xr3:uid="{63E3D058-DEF0-487F-9BB6-742411A19ECF}" uniqueName="2" name="Message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DFEAA2-8EB9-47BB-BE9F-F8E880F1245C}" name="IT_Soil_Caps_increases" displayName="IT_Soil_Caps_increases" ref="A1:A21" tableType="queryTable" totalsRowShown="0" headerRowDxfId="166" dataDxfId="165">
  <autoFilter ref="A1:A21" xr:uid="{9FDFEAA2-8EB9-47BB-BE9F-F8E880F1245C}"/>
  <tableColumns count="1">
    <tableColumn id="1" xr3:uid="{F5D1E860-F069-4C23-95C5-F2A6C78C1F18}" uniqueName="1" name="Account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9B5F458-C3EC-4579-A725-286A3624C57D}" name="DE_Special_Invoices_needed" displayName="DE_Special_Invoices_needed" ref="A1:I15" tableType="queryTable" totalsRowShown="0" headerRowDxfId="164">
  <autoFilter ref="A1:I15" xr:uid="{69B5F458-C3EC-4579-A725-286A3624C57D}"/>
  <tableColumns count="9">
    <tableColumn id="1" xr3:uid="{107F3DF9-1011-46FB-9F55-716A03AE69D1}" uniqueName="1" name="cu_id" queryTableFieldId="1" dataDxfId="163"/>
    <tableColumn id="2" xr3:uid="{7273A313-18AB-4207-AF59-414030BD9265}" uniqueName="2" name="Account" queryTableFieldId="14" dataDxfId="162"/>
    <tableColumn id="3" xr3:uid="{6C9BE650-4ABD-4D5E-955E-577F3292A8C9}" uniqueName="3" name="Customer" queryTableFieldId="15" dataDxfId="161"/>
    <tableColumn id="4" xr3:uid="{51FFF838-00CB-4830-AB95-AA27619E020C}" uniqueName="4" name="New Route" queryTableFieldId="16" dataDxfId="160"/>
    <tableColumn id="11" xr3:uid="{CB3DC29F-E5B2-4A22-94FE-CD9E0E2E69CB}" uniqueName="11" name="New Delivery Day" queryTableFieldId="11" dataDxfId="159"/>
    <tableColumn id="8" xr3:uid="{978DD3DF-523D-4713-B3F3-E8B60F5CB9DA}" uniqueName="8" name="Alliant Sequence" queryTableFieldId="22" dataDxfId="158"/>
    <tableColumn id="6" xr3:uid="{85EDA7D1-4F20-49F5-8C31-8A701B10F010}" uniqueName="6" name="Old Route" queryTableFieldId="17" dataDxfId="157"/>
    <tableColumn id="5" xr3:uid="{3844117D-99ED-4D53-B27B-41F698DC2C93}" uniqueName="5" name="Old Delivery Day" queryTableFieldId="5" dataDxfId="156"/>
    <tableColumn id="7" xr3:uid="{D2310BB0-E4A8-4EAF-9802-70F39D43B198}" uniqueName="7" name="Customer Name" queryTableFieldId="7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0F1812B-CB1B-4DB3-8D10-D83E07774DB0}" name="Data_Entry" displayName="Data_Entry" ref="A1:L151" tableType="queryTable" totalsRowShown="0">
  <tableColumns count="12">
    <tableColumn id="1" xr3:uid="{1725CA31-238C-4AE9-AE4E-461C9E3864D1}" uniqueName="1" name="cu_id" queryTableFieldId="1"/>
    <tableColumn id="2" xr3:uid="{EF2E687E-B809-48B0-ABCE-B780350BB84F}" uniqueName="2" name="Account" queryTableFieldId="2"/>
    <tableColumn id="3" xr3:uid="{1FC81600-F4E5-472F-AEEF-BE8F0B3FECD7}" uniqueName="3" name="Customer" queryTableFieldId="3"/>
    <tableColumn id="4" xr3:uid="{6A2881A2-5794-4D5E-8D84-CEF5A275B841}" uniqueName="4" name="Customer Name" queryTableFieldId="4"/>
    <tableColumn id="5" xr3:uid="{E7BDF739-4BF9-42A2-BC7F-DAED55CDDC87}" uniqueName="5" name="Old Route" queryTableFieldId="5"/>
    <tableColumn id="6" xr3:uid="{A8C3E14F-5754-44A5-9C4D-2F35CC2B84CC}" uniqueName="6" name="Old Delivery Day" queryTableFieldId="6"/>
    <tableColumn id="7" xr3:uid="{A37353B2-192D-49FF-A1F1-0572BE6F3EBB}" uniqueName="7" name="Frequency" queryTableFieldId="7"/>
    <tableColumn id="8" xr3:uid="{36687114-9DBE-4D73-8EF3-4C774888A040}" uniqueName="8" name="New Route" queryTableFieldId="8"/>
    <tableColumn id="9" xr3:uid="{63D839C7-B95B-477F-9CD8-630105A1EDD3}" uniqueName="9" name="New Delivery Day" queryTableFieldId="9"/>
    <tableColumn id="10" xr3:uid="{CBA56F0E-C684-43C0-909D-4A890084C925}" uniqueName="10" name="New Frequency" queryTableFieldId="10"/>
    <tableColumn id="12" xr3:uid="{3AF0213D-C905-4EF9-A2E1-919F1F0082B0}" uniqueName="12" name="Old Stop" queryTableFieldId="12"/>
    <tableColumn id="11" xr3:uid="{E475FC0C-3F0F-4C21-BB4B-FF59E3757ECD}" uniqueName="11" name="Alliant Sequence" queryTableFieldId="11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2D639B-82C5-42EF-AF2A-4CBEB376323E}" name="DE_List_Week_2" displayName="DE_List_Week_2" ref="A1:L116" tableType="queryTable" totalsRowShown="0" headerRowDxfId="155" dataDxfId="154">
  <autoFilter ref="A1:L116" xr:uid="{6E2D639B-82C5-42EF-AF2A-4CBEB376323E}"/>
  <tableColumns count="12">
    <tableColumn id="1" xr3:uid="{E77EDBF7-8323-40B2-9825-675E528CE9CD}" uniqueName="1" name="cu_id" queryTableFieldId="1" dataDxfId="28"/>
    <tableColumn id="2" xr3:uid="{D2963C60-3A38-4A0C-8E9A-24F371B78B96}" uniqueName="2" name="Account" queryTableFieldId="20" dataDxfId="27"/>
    <tableColumn id="3" xr3:uid="{D82F61C4-155C-4AFE-B31F-722E2DA4D563}" uniqueName="3" name="Customer" queryTableFieldId="21" dataDxfId="26"/>
    <tableColumn id="4" xr3:uid="{77097CFD-EEDB-444A-8BF7-56382197F579}" uniqueName="4" name="Customer Name" queryTableFieldId="4"/>
    <tableColumn id="5" xr3:uid="{DF00E28A-64AA-47F5-AC8B-1125F8C4B93E}" uniqueName="5" name="Old Route" queryTableFieldId="22" dataDxfId="25"/>
    <tableColumn id="6" xr3:uid="{F2AF17CE-7882-4C41-B112-1ED25B7708DA}" uniqueName="6" name="Old Delivery Day" queryTableFieldId="6" dataDxfId="24"/>
    <tableColumn id="7" xr3:uid="{3694B49F-D813-4FAB-8F5F-1048276A87AB}" uniqueName="7" name="Frequency" queryTableFieldId="7" dataDxfId="23"/>
    <tableColumn id="8" xr3:uid="{D6926979-A41C-4EAE-A601-A6CB85084639}" uniqueName="8" name="New Route" queryTableFieldId="23" dataDxfId="22"/>
    <tableColumn id="9" xr3:uid="{7792DCCD-81E2-4141-B9EE-F9F55997DB39}" uniqueName="9" name="New Delivery Day" queryTableFieldId="9" dataDxfId="21"/>
    <tableColumn id="10" xr3:uid="{83B1BC88-9F23-43E8-99A7-10D62F11761C}" uniqueName="10" name="New Frequency" queryTableFieldId="10" dataDxfId="20"/>
    <tableColumn id="12" xr3:uid="{8DDD0D58-7D5A-4EDE-AF8F-E0994B2A7546}" uniqueName="12" name="Old Stop" queryTableFieldId="28"/>
    <tableColumn id="11" xr3:uid="{2C098F46-FA1F-46CB-B8FA-0F549556B1A6}" uniqueName="11" name="Alliant Sequence" queryTableFieldId="19" dataDxfId="19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69A93E-F563-430E-AF67-149205695E2A}" name="DE_List_Week_1" displayName="DE_List_Week_1" ref="A1:L35" tableType="queryTable" totalsRowShown="0" headerRowDxfId="153" dataDxfId="152">
  <autoFilter ref="A1:L35" xr:uid="{8A69A93E-F563-430E-AF67-149205695E2A}"/>
  <tableColumns count="12">
    <tableColumn id="1" xr3:uid="{1748A3DE-BFF1-4162-B059-CE088D537A19}" uniqueName="1" name="cu_id" queryTableFieldId="1" dataDxfId="9"/>
    <tableColumn id="2" xr3:uid="{5ADFB585-FE2A-49DD-848B-B61A66CE0C67}" uniqueName="2" name="Account" queryTableFieldId="20" dataDxfId="8"/>
    <tableColumn id="3" xr3:uid="{5DFEC588-2992-45FC-ADB4-F773F7E17D89}" uniqueName="3" name="Customer" queryTableFieldId="21" dataDxfId="7"/>
    <tableColumn id="4" xr3:uid="{FA492AC8-1357-47FF-9A43-6B4EFB115087}" uniqueName="4" name="Customer Name" queryTableFieldId="4"/>
    <tableColumn id="5" xr3:uid="{AF81930C-BE7B-472F-BF32-C60C3F4E61A3}" uniqueName="5" name="Old Route" queryTableFieldId="22" dataDxfId="6"/>
    <tableColumn id="6" xr3:uid="{308C585C-A3E8-45AC-A7A4-8F5C9F0CC36E}" uniqueName="6" name="Old Delivery Day" queryTableFieldId="6" dataDxfId="5"/>
    <tableColumn id="7" xr3:uid="{17940267-368D-449C-A4F9-65FB96338EDB}" uniqueName="7" name="Frequency" queryTableFieldId="7" dataDxfId="4"/>
    <tableColumn id="8" xr3:uid="{BFD9EEF2-80D0-4BF6-943A-F5E7328346CC}" uniqueName="8" name="New Route" queryTableFieldId="23" dataDxfId="3"/>
    <tableColumn id="9" xr3:uid="{EBB2E622-880E-4CA1-8B31-B02C6A1C7703}" uniqueName="9" name="New Delivery Day" queryTableFieldId="9" dataDxfId="2"/>
    <tableColumn id="10" xr3:uid="{A4ABE384-7A0D-491E-9766-539FB0413F44}" uniqueName="10" name="New Frequency" queryTableFieldId="10" dataDxfId="1"/>
    <tableColumn id="12" xr3:uid="{3A247004-F801-42C1-AE5B-04DF57687436}" uniqueName="12" name="Old Stop" queryTableFieldId="28"/>
    <tableColumn id="11" xr3:uid="{6904BB4B-1CB6-49DD-A2D5-EA660048F223}" uniqueName="11" name="Alliant Sequence" queryTableFieldId="19" dataDxfId="0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BF68F87-2C34-437C-BA20-EB5972C51CB1}" name="Table_Serivce_Garments_by_New_Day" displayName="Table_Serivce_Garments_by_New_Day" ref="A4:I83" tableType="queryTable" totalsRowShown="0" headerRowDxfId="151">
  <autoFilter ref="A4:I83" xr:uid="{FBF68F87-2C34-437C-BA20-EB5972C51CB1}"/>
  <tableColumns count="9">
    <tableColumn id="1" xr3:uid="{EAFB9E4F-8A53-45EA-9EB0-17A6AA16DF1D}" uniqueName="1" name="Account" queryTableFieldId="1" dataDxfId="150"/>
    <tableColumn id="2" xr3:uid="{3B22D77D-5824-47F1-A738-CCE4A15AA3DE}" uniqueName="2" name="Customer" queryTableFieldId="2" dataDxfId="149"/>
    <tableColumn id="3" xr3:uid="{071D3B3B-A0F0-4390-82FF-A39B39A45D2B}" uniqueName="3" name="New Route Day" queryTableFieldId="3" dataDxfId="148"/>
    <tableColumn id="5" xr3:uid="{B6332F3C-A5A0-46B3-B83C-70E92201D20D}" uniqueName="5" name="Old Route Day" queryTableFieldId="5" dataDxfId="147"/>
    <tableColumn id="6" xr3:uid="{B239ABF1-34EE-4F97-B721-2F7E073F474B}" uniqueName="6" name="Customer Name" queryTableFieldId="6" dataDxfId="146"/>
    <tableColumn id="7" xr3:uid="{79B47518-2519-4550-AAAA-26D3470D2288}" uniqueName="7" name="Frequency" queryTableFieldId="7" dataDxfId="145"/>
    <tableColumn id="8" xr3:uid="{489B8657-1A30-40D2-942A-428D3FAD2275}" uniqueName="8" name="Garment Inventory" queryTableFieldId="8" dataDxfId="144"/>
    <tableColumn id="9" xr3:uid="{5283FAD4-CBFE-4BE8-826D-66D644856638}" uniqueName="9" name="Wearer Count" queryTableFieldId="9" dataDxfId="143"/>
    <tableColumn id="10" xr3:uid="{5124B99A-CA21-458C-AA1E-A4BE6F4A922C}" uniqueName="10" name="Average Weekly Garment Soil Scans" queryTableFieldId="10" dataDxfId="14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7B0E24-2DF2-4113-81E6-A63F14F84155}" name="Table_Service_Retapes_by_day" displayName="Table_Service_Retapes_by_day" ref="A4:J54" tableType="queryTable" totalsRowShown="0" headerRowDxfId="141">
  <autoFilter ref="A4:J54" xr:uid="{697B0E24-2DF2-4113-81E6-A63F14F84155}"/>
  <tableColumns count="10">
    <tableColumn id="1" xr3:uid="{222971B7-84F5-46A1-90DA-73B9C8971144}" uniqueName="1" name="Old Route Day" queryTableFieldId="1" dataDxfId="140"/>
    <tableColumn id="2" xr3:uid="{EA07C28C-00C9-4656-84FF-25370CF98B95}" uniqueName="2" name="Account" queryTableFieldId="2" dataDxfId="139"/>
    <tableColumn id="3" xr3:uid="{542857AB-0C7B-43BE-BFFA-CD67E03CDB67}" uniqueName="3" name="Customer" queryTableFieldId="3" dataDxfId="138"/>
    <tableColumn id="4" xr3:uid="{307B0468-B216-4DBB-A39A-F089AC25586C}" uniqueName="4" name="New Route Day" queryTableFieldId="4" dataDxfId="137"/>
    <tableColumn id="5" xr3:uid="{E7B9D7FF-8B1A-4DE0-A704-2880EEA5B05F}" uniqueName="5" name="Customer Name" queryTableFieldId="5"/>
    <tableColumn id="6" xr3:uid="{1A7E5D94-2815-4304-A45A-60D808814F82}" uniqueName="6" name="Frequency" queryTableFieldId="6" dataDxfId="136"/>
    <tableColumn id="7" xr3:uid="{BD8582BD-5D58-46CE-81CB-32293725CD74}" uniqueName="7" name="Retape Inventory" queryTableFieldId="7" dataDxfId="135"/>
    <tableColumn id="8" xr3:uid="{78743EFF-F585-42CA-9C1E-B06750F4B1B9}" uniqueName="8" name="Garments Days to Turn Around" queryTableFieldId="8" dataDxfId="134"/>
    <tableColumn id="9" xr3:uid="{60D24C06-E059-4519-906F-A77BBC7857E1}" uniqueName="9" name="Days Between Regular Deliverys" queryTableFieldId="9" dataDxfId="133"/>
    <tableColumn id="10" xr3:uid="{93704B0D-1FB4-4E7E-88FE-9C698484EC01}" uniqueName="10" name="Special Garment pu/do" queryTableFieldId="10" dataDxfId="13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D9FEB88-41E5-493D-92D3-C1A224413C5E}" name="Table_Retape_Listing" displayName="Table_Retape_Listing" ref="A1:M62" tableType="queryTable" totalsRowShown="0" headerRowDxfId="131">
  <autoFilter ref="A1:M62" xr:uid="{8D9FEB88-41E5-493D-92D3-C1A224413C5E}"/>
  <sortState xmlns:xlrd2="http://schemas.microsoft.com/office/spreadsheetml/2017/richdata2" ref="A2:M62">
    <sortCondition ref="B1:B62"/>
  </sortState>
  <tableColumns count="13">
    <tableColumn id="1" xr3:uid="{4D22D1E8-43B9-4BF3-BD91-03DA62DCC610}" uniqueName="1" name="cu_id" queryTableFieldId="1"/>
    <tableColumn id="2" xr3:uid="{6D164412-2417-4A8D-815D-14F91909C6B5}" uniqueName="2" name="Old Route" queryTableFieldId="18" dataDxfId="39"/>
    <tableColumn id="3" xr3:uid="{98CF24FB-1138-488E-B65E-7D80C86062C5}" uniqueName="3" name="Old Delivery Day" queryTableFieldId="3" dataDxfId="38"/>
    <tableColumn id="4" xr3:uid="{B20EC123-DB32-44C4-8B49-C4FEB161890B}" uniqueName="4" name="Account" queryTableFieldId="19" dataDxfId="37"/>
    <tableColumn id="5" xr3:uid="{986FEEAC-93BD-4373-B10A-6A0AE24B1C65}" uniqueName="5" name="Customer" queryTableFieldId="20" dataDxfId="36"/>
    <tableColumn id="6" xr3:uid="{CFD4A314-D80F-4A55-927B-D183CA8C4508}" uniqueName="6" name="New Route" queryTableFieldId="21" dataDxfId="35"/>
    <tableColumn id="7" xr3:uid="{B22B00B8-FC25-4178-B2D0-CB998230C9C0}" uniqueName="7" name="New Delivery Day" queryTableFieldId="7" dataDxfId="34"/>
    <tableColumn id="8" xr3:uid="{0548C75F-EF20-4679-B103-BDCCFDD93630}" uniqueName="8" name="Customer Name" queryTableFieldId="8"/>
    <tableColumn id="9" xr3:uid="{BA8077B0-8132-4718-AE30-21C547660810}" uniqueName="9" name="Frequency" queryTableFieldId="9" dataDxfId="33"/>
    <tableColumn id="10" xr3:uid="{7641BCD7-2871-48EE-9D5C-E5DF3E39F18E}" uniqueName="10" name="Retape Inventory" queryTableFieldId="10" dataDxfId="32"/>
    <tableColumn id="11" xr3:uid="{4BF2C7F5-E1BC-49D8-B3CD-1ECB57530B11}" uniqueName="11" name="Garments Days to Turn Around" queryTableFieldId="15" dataDxfId="31"/>
    <tableColumn id="12" xr3:uid="{D8202D1F-3BE6-4DDB-B097-B639E81CC182}" uniqueName="12" name="Days Between Regular Deliverys" queryTableFieldId="16" dataDxfId="30"/>
    <tableColumn id="13" xr3:uid="{D46A46A4-8635-4358-8ECB-EA855D1C2D02}" uniqueName="13" name="Special Garment pu/do" queryTableFieldId="17" dataDxfId="29"/>
  </tableColumns>
  <tableStyleInfo name="TableStyleMedium1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ACF150-D5FA-47CB-811F-FAF28C90A66A}" name="Table_Current_Iteration_Unique" displayName="Table_Current_Iteration_Unique" ref="A1:BK183" tableType="queryTable" totalsRowShown="0">
  <autoFilter ref="A1:BK183" xr:uid="{31ACF150-D5FA-47CB-811F-FAF28C90A66A}">
    <filterColumn colId="5">
      <filters>
        <filter val="78"/>
      </filters>
    </filterColumn>
  </autoFilter>
  <tableColumns count="63">
    <tableColumn id="1" xr3:uid="{C61B570D-AA2C-4C07-89BC-AE66B3F993B1}" uniqueName="1" name="cu_id" queryTableFieldId="1" dataDxfId="130"/>
    <tableColumn id="2" xr3:uid="{8D063E0E-3569-4671-97A5-8AAD98019D83}" uniqueName="2" name="Branch" queryTableFieldId="71"/>
    <tableColumn id="3" xr3:uid="{846D483E-92DE-452B-A392-99DA19861CBD}" uniqueName="3" name="Account" queryTableFieldId="72"/>
    <tableColumn id="4" xr3:uid="{0F03A529-464B-4A95-8DCC-50E30092FD03}" uniqueName="4" name="Customer" queryTableFieldId="73"/>
    <tableColumn id="5" xr3:uid="{F78E8AE9-4B3F-4FC0-93CF-C1A65AC61062}" uniqueName="5" name="Week" queryTableFieldId="74"/>
    <tableColumn id="9" xr3:uid="{03EE924B-D961-4973-92AC-9D63920B6833}" uniqueName="9" name="New Route" queryTableFieldId="75"/>
    <tableColumn id="6" xr3:uid="{F09526C2-B75C-4E89-B1D1-B9B03B9F2361}" uniqueName="6" name="New Delivery Day" queryTableFieldId="6" dataDxfId="129"/>
    <tableColumn id="7" xr3:uid="{3808A846-C99B-41DD-97C4-8ED0C0F42A39}" uniqueName="7" name="New Stop" queryTableFieldId="7"/>
    <tableColumn id="8" xr3:uid="{1F2574F5-B191-486D-BE4C-451D21ECD72B}" uniqueName="8" name="Alliant Sequence" queryTableFieldId="61"/>
    <tableColumn id="16" xr3:uid="{9557E55B-BCAC-471C-AD9E-34CB11F786E5}" uniqueName="16" name="Old Route" queryTableFieldId="76"/>
    <tableColumn id="10" xr3:uid="{8A93C0E6-CBDF-4976-9F25-7C3CCA5A893D}" uniqueName="10" name="Old Delivery Day" queryTableFieldId="10" dataDxfId="128"/>
    <tableColumn id="11" xr3:uid="{A32D7A3E-E592-419D-88CF-BD2806915052}" uniqueName="11" name="Old Stop" queryTableFieldId="11"/>
    <tableColumn id="12" xr3:uid="{DCE88913-3B63-41C1-A938-09D57D1040C4}" uniqueName="12" name="Customer Name" queryTableFieldId="12" dataDxfId="127"/>
    <tableColumn id="15" xr3:uid="{80DBA56F-99BD-474A-B8E8-05D4AA0C18F4}" uniqueName="15" name="Frequency" queryTableFieldId="15" dataDxfId="126"/>
    <tableColumn id="53" xr3:uid="{62C297AD-9C39-465A-96BB-297D72D465EB}" uniqueName="53" name="New Freq" queryTableFieldId="53" dataDxfId="125"/>
    <tableColumn id="13" xr3:uid="{0D18216A-8E7C-4910-92FA-2FF3D7B08C93}" uniqueName="13" name="Address" queryTableFieldId="13" dataDxfId="124"/>
    <tableColumn id="18" xr3:uid="{9263F665-96FB-4C4A-9488-F9490FA59ADB}" uniqueName="18" name="X_Longitude" queryTableFieldId="18"/>
    <tableColumn id="19" xr3:uid="{09660E2A-5D68-4554-8DE5-1F1B9E6BBCB6}" uniqueName="19" name="Y_Latitude" queryTableFieldId="19"/>
    <tableColumn id="35" xr3:uid="{631B90DF-3C13-43FD-AD0D-4CFC3196349C}" uniqueName="35" name="Garment Inventory" queryTableFieldId="35"/>
    <tableColumn id="17" xr3:uid="{A865903C-E44C-4268-8216-8B1F1785B94D}" uniqueName="17" name="Wearer Count" queryTableFieldId="77"/>
    <tableColumn id="20" xr3:uid="{C74AA589-BA5F-439B-9714-7C031FBA3569}" uniqueName="20" name="Total Assigned Garments" queryTableFieldId="78"/>
    <tableColumn id="21" xr3:uid="{C9A3AF97-CA04-4242-9661-A0F5D1A26E18}" uniqueName="21" name="Average Weekly Garment Soil Scans" queryTableFieldId="79"/>
    <tableColumn id="22" xr3:uid="{6D8A109F-36CB-4649-B92B-A7A71CF83D10}" uniqueName="22" name="Garment Underwash" queryTableFieldId="80"/>
    <tableColumn id="23" xr3:uid="{CFF76189-40FF-4680-BCB5-2EF6237B6796}" uniqueName="23" name="Q1 Average" queryTableFieldId="81"/>
    <tableColumn id="48" xr3:uid="{866AF69E-AF25-4CAC-A1C4-19D7AE62046C}" uniqueName="48" name="Q1 Weighted" queryTableFieldId="48"/>
    <tableColumn id="24" xr3:uid="{91F87B10-AEC5-4592-8E80-379DE4AF6896}" uniqueName="24" name="Q1 Low Deviation" queryTableFieldId="82"/>
    <tableColumn id="25" xr3:uid="{B94FC516-8097-42A8-BC59-1F8AE0322A2A}" uniqueName="25" name="Q1 High Deviation" queryTableFieldId="83"/>
    <tableColumn id="26" xr3:uid="{80034FE7-B1C5-4F80-B329-B7516659245F}" uniqueName="26" name="Q2 Average" queryTableFieldId="84"/>
    <tableColumn id="49" xr3:uid="{68DD81D6-E3A3-4192-B064-6098A5AE3275}" uniqueName="49" name="Q2 Weighted" queryTableFieldId="49"/>
    <tableColumn id="27" xr3:uid="{E51E9703-5C21-4D11-8D1B-3B1DBC846DDC}" uniqueName="27" name="Q2 Low Deviation" queryTableFieldId="85"/>
    <tableColumn id="28" xr3:uid="{6DE4761D-DA4E-4090-99D6-940AA2CC5F66}" uniqueName="28" name="Q2 High Deviation" queryTableFieldId="86"/>
    <tableColumn id="29" xr3:uid="{B14422F5-A255-49B4-A834-89A2E7C9F822}" uniqueName="29" name="Q3 Average" queryTableFieldId="87"/>
    <tableColumn id="50" xr3:uid="{0CEF5CAA-DCF1-481B-BE09-925B8CD90F90}" uniqueName="50" name="Q3 Weighted" queryTableFieldId="50"/>
    <tableColumn id="30" xr3:uid="{FF9C0D41-E10F-43BE-9404-21DDA7792998}" uniqueName="30" name="Q3 Low Deviation" queryTableFieldId="88"/>
    <tableColumn id="31" xr3:uid="{399D59F1-274B-4E40-994B-4E6C4DC6DE9D}" uniqueName="31" name="Q3 High Deviation" queryTableFieldId="89"/>
    <tableColumn id="32" xr3:uid="{C289DDE9-447E-40FF-8B33-BDC03AE7B443}" uniqueName="32" name="Q4 Average" queryTableFieldId="90"/>
    <tableColumn id="51" xr3:uid="{9650CE10-638B-47E0-880A-A7DA032FA1E2}" uniqueName="51" name="Q4 Weighted" queryTableFieldId="51"/>
    <tableColumn id="36" xr3:uid="{22C8951E-688E-440B-AACC-AEFBF42EFB71}" uniqueName="36" name="Q4 Low Deviation" queryTableFieldId="91"/>
    <tableColumn id="37" xr3:uid="{B6C70118-6228-4B74-80F1-0C76C8E022B3}" uniqueName="37" name="Q4 High Deviation" queryTableFieldId="92"/>
    <tableColumn id="46" xr3:uid="{9FA793C6-C67A-47D1-A0EC-359DFF58CD5A}" uniqueName="46" name="Service Notes" queryTableFieldId="93"/>
    <tableColumn id="38" xr3:uid="{35FD4FD1-1B3C-4A78-8508-B9981E3B0721}" uniqueName="38" name="Earliest Time - Window 1" queryTableFieldId="38" dataDxfId="123"/>
    <tableColumn id="39" xr3:uid="{2428B989-4F06-4BF6-9962-C22897A92EC5}" uniqueName="39" name="Latest Time - Window 1" queryTableFieldId="39" dataDxfId="122"/>
    <tableColumn id="40" xr3:uid="{D3E5615D-327F-4BD4-99FA-4E5388F3D564}" uniqueName="40" name="Earliest Time - Window 2" queryTableFieldId="40"/>
    <tableColumn id="41" xr3:uid="{39C1167D-C67E-47F8-A9F1-39E176FB6059}" uniqueName="41" name="Latest Time - Window 2" queryTableFieldId="41"/>
    <tableColumn id="42" xr3:uid="{02AB3302-B361-4B2A-993F-313695B3313C}" uniqueName="42" name="Available Delivery Days" queryTableFieldId="42" dataDxfId="121"/>
    <tableColumn id="33" xr3:uid="{10C83F33-3630-44E6-82BC-E5577FE86ECA}" uniqueName="33" name="MilesFromPrevious" queryTableFieldId="33"/>
    <tableColumn id="52" xr3:uid="{AB065E91-DD8C-4529-B427-62E383DFAAB8}" uniqueName="52" name="Arrival Times" queryTableFieldId="52" dataDxfId="120"/>
    <tableColumn id="60" xr3:uid="{2B62C15A-8EEE-4726-ABA0-B6D57A6FFF49}" uniqueName="60" name="Service Minutes" queryTableFieldId="94"/>
    <tableColumn id="14" xr3:uid="{2B380FBE-616C-454E-AA78-EB9D1C65BDC9}" uniqueName="14" name="MinutesFromPrevious" queryTableFieldId="14"/>
    <tableColumn id="61" xr3:uid="{0EDEA3F3-5977-4D7F-9785-DB7042CB95DF}" uniqueName="61" name="Wait Minutes" queryTableFieldId="95"/>
    <tableColumn id="43" xr3:uid="{29ED3C78-3B64-4C02-854B-768F64D1C6A7}" uniqueName="43" name="Is Route Changing" queryTableFieldId="43" dataDxfId="119"/>
    <tableColumn id="44" xr3:uid="{14533E65-1B3F-4A51-8621-E02540399B2C}" uniqueName="44" name="Is Day Changing" queryTableFieldId="44" dataDxfId="118"/>
    <tableColumn id="54" xr3:uid="{35D7399B-3443-4E39-8C30-C13B4C6325A5}" uniqueName="54" name="Is Frequency Changing?" queryTableFieldId="54" dataDxfId="117"/>
    <tableColumn id="45" xr3:uid="{EA411D93-D5AB-428A-AE13-79845B2C6547}" uniqueName="45" name="Is new Day feasible?" queryTableFieldId="45" dataDxfId="116"/>
    <tableColumn id="47" xr3:uid="{7C9721E5-1696-4A64-A9AB-BB7DEBA4D1BD}" uniqueName="47" name="Retape Needed?" queryTableFieldId="47"/>
    <tableColumn id="34" xr3:uid="{D16EF5AF-4D0A-4A95-A0F5-A5EAC6DCD7F8}" uniqueName="34" name="Garments Days to Turn Around" queryTableFieldId="64" dataDxfId="115"/>
    <tableColumn id="55" xr3:uid="{D7D08B72-BE5D-42E0-BEE9-84F2CB36ECD4}" uniqueName="55" name="Days Between Regular Deliverys" queryTableFieldId="65"/>
    <tableColumn id="56" xr3:uid="{911819EC-93F4-4328-8CE4-C4B61E24C0EE}" uniqueName="56" name="Special Garment pu/do" queryTableFieldId="66" dataDxfId="114"/>
    <tableColumn id="57" xr3:uid="{E0D115D2-7957-45FF-8DB4-F059B262EF2F}" uniqueName="57" name="Long Gap (8-9Days) Consider Special delivery" queryTableFieldId="67" dataDxfId="113"/>
    <tableColumn id="63" xr3:uid="{ABC9CC6C-B84B-43ED-A7E3-4E2D89E4F0C7}" uniqueName="63" name="Hold/Seasonal" queryTableFieldId="139" dataDxfId="112"/>
    <tableColumn id="58" xr3:uid="{6BC82684-52F4-4138-B719-99AD21F0B848}" uniqueName="58" name="Short Gap (6-7days) Consider leaving extra product" queryTableFieldId="68" dataDxfId="111"/>
    <tableColumn id="59" xr3:uid="{A42B902F-A98B-45DD-B565-9C56A86E9355}" uniqueName="59" name="Special invoice needed to have invoice live week" queryTableFieldId="69" dataDxfId="110"/>
    <tableColumn id="62" xr3:uid="{701D84FB-2349-43DB-B0F3-DC2184BEC03F}" uniqueName="62" name="Is Customer Changing?" queryTableFieldId="138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DFC15C4-85BC-4F28-A056-36147E9A57A6}" name="Table21" displayName="Table21" ref="H2:H48" totalsRowShown="0">
  <autoFilter ref="H2:H48" xr:uid="{DDFC15C4-85BC-4F28-A056-36147E9A57A6}"/>
  <tableColumns count="1">
    <tableColumn id="1" xr3:uid="{6D6DE5E6-5BB1-43E9-B3D4-DA3742974338}" name="Column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FBDBCD4-0023-4C62-A807-0565DBB961B3}" name="Table21_2" displayName="Table21_2" ref="J2:BQ48" totalsRowShown="0">
  <autoFilter ref="J2:BQ48" xr:uid="{7FBDBCD4-0023-4C62-A807-0565DBB961B3}"/>
  <sortState xmlns:xlrd2="http://schemas.microsoft.com/office/spreadsheetml/2017/richdata2" ref="J3:BQ48">
    <sortCondition ref="T2:T48"/>
  </sortState>
  <tableColumns count="60">
    <tableColumn id="1" xr3:uid="{D55C2414-1DCB-4331-93CD-3543ED39CEBF}" name="Column1" dataDxfId="109"/>
    <tableColumn id="2" xr3:uid="{42ECD085-C981-4AF5-89D8-4792ECDE2040}" name="Cu_ID" dataDxfId="108"/>
    <tableColumn id="3" xr3:uid="{BF97EDAD-7831-4772-96C0-AB203292E4C6}" name="Acct #"/>
    <tableColumn id="4" xr3:uid="{7BC2B014-2B4D-423D-B6EE-0B89EA0A2DF1}" name="Cust #"/>
    <tableColumn id="5" xr3:uid="{C0A73266-AFC7-4215-ABC8-59D0DE6B1185}" name="Week #" dataDxfId="107"/>
    <tableColumn id="6" xr3:uid="{2A750B23-C575-4D95-98FF-AE083CC12993}" name="New Rt"/>
    <tableColumn id="7" xr3:uid="{74462315-3A7E-40EC-BAD4-9048F63F3E21}" name="New Delivery Day" dataDxfId="106"/>
    <tableColumn id="8" xr3:uid="{1445193F-48AC-4B70-8C33-94E28F4B5CF1}" name="New Stop"/>
    <tableColumn id="9" xr3:uid="{3C573826-663C-469A-B233-3198D6B741FC}" name="Alliant Sequence"/>
    <tableColumn id="10" xr3:uid="{CF7648A5-D933-45BA-B540-0B5D0FCDED6D}" name="Old Rt #"/>
    <tableColumn id="11" xr3:uid="{30618705-1AAD-4A74-8D5C-8DB0ACAEF0C6}" name="Old Delivery Day" dataDxfId="105"/>
    <tableColumn id="12" xr3:uid="{C2196694-D840-4626-8929-317780B84817}" name="Old Stop"/>
    <tableColumn id="13" xr3:uid="{3ED3CFF1-1F31-4C2C-AD03-D8603E386F1F}" name="Customer Name" dataDxfId="104"/>
    <tableColumn id="14" xr3:uid="{04CCCAA2-E4BC-4B4C-8FBF-45074DAE9E8E}" name="Address" dataDxfId="103"/>
    <tableColumn id="15" xr3:uid="{7CC0C4F3-9FAF-43E7-BA35-1C8CC771D249}" name="MinutesFromPrevious"/>
    <tableColumn id="16" xr3:uid="{4B7F4A32-B6D1-437B-842B-F8FDEB4D69FA}" name="Frequency"/>
    <tableColumn id="17" xr3:uid="{D4634663-A55A-4DB9-86EA-1304BF0E4EA9}" name="WaitMinutes"/>
    <tableColumn id="18" xr3:uid="{B50A3ADE-F44E-4154-B27B-471A13CD425A}" name="ServiceMinutes"/>
    <tableColumn id="19" xr3:uid="{F5FD49A5-C0E6-4C77-84A2-6F65660968E7}" name="X_Longitude"/>
    <tableColumn id="20" xr3:uid="{0EF63A2B-1472-4C43-B513-B06B24838BDB}" name="Y_Latitude"/>
    <tableColumn id="21" xr3:uid="{59EB164E-4E4F-4050-BC7E-7C24AE2361B4}" name="# of Wearers"/>
    <tableColumn id="22" xr3:uid="{E2BCB472-CAE3-4F1D-9E54-CAF60FC3095D}" name="Q1 Low Revenue Deviation"/>
    <tableColumn id="23" xr3:uid="{F5215F5B-9033-4931-AA8D-FF9FDB459C54}" name="Q1 High Revenue Deviation"/>
    <tableColumn id="24" xr3:uid="{D55F5BF5-37C3-4BD4-A53E-DA3EFB823B68}" name="Q2 Low Revenue Deviation"/>
    <tableColumn id="25" xr3:uid="{D89FB1D0-79BE-48FF-80D7-0AE021697FE1}" name="Q2 High Revenue Deviation"/>
    <tableColumn id="26" xr3:uid="{9CDA41EF-A6FE-4097-9517-6E007CF428F0}" name="Q3 Low Revenue Deviation"/>
    <tableColumn id="27" xr3:uid="{CFBA32F3-00E9-4584-A390-2D25CE5DE504}" name="Q3 High Revenue Deviation"/>
    <tableColumn id="28" xr3:uid="{48166B18-61BA-42D8-A910-98C075964CC2}" name="Q4 Low Revenue Deviation"/>
    <tableColumn id="29" xr3:uid="{EE26F5CA-BF2C-457B-AE68-951635FFF8CA}" name="Q4 High Revenue Deviation"/>
    <tableColumn id="30" xr3:uid="{01325B2B-E44D-4D83-B6EB-A8DAE714CEC1}" name="Q1 Revenue per Delivery"/>
    <tableColumn id="31" xr3:uid="{9A071A47-12B8-4EB2-8713-85937CFC3ACB}" name="Q2 Revenue per Delivery"/>
    <tableColumn id="32" xr3:uid="{97C86AB6-AD77-4065-B81C-BC9AE9EAFFE9}" name="Q3 Revenue per Delivery"/>
    <tableColumn id="33" xr3:uid="{377A3947-38AA-4FF7-8F65-5E6C1297A763}" name="Q4 Revenue per Delivery"/>
    <tableColumn id="34" xr3:uid="{F40015FC-B815-4848-808D-B0EA2877E06D}" name="MilesFromPrevious"/>
    <tableColumn id="35" xr3:uid="{D39B0AA1-5C0C-4188-9309-A84995CF4FB6}" name="Garment Inventory"/>
    <tableColumn id="36" xr3:uid="{E54D4871-4031-4090-8399-C3D6A34A7602}" name="Avg Garment Scans per Delivery"/>
    <tableColumn id="37" xr3:uid="{35DE5F7B-1706-4246-96E4-A863CA51A1A1}" name="% Garment Underwash"/>
    <tableColumn id="38" xr3:uid="{2D3BE9CC-BADE-4AC2-B980-8942FF02C0EC}" name="Earliest Time - Window 1" dataDxfId="102"/>
    <tableColumn id="39" xr3:uid="{FD3D062C-7A29-4F52-BFA4-66A350B30166}" name="Latest Time - Window 1" dataDxfId="101"/>
    <tableColumn id="40" xr3:uid="{DE0211B6-E64F-4DB3-9CE3-98A5B74B5431}" name="Earliest Time - Window 2"/>
    <tableColumn id="41" xr3:uid="{368BB339-861A-4FAA-B469-AE7726A23849}" name="Is Customer Changing?" dataDxfId="100"/>
    <tableColumn id="42" xr3:uid="{50A92953-C37A-4743-9AC0-FAD7DC0478D6}" name="Latest Time - Window 2"/>
    <tableColumn id="43" xr3:uid="{45B20FD9-5651-43DA-9F22-5AF7D29E368A}" name="Available Delivery Days" dataDxfId="99"/>
    <tableColumn id="44" xr3:uid="{CAA8AF7B-7638-4997-88C5-4254EB58EBBC}" name="Is Route Changing" dataDxfId="98"/>
    <tableColumn id="45" xr3:uid="{27A38AC7-6F2A-476D-9900-C04E54593D67}" name="Is Day Changing" dataDxfId="97"/>
    <tableColumn id="46" xr3:uid="{D4907CA8-3A03-46C8-A627-92F1882A5D31}" name="Is new Day feasible?" dataDxfId="96"/>
    <tableColumn id="47" xr3:uid="{6CECD51E-C559-4B22-B1F2-4A3C876629B7}" name="Retape Needed?"/>
    <tableColumn id="48" xr3:uid="{A3369531-6E81-41C0-99F5-A6F6533BCAF8}" name="Q1 Weighted"/>
    <tableColumn id="49" xr3:uid="{7A9B7D7C-0B48-4632-B7CE-0BD0DE6DB8E4}" name="Q2 Weighted"/>
    <tableColumn id="50" xr3:uid="{D76671F2-F20B-49F1-85A3-DD84EB3C8CCC}" name="Q3 Weighted"/>
    <tableColumn id="51" xr3:uid="{1C4E7C27-5AE6-41A7-B440-FC675FA6F67B}" name="Q4 Weighted"/>
    <tableColumn id="52" xr3:uid="{EF0EECC8-8D9F-4865-BFAA-BB1FFB88BA2F}" name="Arrival Times" dataDxfId="95"/>
    <tableColumn id="53" xr3:uid="{244EDEAE-BF12-4D27-83A6-30BE62E1BA84}" name="New Freq"/>
    <tableColumn id="54" xr3:uid="{BFD9687F-BB34-496E-BA9D-5913DD415FDB}" name="Is Frequency Changing?" dataDxfId="94"/>
    <tableColumn id="55" xr3:uid="{791EF723-A154-4089-B5F7-89E34834302F}" name="Garments Days to Turn Around" dataDxfId="93"/>
    <tableColumn id="56" xr3:uid="{B5788685-C146-440D-A14A-80829FE146C4}" name="Days Between Regular Deliverys"/>
    <tableColumn id="57" xr3:uid="{BFD706C9-1564-4FE3-81D9-98F0BBE063D9}" name="Special Garment pu/do" dataDxfId="92"/>
    <tableColumn id="58" xr3:uid="{661EAE62-5F40-4AC2-BBD3-25A9728D4CD4}" name="Long Gap (8-9Days) Consider Special delivery" dataDxfId="91"/>
    <tableColumn id="59" xr3:uid="{B1745525-FE5F-4A6C-98C6-58CDDB146D2D}" name="Short Gap (6-7days) Consider leaving extra product" dataDxfId="90"/>
    <tableColumn id="60" xr3:uid="{2C3B27F4-4D93-4509-AEA5-71E3911D9B45}" name="Special invoice needed to have invoice live week" dataDxfId="89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33ACF7F-D91B-4EC2-A134-623084907F5A}" name="Service_Surveys" displayName="Service_Surveys" ref="A4:O524" tableType="queryTable" totalsRowShown="0" headerRowDxfId="88" dataDxfId="87">
  <autoFilter ref="A4:O524" xr:uid="{433ACF7F-D91B-4EC2-A134-623084907F5A}"/>
  <sortState xmlns:xlrd2="http://schemas.microsoft.com/office/spreadsheetml/2017/richdata2" ref="A5:N959">
    <sortCondition ref="A5:A959"/>
    <sortCondition ref="B5:B959"/>
    <sortCondition ref="D5:D959"/>
  </sortState>
  <tableColumns count="15">
    <tableColumn id="1" xr3:uid="{77CE738E-3C24-4B46-82E1-5A20CDB3D8A9}" uniqueName="1" name="Route Day" queryTableFieldId="1" dataDxfId="86"/>
    <tableColumn id="2" xr3:uid="{54671126-AAE6-418E-A034-E9C53E2D3374}" uniqueName="2" name="Account" queryTableFieldId="2" dataDxfId="85"/>
    <tableColumn id="3" xr3:uid="{976CFD9D-3630-489B-8964-B1406D08F1E3}" uniqueName="3" name="Customer" queryTableFieldId="3" dataDxfId="84"/>
    <tableColumn id="4" xr3:uid="{C275D719-742D-4078-94E4-361039365A0F}" uniqueName="4" name="Customer Name" queryTableFieldId="4" dataDxfId="83"/>
    <tableColumn id="5" xr3:uid="{7A7E2B99-6758-4992-AFF0-D442A2AC9928}" uniqueName="5" name="Address" queryTableFieldId="5" dataDxfId="82"/>
    <tableColumn id="6" xr3:uid="{2A96EA7C-00E1-4D18-AC06-19FD999CBAA7}" uniqueName="6" name="Frequency" queryTableFieldId="6" dataDxfId="81"/>
    <tableColumn id="7" xr3:uid="{98218775-E410-4726-90FC-ADA12B07F180}" uniqueName="7" name="Hold/Seasonal" queryTableFieldId="7" dataDxfId="80"/>
    <tableColumn id="8" xr3:uid="{196D122C-3BF6-4C00-8FA7-8CD0DF76BCA9}" uniqueName="8" name="Earliest Time - Window 1" queryTableFieldId="8" dataDxfId="79"/>
    <tableColumn id="9" xr3:uid="{7540885D-7372-43DF-A3B2-B74F90348C8B}" uniqueName="9" name="Latest Time - Window 1" queryTableFieldId="9" dataDxfId="78"/>
    <tableColumn id="10" xr3:uid="{A00972C6-4E43-4DE7-AE28-E5524BCB093C}" uniqueName="10" name="Earliest Time - Window 2" queryTableFieldId="10" dataDxfId="77"/>
    <tableColumn id="11" xr3:uid="{2825CFC0-5DF5-4C8C-95C1-12F2CCA0B64B}" uniqueName="11" name="Latest Time - Window 2" queryTableFieldId="11" dataDxfId="76"/>
    <tableColumn id="12" xr3:uid="{D34DF431-3748-4A66-87D1-444758D3B797}" uniqueName="12" name="Do we have Outside Hours Access" queryTableFieldId="12" dataDxfId="75"/>
    <tableColumn id="13" xr3:uid="{9AE91F1B-80A5-4DAC-963F-E663FE65B5A5}" uniqueName="13" name="Available Delivery Days" queryTableFieldId="13" dataDxfId="74"/>
    <tableColumn id="14" xr3:uid="{DA55E96C-C795-4ED6-9951-C98C7EFBD580}" uniqueName="14" name="Average Stop Time" queryTableFieldId="14" dataDxfId="73"/>
    <tableColumn id="15" xr3:uid="{B39ED603-E1DF-4CC8-870A-6AFEEF333DCB}" uniqueName="15" name="RSP StopTime Override" queryTableFieldId="15" dataDxfId="72"/>
  </tableColumns>
  <tableStyleInfo name="TableStyleMedium14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63444B4-0885-4F32-895C-44BFD21408EF}" name="Primary_Customer_Listing_SQL_IN" displayName="Primary_Customer_Listing_SQL_IN" ref="A1:AP178" tableType="queryTable" totalsRowShown="0">
  <autoFilter ref="A1:AP178" xr:uid="{563444B4-0885-4F32-895C-44BFD21408EF}"/>
  <tableColumns count="42">
    <tableColumn id="1" xr3:uid="{63BEA36C-34B3-492D-924B-68B5EB946A23}" uniqueName="1" name="cu_id" queryTableFieldId="1" dataDxfId="71"/>
    <tableColumn id="2" xr3:uid="{33366D40-3D17-4DC7-8527-9B4540205C4B}" uniqueName="2" name="Branch" queryTableFieldId="2" dataDxfId="70"/>
    <tableColumn id="42" xr3:uid="{87E3CF97-1E07-42DA-9B25-089AEDEEA97C}" uniqueName="42" name="Current Route" queryTableFieldId="42" dataDxfId="69"/>
    <tableColumn id="43" xr3:uid="{DB01ABA7-BF5C-4C19-BFC3-F7461D87CCC8}" uniqueName="43" name="Current Delivery Day" queryTableFieldId="43" dataDxfId="68"/>
    <tableColumn id="5" xr3:uid="{DD117FEC-6367-4268-B655-8853580C2397}" uniqueName="5" name="Account" queryTableFieldId="5" dataDxfId="67"/>
    <tableColumn id="6" xr3:uid="{C2CE67CE-807D-4E5D-B7A7-7D04105A3416}" uniqueName="6" name="Customer" queryTableFieldId="6" dataDxfId="66"/>
    <tableColumn id="7" xr3:uid="{F47D0B5F-02A0-4379-8EF4-7BD8EA69C557}" uniqueName="7" name="Customer Name" queryTableFieldId="7" dataDxfId="65"/>
    <tableColumn id="8" xr3:uid="{1AB8784C-1CE2-4546-8C41-E1B2E46883A9}" uniqueName="8" name="Street Address 1" queryTableFieldId="8" dataDxfId="64"/>
    <tableColumn id="9" xr3:uid="{87A59A69-BBB7-4439-8230-66B5EB1A17B7}" uniqueName="9" name="Street Address 2" queryTableFieldId="9" dataDxfId="63"/>
    <tableColumn id="10" xr3:uid="{81B10533-ECFA-46A7-A7C9-4E72EC5D5403}" uniqueName="10" name="City" queryTableFieldId="10" dataDxfId="62"/>
    <tableColumn id="11" xr3:uid="{E076BC33-B1B1-473A-9E41-91C4FCA4090E}" uniqueName="11" name="State" queryTableFieldId="11" dataDxfId="61"/>
    <tableColumn id="12" xr3:uid="{13DB233F-498A-4B76-AEA2-67781E776795}" uniqueName="12" name="Zip" queryTableFieldId="12" dataDxfId="60"/>
    <tableColumn id="13" xr3:uid="{BA209A3D-75B2-43EB-90AE-50FE257E02A8}" uniqueName="13" name="Frequency" queryTableFieldId="13" dataDxfId="59"/>
    <tableColumn id="44" xr3:uid="{D01681B4-FB9C-4FE2-AB42-22531CDA62FC}" uniqueName="44" name="Stop" queryTableFieldId="44" dataDxfId="58"/>
    <tableColumn id="15" xr3:uid="{89D77807-3A45-4B99-B510-3D65022D3B73}" uniqueName="15" name="Invoice Count" queryTableFieldId="15" dataDxfId="57"/>
    <tableColumn id="16" xr3:uid="{EE3982B9-F5DC-4A1E-AC84-92EA8BBBC9B8}" uniqueName="16" name="Garment Inventory" queryTableFieldId="16" dataDxfId="56"/>
    <tableColumn id="17" xr3:uid="{63BBBAB0-86BC-41EF-A233-E20AE8BF9DC6}" uniqueName="17" name="Garment Underwash" queryTableFieldId="17" dataDxfId="55"/>
    <tableColumn id="18" xr3:uid="{F9FD6FE3-C3F6-4FC0-BE43-AEE1BF10B489}" uniqueName="18" name="Average Weekly Garment Soil Scans" queryTableFieldId="18" dataDxfId="54"/>
    <tableColumn id="19" xr3:uid="{6C3BF328-CD1F-446C-878E-B5E1A9B872E0}" uniqueName="19" name="Wearer Count" queryTableFieldId="19" dataDxfId="53"/>
    <tableColumn id="20" xr3:uid="{28350141-DE21-440F-B7D8-BEC5E06212C7}" uniqueName="20" name="Total Assigned Garments" queryTableFieldId="20" dataDxfId="52"/>
    <tableColumn id="3" xr3:uid="{C39EE319-3C4B-4AA8-83A5-DB882B917CC8}" uniqueName="3" name="Hold/Seasonal" queryTableFieldId="48" dataDxfId="51"/>
    <tableColumn id="21" xr3:uid="{BDDF29C8-7DEC-45ED-B786-3805606A0A79}" uniqueName="21" name="Earliest Time - Window 1" queryTableFieldId="21" dataDxfId="50"/>
    <tableColumn id="22" xr3:uid="{9AD990B5-BEC9-4427-9987-0B7F2F101AA2}" uniqueName="22" name="Latest Time - Window 1" queryTableFieldId="22" dataDxfId="49"/>
    <tableColumn id="23" xr3:uid="{4138D89D-9BDC-4F7F-957F-4D356BE2EA76}" uniqueName="23" name="Earliest Time - Window 2" queryTableFieldId="23" dataDxfId="48"/>
    <tableColumn id="24" xr3:uid="{216B6ABB-87A9-4E0A-9DA5-B26329150106}" uniqueName="24" name="Latest Time - Window 2" queryTableFieldId="24" dataDxfId="47"/>
    <tableColumn id="25" xr3:uid="{22E93C60-B1C4-40C6-BD66-9BC94B66188E}" uniqueName="25" name="Outside Hours Access" queryTableFieldId="25" dataDxfId="46"/>
    <tableColumn id="26" xr3:uid="{FDDA43CB-F798-49A9-B037-21122216D653}" uniqueName="26" name="Available Delivery Days" queryTableFieldId="26" dataDxfId="45"/>
    <tableColumn id="27" xr3:uid="{E4193370-8616-4119-A943-BEFD4C7BC703}" uniqueName="27" name="Average Stop Time" queryTableFieldId="27" dataDxfId="44"/>
    <tableColumn id="28" xr3:uid="{6AE93DD0-D889-4B28-A59A-025D326B4C7C}" uniqueName="28" name="RSP StopTime Override" queryTableFieldId="28" dataDxfId="43"/>
    <tableColumn id="29" xr3:uid="{14EF465A-B2CF-4302-AE9C-5C09B2BA361D}" uniqueName="29" name="Service Notes" queryTableFieldId="29" dataDxfId="42"/>
    <tableColumn id="30" xr3:uid="{39216777-34AB-4CD0-A51B-305999CE5342}" uniqueName="30" name="Q1 Average" queryTableFieldId="30"/>
    <tableColumn id="31" xr3:uid="{DA3BA538-6898-46BC-954A-6DA2CE757AE9}" uniqueName="31" name="Q1 High Deviation" queryTableFieldId="31"/>
    <tableColumn id="32" xr3:uid="{D2673FAC-1578-4B47-BD70-E322AE5D6028}" uniqueName="32" name="Q1 Low Deviation" queryTableFieldId="32"/>
    <tableColumn id="33" xr3:uid="{47D82161-44E5-4489-AA66-4F0961296CB0}" uniqueName="33" name="Q2 Average" queryTableFieldId="33"/>
    <tableColumn id="34" xr3:uid="{50EA0E2C-269C-4965-BC87-C8FD0C464E80}" uniqueName="34" name="Q2 High Deviation" queryTableFieldId="34"/>
    <tableColumn id="35" xr3:uid="{8ECBF524-93C1-49E7-8111-2D5952A4A753}" uniqueName="35" name="Q2 Low Deviation" queryTableFieldId="35"/>
    <tableColumn id="36" xr3:uid="{C208BE2F-FE74-477C-A30D-A502E36BBFD6}" uniqueName="36" name="Q3 Average" queryTableFieldId="36"/>
    <tableColumn id="37" xr3:uid="{90ED6D07-889F-4D64-A01D-0C690E1D7976}" uniqueName="37" name="Q3 High Deviation" queryTableFieldId="37"/>
    <tableColumn id="38" xr3:uid="{4F48E47D-92D1-4E83-8FF0-ED9748C5762D}" uniqueName="38" name="Q3 Low Deviation" queryTableFieldId="38"/>
    <tableColumn id="39" xr3:uid="{F7BFA146-94BD-491F-9E8F-D31054401B3B}" uniqueName="39" name="Q4 Average" queryTableFieldId="39"/>
    <tableColumn id="40" xr3:uid="{22D6A6B9-153A-40D1-8348-2ED0DBE6BCAD}" uniqueName="40" name="Q4 High Deviation" queryTableFieldId="40"/>
    <tableColumn id="41" xr3:uid="{2F172040-1415-47F8-91F1-9F16AA73BDBF}" uniqueName="41" name="Q4 Low Deviation" queryTableFieldId="41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35FD1FD-8DDD-4612-B013-6FCA21784831}" name="Update_stops_from_select_customers_to_update_stops" displayName="Update_stops_from_select_customers_to_update_stops" ref="E1:J2" tableType="queryTable" totalsRowShown="0">
  <autoFilter ref="E1:J2" xr:uid="{735FD1FD-8DDD-4612-B013-6FCA21784831}"/>
  <sortState xmlns:xlrd2="http://schemas.microsoft.com/office/spreadsheetml/2017/richdata2" ref="E2:J2">
    <sortCondition ref="E1:E2"/>
  </sortState>
  <tableColumns count="6">
    <tableColumn id="1" xr3:uid="{FCB39D9B-BDDB-45E6-95E1-00ABD546D178}" uniqueName="1" name="cu_id" queryTableFieldId="1" dataDxfId="41"/>
    <tableColumn id="2" xr3:uid="{0EEA38D9-19D0-4FE3-A8F2-8046AF55351F}" uniqueName="2" name="mon_stop" queryTableFieldId="2"/>
    <tableColumn id="3" xr3:uid="{B6104C9C-10A0-4D6A-961E-6B340FD30A94}" uniqueName="3" name="tue_stop" queryTableFieldId="3"/>
    <tableColumn id="4" xr3:uid="{6E474B14-DD5B-424C-98C3-F626986AE263}" uniqueName="4" name="wed_stop" queryTableFieldId="4"/>
    <tableColumn id="5" xr3:uid="{70C73B2D-9D7E-485A-9ED1-76C176FCB82E}" uniqueName="5" name="thu_stop" queryTableFieldId="5"/>
    <tableColumn id="6" xr3:uid="{4A84EC9E-0003-47D0-88AE-CA6908F37F77}" uniqueName="6" name="fri_stop" queryTableFieldId="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8E9953C-2BA1-4CD9-8DBD-876CE43B1DD1}" name="Table29" displayName="Table29" ref="A1:A390" totalsRowShown="0" tableBorderDxfId="40">
  <autoFilter ref="A1:A390" xr:uid="{B8E9953C-2BA1-4CD9-8DBD-876CE43B1DD1}"/>
  <sortState xmlns:xlrd2="http://schemas.microsoft.com/office/spreadsheetml/2017/richdata2" ref="A2:A390">
    <sortCondition ref="A1:A390"/>
  </sortState>
  <tableColumns count="1">
    <tableColumn id="1" xr3:uid="{C773C977-EAA1-4403-AECA-29974B30564F}" name="Cui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5.xml"/><Relationship Id="rId4" Type="http://schemas.openxmlformats.org/officeDocument/2006/relationships/ctrlProp" Target="../ctrlProps/ctrlProp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26.xml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0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CF431-A940-4172-A976-F43B4FC42D26}">
  <sheetPr codeName="Sheet31"/>
  <dimension ref="A1:D2"/>
  <sheetViews>
    <sheetView workbookViewId="0">
      <selection activeCell="D2" sqref="D2"/>
    </sheetView>
  </sheetViews>
  <sheetFormatPr defaultRowHeight="14.4" x14ac:dyDescent="0.3"/>
  <cols>
    <col min="1" max="1" width="38.33203125" customWidth="1"/>
    <col min="2" max="2" width="53.33203125" customWidth="1"/>
    <col min="3" max="3" width="35" customWidth="1"/>
    <col min="4" max="4" width="25" customWidth="1"/>
  </cols>
  <sheetData>
    <row r="1" spans="1:4" x14ac:dyDescent="0.3">
      <c r="A1" t="s">
        <v>386</v>
      </c>
      <c r="B1" t="s">
        <v>385</v>
      </c>
      <c r="C1" t="s">
        <v>388</v>
      </c>
      <c r="D1" t="s">
        <v>584</v>
      </c>
    </row>
    <row r="2" spans="1:4" x14ac:dyDescent="0.3">
      <c r="A2" t="s">
        <v>399</v>
      </c>
      <c r="B2" t="s">
        <v>54</v>
      </c>
      <c r="C2" t="s">
        <v>396</v>
      </c>
      <c r="D2" t="s">
        <v>585</v>
      </c>
    </row>
  </sheetData>
  <dataValidations count="1">
    <dataValidation type="list" allowBlank="1" showInputMessage="1" showErrorMessage="1" sqref="B2" xr:uid="{3E91815F-92CF-4974-B3B6-3DFCF4BB7CE0}">
      <formula1>"Yes,No"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C1260-6392-471B-8490-845221DDB50F}">
  <sheetPr codeName="Sheet29"/>
  <dimension ref="A1:BK112"/>
  <sheetViews>
    <sheetView workbookViewId="0">
      <selection activeCell="O461" sqref="O461"/>
    </sheetView>
  </sheetViews>
  <sheetFormatPr defaultRowHeight="14.4" x14ac:dyDescent="0.3"/>
  <cols>
    <col min="1" max="1" width="7.77734375" bestFit="1" customWidth="1"/>
    <col min="2" max="2" width="9.109375" bestFit="1" customWidth="1"/>
    <col min="3" max="3" width="10.21875" bestFit="1" customWidth="1"/>
    <col min="4" max="4" width="11.33203125" bestFit="1" customWidth="1"/>
    <col min="5" max="5" width="8" bestFit="1" customWidth="1"/>
    <col min="6" max="6" width="12.44140625" bestFit="1" customWidth="1"/>
    <col min="7" max="7" width="18" bestFit="1" customWidth="1"/>
    <col min="8" max="8" width="11.33203125" bestFit="1" customWidth="1"/>
    <col min="9" max="9" width="17.33203125" bestFit="1" customWidth="1"/>
    <col min="10" max="10" width="11.5546875" bestFit="1" customWidth="1"/>
    <col min="11" max="11" width="17.109375" bestFit="1" customWidth="1"/>
    <col min="12" max="12" width="10.44140625" bestFit="1" customWidth="1"/>
    <col min="13" max="13" width="32" bestFit="1" customWidth="1"/>
    <col min="14" max="14" width="12" bestFit="1" customWidth="1"/>
    <col min="15" max="15" width="11.109375" bestFit="1" customWidth="1"/>
    <col min="16" max="16" width="49.6640625" bestFit="1" customWidth="1"/>
    <col min="17" max="17" width="13.77734375" bestFit="1" customWidth="1"/>
    <col min="18" max="18" width="12.109375" bestFit="1" customWidth="1"/>
    <col min="19" max="19" width="19.44140625" bestFit="1" customWidth="1"/>
    <col min="20" max="20" width="14.88671875" bestFit="1" customWidth="1"/>
    <col min="21" max="21" width="24.21875" bestFit="1" customWidth="1"/>
    <col min="22" max="22" width="33.77734375" bestFit="1" customWidth="1"/>
    <col min="23" max="23" width="20.77734375" bestFit="1" customWidth="1"/>
    <col min="24" max="24" width="12.88671875" bestFit="1" customWidth="1"/>
    <col min="25" max="25" width="14.109375" bestFit="1" customWidth="1"/>
    <col min="26" max="26" width="18" bestFit="1" customWidth="1"/>
    <col min="27" max="27" width="18.33203125" bestFit="1" customWidth="1"/>
    <col min="28" max="28" width="12.88671875" bestFit="1" customWidth="1"/>
    <col min="29" max="29" width="14.109375" bestFit="1" customWidth="1"/>
    <col min="30" max="30" width="18" bestFit="1" customWidth="1"/>
    <col min="31" max="31" width="18.33203125" bestFit="1" customWidth="1"/>
    <col min="32" max="32" width="12.88671875" bestFit="1" customWidth="1"/>
    <col min="33" max="33" width="14.109375" bestFit="1" customWidth="1"/>
    <col min="34" max="34" width="18" bestFit="1" customWidth="1"/>
    <col min="35" max="35" width="18.33203125" bestFit="1" customWidth="1"/>
    <col min="36" max="36" width="12.88671875" bestFit="1" customWidth="1"/>
    <col min="37" max="37" width="14.109375" bestFit="1" customWidth="1"/>
    <col min="38" max="38" width="18" bestFit="1" customWidth="1"/>
    <col min="39" max="39" width="18.33203125" bestFit="1" customWidth="1"/>
    <col min="40" max="40" width="14.554687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9.44140625" bestFit="1" customWidth="1"/>
    <col min="47" max="47" width="31.33203125" bestFit="1" customWidth="1"/>
    <col min="48" max="48" width="16.6640625" bestFit="1" customWidth="1"/>
    <col min="49" max="49" width="21.88671875" bestFit="1" customWidth="1"/>
    <col min="50" max="50" width="14.44140625" bestFit="1" customWidth="1"/>
    <col min="51" max="51" width="18.44140625" bestFit="1" customWidth="1"/>
    <col min="52" max="52" width="16.6640625" bestFit="1" customWidth="1"/>
    <col min="53" max="53" width="23.21875" bestFit="1" customWidth="1"/>
    <col min="54" max="54" width="20.21875" bestFit="1" customWidth="1"/>
    <col min="55" max="55" width="17.109375" bestFit="1" customWidth="1"/>
    <col min="56" max="56" width="29.5546875" bestFit="1" customWidth="1"/>
    <col min="57" max="57" width="30.21875" bestFit="1" customWidth="1"/>
    <col min="58" max="58" width="22.88671875" bestFit="1" customWidth="1"/>
    <col min="59" max="59" width="41.5546875" bestFit="1" customWidth="1"/>
    <col min="60" max="60" width="30" bestFit="1" customWidth="1"/>
    <col min="61" max="61" width="46.77734375" bestFit="1" customWidth="1"/>
    <col min="62" max="62" width="44.6640625" bestFit="1" customWidth="1"/>
    <col min="63" max="63" width="22.5546875" customWidth="1"/>
    <col min="64" max="64" width="21.88671875" bestFit="1" customWidth="1"/>
  </cols>
  <sheetData>
    <row r="1" spans="1:63" x14ac:dyDescent="0.3">
      <c r="A1" t="s">
        <v>270</v>
      </c>
      <c r="B1" t="s">
        <v>271</v>
      </c>
      <c r="C1" t="s">
        <v>272</v>
      </c>
      <c r="D1" t="s">
        <v>273</v>
      </c>
      <c r="E1" t="s">
        <v>274</v>
      </c>
      <c r="F1" t="s">
        <v>275</v>
      </c>
      <c r="G1" t="s">
        <v>5</v>
      </c>
      <c r="H1" t="s">
        <v>6</v>
      </c>
      <c r="I1" t="s">
        <v>74</v>
      </c>
      <c r="J1" t="s">
        <v>276</v>
      </c>
      <c r="K1" t="s">
        <v>8</v>
      </c>
      <c r="L1" t="s">
        <v>9</v>
      </c>
      <c r="M1" t="s">
        <v>10</v>
      </c>
      <c r="N1" t="s">
        <v>13</v>
      </c>
      <c r="O1" t="s">
        <v>50</v>
      </c>
      <c r="P1" t="s">
        <v>11</v>
      </c>
      <c r="Q1" t="s">
        <v>16</v>
      </c>
      <c r="R1" t="s">
        <v>17</v>
      </c>
      <c r="S1" t="s">
        <v>32</v>
      </c>
      <c r="T1" t="s">
        <v>277</v>
      </c>
      <c r="U1" t="s">
        <v>278</v>
      </c>
      <c r="V1" t="s">
        <v>279</v>
      </c>
      <c r="W1" t="s">
        <v>280</v>
      </c>
      <c r="X1" t="s">
        <v>281</v>
      </c>
      <c r="Y1" t="s">
        <v>45</v>
      </c>
      <c r="Z1" t="s">
        <v>282</v>
      </c>
      <c r="AA1" t="s">
        <v>283</v>
      </c>
      <c r="AB1" t="s">
        <v>284</v>
      </c>
      <c r="AC1" t="s">
        <v>46</v>
      </c>
      <c r="AD1" t="s">
        <v>285</v>
      </c>
      <c r="AE1" t="s">
        <v>286</v>
      </c>
      <c r="AF1" t="s">
        <v>287</v>
      </c>
      <c r="AG1" t="s">
        <v>47</v>
      </c>
      <c r="AH1" t="s">
        <v>288</v>
      </c>
      <c r="AI1" t="s">
        <v>289</v>
      </c>
      <c r="AJ1" t="s">
        <v>290</v>
      </c>
      <c r="AK1" t="s">
        <v>48</v>
      </c>
      <c r="AL1" t="s">
        <v>291</v>
      </c>
      <c r="AM1" t="s">
        <v>292</v>
      </c>
      <c r="AN1" t="s">
        <v>293</v>
      </c>
      <c r="AO1" t="s">
        <v>35</v>
      </c>
      <c r="AP1" t="s">
        <v>36</v>
      </c>
      <c r="AQ1" t="s">
        <v>37</v>
      </c>
      <c r="AR1" t="s">
        <v>38</v>
      </c>
      <c r="AS1" t="s">
        <v>39</v>
      </c>
      <c r="AT1" t="s">
        <v>31</v>
      </c>
      <c r="AU1" t="s">
        <v>49</v>
      </c>
      <c r="AV1" t="s">
        <v>294</v>
      </c>
      <c r="AW1" t="s">
        <v>12</v>
      </c>
      <c r="AX1" t="s">
        <v>295</v>
      </c>
      <c r="AY1" t="s">
        <v>40</v>
      </c>
      <c r="AZ1" t="s">
        <v>41</v>
      </c>
      <c r="BA1" t="s">
        <v>51</v>
      </c>
      <c r="BB1" t="s">
        <v>42</v>
      </c>
      <c r="BC1" t="s">
        <v>44</v>
      </c>
      <c r="BD1" t="s">
        <v>206</v>
      </c>
      <c r="BE1" t="s">
        <v>207</v>
      </c>
      <c r="BF1" t="s">
        <v>208</v>
      </c>
      <c r="BG1" t="s">
        <v>209</v>
      </c>
      <c r="BH1" t="s">
        <v>387</v>
      </c>
      <c r="BI1" t="s">
        <v>210</v>
      </c>
      <c r="BJ1" t="s">
        <v>211</v>
      </c>
      <c r="BK1" t="s">
        <v>43</v>
      </c>
    </row>
    <row r="2" spans="1:63" hidden="1" x14ac:dyDescent="0.3">
      <c r="A2" t="s">
        <v>657</v>
      </c>
      <c r="B2" t="s">
        <v>98</v>
      </c>
      <c r="C2">
        <v>73368</v>
      </c>
      <c r="D2">
        <v>0</v>
      </c>
      <c r="E2" t="s">
        <v>64</v>
      </c>
      <c r="F2">
        <v>102</v>
      </c>
      <c r="G2" t="s">
        <v>60</v>
      </c>
      <c r="H2">
        <v>4</v>
      </c>
      <c r="J2">
        <v>102</v>
      </c>
      <c r="K2" t="s">
        <v>59</v>
      </c>
      <c r="L2">
        <v>210</v>
      </c>
      <c r="M2" t="s">
        <v>658</v>
      </c>
      <c r="N2" t="s">
        <v>303</v>
      </c>
      <c r="O2" t="s">
        <v>303</v>
      </c>
      <c r="P2" t="s">
        <v>917</v>
      </c>
      <c r="Q2">
        <v>-83.457460999999995</v>
      </c>
      <c r="R2">
        <v>45.177912999999997</v>
      </c>
      <c r="S2">
        <v>4</v>
      </c>
      <c r="X2">
        <v>54.16</v>
      </c>
      <c r="Y2">
        <v>27.08</v>
      </c>
      <c r="Z2">
        <v>46.2</v>
      </c>
      <c r="AA2">
        <v>62.13</v>
      </c>
      <c r="AB2">
        <v>21.68</v>
      </c>
      <c r="AC2">
        <v>10.84</v>
      </c>
      <c r="AD2">
        <v>-3.61</v>
      </c>
      <c r="AE2">
        <v>46.96</v>
      </c>
      <c r="AF2">
        <v>52.98</v>
      </c>
      <c r="AG2">
        <v>26.49</v>
      </c>
      <c r="AH2">
        <v>42.45</v>
      </c>
      <c r="AI2">
        <v>63.51</v>
      </c>
      <c r="AJ2">
        <v>32.840000000000003</v>
      </c>
      <c r="AK2">
        <v>16.420000000000002</v>
      </c>
      <c r="AL2">
        <v>9.85</v>
      </c>
      <c r="AM2">
        <v>55.83</v>
      </c>
      <c r="AO2" s="1"/>
      <c r="AP2" s="1"/>
      <c r="AQ2" t="s">
        <v>215</v>
      </c>
      <c r="AR2" t="s">
        <v>215</v>
      </c>
      <c r="AT2">
        <v>3.3605931283418502</v>
      </c>
      <c r="AU2" t="s">
        <v>918</v>
      </c>
      <c r="AV2">
        <v>5.52</v>
      </c>
      <c r="AW2">
        <v>5.0344122685492003</v>
      </c>
      <c r="AX2">
        <v>0</v>
      </c>
      <c r="AY2" t="s">
        <v>56</v>
      </c>
      <c r="AZ2" t="s">
        <v>54</v>
      </c>
      <c r="BA2" t="s">
        <v>583</v>
      </c>
      <c r="BC2">
        <v>4</v>
      </c>
      <c r="BK2" t="s">
        <v>54</v>
      </c>
    </row>
    <row r="3" spans="1:63" hidden="1" x14ac:dyDescent="0.3">
      <c r="A3" t="s">
        <v>774</v>
      </c>
      <c r="B3" t="s">
        <v>98</v>
      </c>
      <c r="C3">
        <v>73389</v>
      </c>
      <c r="D3">
        <v>0</v>
      </c>
      <c r="E3" t="s">
        <v>57</v>
      </c>
      <c r="F3">
        <v>102</v>
      </c>
      <c r="G3" t="s">
        <v>53</v>
      </c>
      <c r="H3">
        <v>23</v>
      </c>
      <c r="J3">
        <v>102</v>
      </c>
      <c r="K3" t="s">
        <v>52</v>
      </c>
      <c r="L3">
        <v>50</v>
      </c>
      <c r="M3" t="s">
        <v>884</v>
      </c>
      <c r="N3" t="s">
        <v>300</v>
      </c>
      <c r="O3" t="s">
        <v>300</v>
      </c>
      <c r="P3" t="s">
        <v>919</v>
      </c>
      <c r="Q3">
        <v>-84.722255000000004</v>
      </c>
      <c r="R3">
        <v>45.781478</v>
      </c>
      <c r="AB3">
        <v>122.77</v>
      </c>
      <c r="AC3">
        <v>30.692499999999999</v>
      </c>
      <c r="AD3">
        <v>60.85</v>
      </c>
      <c r="AE3">
        <v>184.68</v>
      </c>
      <c r="AF3">
        <v>178.6</v>
      </c>
      <c r="AG3">
        <v>44.65</v>
      </c>
      <c r="AH3">
        <v>178.6</v>
      </c>
      <c r="AI3">
        <v>178.6</v>
      </c>
      <c r="AJ3">
        <v>68.69</v>
      </c>
      <c r="AK3">
        <v>17.172499999999999</v>
      </c>
      <c r="AL3">
        <v>-41.22</v>
      </c>
      <c r="AM3">
        <v>178.6</v>
      </c>
      <c r="AO3" s="1"/>
      <c r="AP3" s="1"/>
      <c r="AQ3" t="s">
        <v>215</v>
      </c>
      <c r="AR3" t="s">
        <v>215</v>
      </c>
      <c r="AT3">
        <v>0.200889791884309</v>
      </c>
      <c r="AU3" t="s">
        <v>920</v>
      </c>
      <c r="AW3">
        <v>2.5401033181697099</v>
      </c>
      <c r="AX3">
        <v>0</v>
      </c>
      <c r="AY3" t="s">
        <v>56</v>
      </c>
      <c r="AZ3" t="s">
        <v>54</v>
      </c>
      <c r="BA3" t="s">
        <v>583</v>
      </c>
      <c r="BD3" t="s">
        <v>212</v>
      </c>
      <c r="BE3" t="s">
        <v>299</v>
      </c>
      <c r="BH3" t="s">
        <v>921</v>
      </c>
      <c r="BK3" t="s">
        <v>54</v>
      </c>
    </row>
    <row r="4" spans="1:63" hidden="1" x14ac:dyDescent="0.3">
      <c r="A4" t="s">
        <v>659</v>
      </c>
      <c r="B4" t="s">
        <v>98</v>
      </c>
      <c r="C4">
        <v>73394</v>
      </c>
      <c r="D4">
        <v>0</v>
      </c>
      <c r="E4" t="s">
        <v>57</v>
      </c>
      <c r="F4">
        <v>102</v>
      </c>
      <c r="G4" t="s">
        <v>59</v>
      </c>
      <c r="H4">
        <v>3</v>
      </c>
      <c r="J4">
        <v>102</v>
      </c>
      <c r="K4" t="s">
        <v>52</v>
      </c>
      <c r="L4">
        <v>95</v>
      </c>
      <c r="M4" t="s">
        <v>660</v>
      </c>
      <c r="N4" t="s">
        <v>298</v>
      </c>
      <c r="O4" t="s">
        <v>298</v>
      </c>
      <c r="P4" t="s">
        <v>922</v>
      </c>
      <c r="Q4">
        <v>-84.727024</v>
      </c>
      <c r="R4">
        <v>45.781830999999997</v>
      </c>
      <c r="S4">
        <v>12</v>
      </c>
      <c r="AB4">
        <v>10.88</v>
      </c>
      <c r="AC4">
        <v>10.88</v>
      </c>
      <c r="AD4">
        <v>-1.0900000000000001</v>
      </c>
      <c r="AE4">
        <v>22.85</v>
      </c>
      <c r="AF4">
        <v>29.24</v>
      </c>
      <c r="AG4">
        <v>29.24</v>
      </c>
      <c r="AH4">
        <v>26.69</v>
      </c>
      <c r="AI4">
        <v>31.79</v>
      </c>
      <c r="AJ4">
        <v>18.239999999999998</v>
      </c>
      <c r="AK4">
        <v>18.239999999999998</v>
      </c>
      <c r="AL4">
        <v>10.83</v>
      </c>
      <c r="AM4">
        <v>25.65</v>
      </c>
      <c r="AO4" s="1"/>
      <c r="AP4" s="1"/>
      <c r="AQ4" t="s">
        <v>215</v>
      </c>
      <c r="AR4" t="s">
        <v>215</v>
      </c>
      <c r="AT4">
        <v>1.93536006519795E-3</v>
      </c>
      <c r="AU4" t="s">
        <v>923</v>
      </c>
      <c r="AW4">
        <v>1.09927896410227E-2</v>
      </c>
      <c r="AX4">
        <v>0</v>
      </c>
      <c r="AY4" t="s">
        <v>56</v>
      </c>
      <c r="AZ4" t="s">
        <v>54</v>
      </c>
      <c r="BA4" t="s">
        <v>583</v>
      </c>
      <c r="BC4">
        <v>12</v>
      </c>
      <c r="BK4" t="s">
        <v>54</v>
      </c>
    </row>
    <row r="5" spans="1:63" hidden="1" x14ac:dyDescent="0.3">
      <c r="A5" t="s">
        <v>775</v>
      </c>
      <c r="B5" t="s">
        <v>98</v>
      </c>
      <c r="C5">
        <v>73404</v>
      </c>
      <c r="D5">
        <v>0</v>
      </c>
      <c r="E5" t="s">
        <v>57</v>
      </c>
      <c r="F5">
        <v>102</v>
      </c>
      <c r="G5" t="s">
        <v>53</v>
      </c>
      <c r="H5">
        <v>10</v>
      </c>
      <c r="J5">
        <v>102</v>
      </c>
      <c r="K5" t="s">
        <v>52</v>
      </c>
      <c r="L5">
        <v>170</v>
      </c>
      <c r="M5" t="s">
        <v>882</v>
      </c>
      <c r="N5" t="s">
        <v>323</v>
      </c>
      <c r="O5" t="s">
        <v>323</v>
      </c>
      <c r="P5" t="s">
        <v>924</v>
      </c>
      <c r="Q5">
        <v>-84.496954000000002</v>
      </c>
      <c r="R5">
        <v>45.631863000000003</v>
      </c>
      <c r="X5">
        <v>35.340000000000003</v>
      </c>
      <c r="Y5">
        <v>17.670000000000002</v>
      </c>
      <c r="Z5">
        <v>28.83</v>
      </c>
      <c r="AA5">
        <v>41.85</v>
      </c>
      <c r="AB5">
        <v>35.25</v>
      </c>
      <c r="AC5">
        <v>17.625</v>
      </c>
      <c r="AD5">
        <v>32.31</v>
      </c>
      <c r="AE5">
        <v>38.19</v>
      </c>
      <c r="AF5">
        <v>41.91</v>
      </c>
      <c r="AG5">
        <v>20.954999999999998</v>
      </c>
      <c r="AH5">
        <v>38.909999999999997</v>
      </c>
      <c r="AI5">
        <v>44.9</v>
      </c>
      <c r="AJ5">
        <v>37.19</v>
      </c>
      <c r="AK5">
        <v>18.594999999999999</v>
      </c>
      <c r="AL5">
        <v>34.090000000000003</v>
      </c>
      <c r="AM5">
        <v>40.28</v>
      </c>
      <c r="AO5" s="1"/>
      <c r="AP5" s="1"/>
      <c r="AQ5" t="s">
        <v>215</v>
      </c>
      <c r="AR5" t="s">
        <v>215</v>
      </c>
      <c r="AT5">
        <v>0.94820412104926</v>
      </c>
      <c r="AU5" t="s">
        <v>925</v>
      </c>
      <c r="AV5">
        <v>2.0499999999999998</v>
      </c>
      <c r="AW5">
        <v>4.0868884660303602</v>
      </c>
      <c r="AX5">
        <v>0</v>
      </c>
      <c r="AY5" t="s">
        <v>56</v>
      </c>
      <c r="AZ5" t="s">
        <v>54</v>
      </c>
      <c r="BA5" t="s">
        <v>583</v>
      </c>
      <c r="BK5" t="s">
        <v>54</v>
      </c>
    </row>
    <row r="6" spans="1:63" hidden="1" x14ac:dyDescent="0.3">
      <c r="A6" t="s">
        <v>589</v>
      </c>
      <c r="B6" t="s">
        <v>98</v>
      </c>
      <c r="C6">
        <v>73413</v>
      </c>
      <c r="D6">
        <v>0</v>
      </c>
      <c r="E6" t="s">
        <v>57</v>
      </c>
      <c r="F6">
        <v>102</v>
      </c>
      <c r="G6" t="s">
        <v>60</v>
      </c>
      <c r="H6">
        <v>8</v>
      </c>
      <c r="J6">
        <v>102</v>
      </c>
      <c r="K6" t="s">
        <v>53</v>
      </c>
      <c r="L6">
        <v>170</v>
      </c>
      <c r="M6" t="s">
        <v>590</v>
      </c>
      <c r="N6" t="s">
        <v>300</v>
      </c>
      <c r="O6" t="s">
        <v>300</v>
      </c>
      <c r="P6" t="s">
        <v>926</v>
      </c>
      <c r="Q6">
        <v>-83.698689000000002</v>
      </c>
      <c r="R6">
        <v>45.263992999999999</v>
      </c>
      <c r="S6">
        <v>443</v>
      </c>
      <c r="T6">
        <v>23</v>
      </c>
      <c r="U6" t="s">
        <v>927</v>
      </c>
      <c r="V6">
        <v>114</v>
      </c>
      <c r="W6">
        <v>0.79670329670329665</v>
      </c>
      <c r="X6">
        <v>399.17</v>
      </c>
      <c r="Y6">
        <v>99.792500000000004</v>
      </c>
      <c r="Z6">
        <v>380.8</v>
      </c>
      <c r="AA6">
        <v>417.53</v>
      </c>
      <c r="AB6">
        <v>359.03</v>
      </c>
      <c r="AC6">
        <v>89.757499999999993</v>
      </c>
      <c r="AD6">
        <v>347.96</v>
      </c>
      <c r="AE6">
        <v>370.11</v>
      </c>
      <c r="AF6">
        <v>350.1</v>
      </c>
      <c r="AG6">
        <v>87.525000000000006</v>
      </c>
      <c r="AH6">
        <v>340.63</v>
      </c>
      <c r="AI6">
        <v>359.57</v>
      </c>
      <c r="AJ6">
        <v>310.5</v>
      </c>
      <c r="AK6">
        <v>77.625</v>
      </c>
      <c r="AL6">
        <v>280.8</v>
      </c>
      <c r="AM6">
        <v>340.2</v>
      </c>
      <c r="AO6" s="1"/>
      <c r="AP6" s="1"/>
      <c r="AQ6" t="s">
        <v>215</v>
      </c>
      <c r="AR6" t="s">
        <v>215</v>
      </c>
      <c r="AT6">
        <v>3.8526393507065898E-3</v>
      </c>
      <c r="AU6" t="s">
        <v>928</v>
      </c>
      <c r="AV6">
        <v>9.58</v>
      </c>
      <c r="AW6">
        <v>6.7160464823246002E-3</v>
      </c>
      <c r="AX6">
        <v>0</v>
      </c>
      <c r="AY6" t="s">
        <v>56</v>
      </c>
      <c r="AZ6" t="s">
        <v>54</v>
      </c>
      <c r="BA6" t="s">
        <v>583</v>
      </c>
      <c r="BC6">
        <v>443</v>
      </c>
      <c r="BD6" t="s">
        <v>435</v>
      </c>
      <c r="BE6" t="s">
        <v>301</v>
      </c>
      <c r="BF6" t="s">
        <v>58</v>
      </c>
      <c r="BG6" t="s">
        <v>54</v>
      </c>
      <c r="BK6" t="s">
        <v>54</v>
      </c>
    </row>
    <row r="7" spans="1:63" hidden="1" x14ac:dyDescent="0.3">
      <c r="A7" t="s">
        <v>661</v>
      </c>
      <c r="B7" t="s">
        <v>98</v>
      </c>
      <c r="C7">
        <v>73425</v>
      </c>
      <c r="D7">
        <v>0</v>
      </c>
      <c r="E7" t="s">
        <v>63</v>
      </c>
      <c r="F7">
        <v>102</v>
      </c>
      <c r="G7" t="s">
        <v>53</v>
      </c>
      <c r="H7">
        <v>20</v>
      </c>
      <c r="J7">
        <v>102</v>
      </c>
      <c r="K7" t="s">
        <v>52</v>
      </c>
      <c r="L7">
        <v>55</v>
      </c>
      <c r="M7" t="s">
        <v>662</v>
      </c>
      <c r="N7" t="s">
        <v>300</v>
      </c>
      <c r="O7" t="s">
        <v>300</v>
      </c>
      <c r="P7" t="s">
        <v>929</v>
      </c>
      <c r="Q7">
        <v>-84.728127999999998</v>
      </c>
      <c r="R7">
        <v>45.781080000000003</v>
      </c>
      <c r="S7">
        <v>8</v>
      </c>
      <c r="AB7">
        <v>73.31</v>
      </c>
      <c r="AC7">
        <v>18.327500000000001</v>
      </c>
      <c r="AD7">
        <v>-3.13</v>
      </c>
      <c r="AE7">
        <v>149.76</v>
      </c>
      <c r="AF7">
        <v>140.34</v>
      </c>
      <c r="AG7">
        <v>35.085000000000001</v>
      </c>
      <c r="AH7">
        <v>39.159999999999997</v>
      </c>
      <c r="AI7">
        <v>241.52</v>
      </c>
      <c r="AJ7">
        <v>10</v>
      </c>
      <c r="AK7">
        <v>2.5</v>
      </c>
      <c r="AL7">
        <v>-29.99</v>
      </c>
      <c r="AM7">
        <v>49.98</v>
      </c>
      <c r="AO7" s="1"/>
      <c r="AP7" s="1"/>
      <c r="AQ7" t="s">
        <v>215</v>
      </c>
      <c r="AR7" t="s">
        <v>215</v>
      </c>
      <c r="AT7">
        <v>0.20346586685331</v>
      </c>
      <c r="AU7" t="s">
        <v>930</v>
      </c>
      <c r="AW7">
        <v>0.83333839848637603</v>
      </c>
      <c r="AX7">
        <v>0</v>
      </c>
      <c r="AY7" t="s">
        <v>56</v>
      </c>
      <c r="AZ7" t="s">
        <v>54</v>
      </c>
      <c r="BA7" t="s">
        <v>583</v>
      </c>
      <c r="BC7">
        <v>8</v>
      </c>
      <c r="BD7" t="s">
        <v>212</v>
      </c>
      <c r="BE7" t="s">
        <v>299</v>
      </c>
      <c r="BH7" t="s">
        <v>931</v>
      </c>
      <c r="BK7" t="s">
        <v>54</v>
      </c>
    </row>
    <row r="8" spans="1:63" hidden="1" x14ac:dyDescent="0.3">
      <c r="A8" t="s">
        <v>813</v>
      </c>
      <c r="B8" t="s">
        <v>98</v>
      </c>
      <c r="C8">
        <v>99138</v>
      </c>
      <c r="D8">
        <v>8</v>
      </c>
      <c r="E8" t="s">
        <v>63</v>
      </c>
      <c r="F8">
        <v>102</v>
      </c>
      <c r="G8" t="s">
        <v>59</v>
      </c>
      <c r="H8">
        <v>3</v>
      </c>
      <c r="J8">
        <v>102</v>
      </c>
      <c r="K8" t="s">
        <v>52</v>
      </c>
      <c r="L8">
        <v>130</v>
      </c>
      <c r="M8" t="s">
        <v>759</v>
      </c>
      <c r="N8" t="s">
        <v>300</v>
      </c>
      <c r="O8" t="s">
        <v>300</v>
      </c>
      <c r="P8" t="s">
        <v>932</v>
      </c>
      <c r="Q8">
        <v>-84.731855999999993</v>
      </c>
      <c r="R8">
        <v>45.781227000000001</v>
      </c>
      <c r="AB8">
        <v>42.88</v>
      </c>
      <c r="AC8">
        <v>10.72</v>
      </c>
      <c r="AD8">
        <v>21.44</v>
      </c>
      <c r="AE8">
        <v>64.31</v>
      </c>
      <c r="AF8">
        <v>83.17</v>
      </c>
      <c r="AG8">
        <v>20.7925</v>
      </c>
      <c r="AH8">
        <v>80.22</v>
      </c>
      <c r="AI8">
        <v>86.11</v>
      </c>
      <c r="AJ8">
        <v>26.33</v>
      </c>
      <c r="AK8">
        <v>6.5824999999999996</v>
      </c>
      <c r="AL8">
        <v>-32.909999999999997</v>
      </c>
      <c r="AM8">
        <v>85.56</v>
      </c>
      <c r="AO8" s="1"/>
      <c r="AP8" s="1"/>
      <c r="AQ8" t="s">
        <v>215</v>
      </c>
      <c r="AR8" t="s">
        <v>215</v>
      </c>
      <c r="AT8">
        <v>0.28832382926480998</v>
      </c>
      <c r="AU8" t="s">
        <v>933</v>
      </c>
      <c r="AW8">
        <v>1.4126018546521699</v>
      </c>
      <c r="AX8">
        <v>0</v>
      </c>
      <c r="AY8" t="s">
        <v>56</v>
      </c>
      <c r="AZ8" t="s">
        <v>54</v>
      </c>
      <c r="BA8" t="s">
        <v>583</v>
      </c>
      <c r="BD8" t="s">
        <v>434</v>
      </c>
      <c r="BE8" t="s">
        <v>303</v>
      </c>
      <c r="BF8" t="s">
        <v>58</v>
      </c>
      <c r="BH8" t="s">
        <v>934</v>
      </c>
      <c r="BI8" t="s">
        <v>54</v>
      </c>
      <c r="BK8" t="s">
        <v>54</v>
      </c>
    </row>
    <row r="9" spans="1:63" hidden="1" x14ac:dyDescent="0.3">
      <c r="A9" t="s">
        <v>746</v>
      </c>
      <c r="B9" t="s">
        <v>98</v>
      </c>
      <c r="C9">
        <v>99138</v>
      </c>
      <c r="D9">
        <v>4</v>
      </c>
      <c r="E9" t="s">
        <v>63</v>
      </c>
      <c r="F9">
        <v>102</v>
      </c>
      <c r="G9" t="s">
        <v>53</v>
      </c>
      <c r="H9">
        <v>14</v>
      </c>
      <c r="J9">
        <v>102</v>
      </c>
      <c r="K9" t="s">
        <v>52</v>
      </c>
      <c r="L9">
        <v>90</v>
      </c>
      <c r="M9" t="s">
        <v>747</v>
      </c>
      <c r="N9" t="s">
        <v>300</v>
      </c>
      <c r="O9" t="s">
        <v>300</v>
      </c>
      <c r="P9" t="s">
        <v>935</v>
      </c>
      <c r="Q9">
        <v>-84.727287200000006</v>
      </c>
      <c r="R9">
        <v>45.777277699999999</v>
      </c>
      <c r="S9">
        <v>8</v>
      </c>
      <c r="AB9">
        <v>100.06</v>
      </c>
      <c r="AC9">
        <v>25.015000000000001</v>
      </c>
      <c r="AD9">
        <v>50.03</v>
      </c>
      <c r="AE9">
        <v>150.08000000000001</v>
      </c>
      <c r="AF9">
        <v>226.33</v>
      </c>
      <c r="AG9">
        <v>56.582500000000003</v>
      </c>
      <c r="AH9">
        <v>200.51</v>
      </c>
      <c r="AI9">
        <v>252.14</v>
      </c>
      <c r="AJ9">
        <v>33.119999999999997</v>
      </c>
      <c r="AK9">
        <v>8.2799999999999994</v>
      </c>
      <c r="AL9">
        <v>-41.39</v>
      </c>
      <c r="AM9">
        <v>107.62</v>
      </c>
      <c r="AO9" s="1"/>
      <c r="AP9" s="1"/>
      <c r="AQ9" t="s">
        <v>215</v>
      </c>
      <c r="AR9" t="s">
        <v>215</v>
      </c>
      <c r="AT9">
        <v>0.81631006525933703</v>
      </c>
      <c r="AU9" t="s">
        <v>936</v>
      </c>
      <c r="AW9">
        <v>1.97215718589723</v>
      </c>
      <c r="AX9">
        <v>0</v>
      </c>
      <c r="AY9" t="s">
        <v>56</v>
      </c>
      <c r="AZ9" t="s">
        <v>54</v>
      </c>
      <c r="BA9" t="s">
        <v>583</v>
      </c>
      <c r="BC9">
        <v>8</v>
      </c>
      <c r="BD9" t="s">
        <v>212</v>
      </c>
      <c r="BE9" t="s">
        <v>299</v>
      </c>
      <c r="BH9" t="s">
        <v>934</v>
      </c>
      <c r="BK9" t="s">
        <v>54</v>
      </c>
    </row>
    <row r="10" spans="1:63" hidden="1" x14ac:dyDescent="0.3">
      <c r="A10" t="s">
        <v>615</v>
      </c>
      <c r="B10" t="s">
        <v>98</v>
      </c>
      <c r="C10">
        <v>73444</v>
      </c>
      <c r="D10">
        <v>0</v>
      </c>
      <c r="E10" t="s">
        <v>63</v>
      </c>
      <c r="F10">
        <v>102</v>
      </c>
      <c r="G10" t="s">
        <v>52</v>
      </c>
      <c r="H10">
        <v>30</v>
      </c>
      <c r="J10">
        <v>102</v>
      </c>
      <c r="K10" t="s">
        <v>53</v>
      </c>
      <c r="L10">
        <v>65</v>
      </c>
      <c r="M10" t="s">
        <v>616</v>
      </c>
      <c r="N10" t="s">
        <v>300</v>
      </c>
      <c r="O10" t="s">
        <v>300</v>
      </c>
      <c r="P10" t="s">
        <v>937</v>
      </c>
      <c r="Q10">
        <v>-83.814549</v>
      </c>
      <c r="R10">
        <v>45.410749000000003</v>
      </c>
      <c r="S10">
        <v>44</v>
      </c>
      <c r="T10">
        <v>2</v>
      </c>
      <c r="U10" t="s">
        <v>310</v>
      </c>
      <c r="V10">
        <v>19</v>
      </c>
      <c r="W10">
        <v>0.56818181818181823</v>
      </c>
      <c r="X10">
        <v>48.4</v>
      </c>
      <c r="Y10">
        <v>12.1</v>
      </c>
      <c r="Z10">
        <v>40.950000000000003</v>
      </c>
      <c r="AA10">
        <v>55.85</v>
      </c>
      <c r="AB10">
        <v>52.74</v>
      </c>
      <c r="AC10">
        <v>13.185</v>
      </c>
      <c r="AD10">
        <v>52.74</v>
      </c>
      <c r="AE10">
        <v>52.74</v>
      </c>
      <c r="AF10">
        <v>52.74</v>
      </c>
      <c r="AG10">
        <v>13.185</v>
      </c>
      <c r="AH10">
        <v>52.74</v>
      </c>
      <c r="AI10">
        <v>52.74</v>
      </c>
      <c r="AJ10">
        <v>54.04</v>
      </c>
      <c r="AK10">
        <v>13.51</v>
      </c>
      <c r="AL10">
        <v>49.25</v>
      </c>
      <c r="AM10">
        <v>58.84</v>
      </c>
      <c r="AO10" s="1"/>
      <c r="AP10" s="1"/>
      <c r="AQ10" t="s">
        <v>215</v>
      </c>
      <c r="AR10" t="s">
        <v>215</v>
      </c>
      <c r="AT10">
        <v>0.907323141812857</v>
      </c>
      <c r="AU10" t="s">
        <v>938</v>
      </c>
      <c r="AV10">
        <v>6.03</v>
      </c>
      <c r="AW10">
        <v>3.09443575330079</v>
      </c>
      <c r="AX10">
        <v>0</v>
      </c>
      <c r="AY10" t="s">
        <v>56</v>
      </c>
      <c r="AZ10" t="s">
        <v>54</v>
      </c>
      <c r="BA10" t="s">
        <v>583</v>
      </c>
      <c r="BC10">
        <v>44</v>
      </c>
      <c r="BD10" t="s">
        <v>434</v>
      </c>
      <c r="BE10" t="s">
        <v>303</v>
      </c>
      <c r="BF10" t="s">
        <v>60</v>
      </c>
      <c r="BI10" t="s">
        <v>54</v>
      </c>
      <c r="BK10" t="s">
        <v>54</v>
      </c>
    </row>
    <row r="11" spans="1:63" hidden="1" x14ac:dyDescent="0.3">
      <c r="A11" t="s">
        <v>776</v>
      </c>
      <c r="B11" t="s">
        <v>98</v>
      </c>
      <c r="C11">
        <v>99138</v>
      </c>
      <c r="D11">
        <v>3</v>
      </c>
      <c r="E11" t="s">
        <v>63</v>
      </c>
      <c r="F11">
        <v>102</v>
      </c>
      <c r="G11" t="s">
        <v>53</v>
      </c>
      <c r="H11">
        <v>13</v>
      </c>
      <c r="J11">
        <v>102</v>
      </c>
      <c r="K11" t="s">
        <v>52</v>
      </c>
      <c r="L11">
        <v>40</v>
      </c>
      <c r="M11" t="s">
        <v>892</v>
      </c>
      <c r="N11" t="s">
        <v>300</v>
      </c>
      <c r="O11" t="s">
        <v>300</v>
      </c>
      <c r="P11" t="s">
        <v>939</v>
      </c>
      <c r="Q11">
        <v>-84.723586850000004</v>
      </c>
      <c r="R11">
        <v>45.76666453</v>
      </c>
      <c r="AB11">
        <v>33.71</v>
      </c>
      <c r="AC11">
        <v>8.4275000000000002</v>
      </c>
      <c r="AD11">
        <v>-3.37</v>
      </c>
      <c r="AE11">
        <v>70.790000000000006</v>
      </c>
      <c r="AF11">
        <v>93.13</v>
      </c>
      <c r="AG11">
        <v>23.282499999999999</v>
      </c>
      <c r="AH11">
        <v>67.52</v>
      </c>
      <c r="AI11">
        <v>118.74</v>
      </c>
      <c r="AJ11">
        <v>19.55</v>
      </c>
      <c r="AK11">
        <v>4.8875000000000002</v>
      </c>
      <c r="AL11">
        <v>-34.21</v>
      </c>
      <c r="AM11">
        <v>73.31</v>
      </c>
      <c r="AO11" s="1"/>
      <c r="AP11" s="1"/>
      <c r="AQ11" t="s">
        <v>215</v>
      </c>
      <c r="AR11" t="s">
        <v>215</v>
      </c>
      <c r="AT11">
        <v>16.2139572147608</v>
      </c>
      <c r="AU11" t="s">
        <v>940</v>
      </c>
      <c r="AW11">
        <v>21.718135755509099</v>
      </c>
      <c r="AX11">
        <v>0</v>
      </c>
      <c r="AY11" t="s">
        <v>56</v>
      </c>
      <c r="AZ11" t="s">
        <v>54</v>
      </c>
      <c r="BA11" t="s">
        <v>583</v>
      </c>
      <c r="BD11" t="s">
        <v>212</v>
      </c>
      <c r="BE11" t="s">
        <v>299</v>
      </c>
      <c r="BH11" t="s">
        <v>934</v>
      </c>
      <c r="BK11" t="s">
        <v>54</v>
      </c>
    </row>
    <row r="12" spans="1:63" hidden="1" x14ac:dyDescent="0.3">
      <c r="A12" t="s">
        <v>795</v>
      </c>
      <c r="B12" t="s">
        <v>98</v>
      </c>
      <c r="C12">
        <v>73459</v>
      </c>
      <c r="D12">
        <v>0</v>
      </c>
      <c r="E12" t="s">
        <v>62</v>
      </c>
      <c r="F12">
        <v>102</v>
      </c>
      <c r="G12" t="s">
        <v>52</v>
      </c>
      <c r="H12">
        <v>24</v>
      </c>
      <c r="J12">
        <v>102</v>
      </c>
      <c r="K12" t="s">
        <v>53</v>
      </c>
      <c r="L12">
        <v>135</v>
      </c>
      <c r="M12" t="s">
        <v>869</v>
      </c>
      <c r="N12" t="s">
        <v>323</v>
      </c>
      <c r="O12" t="s">
        <v>323</v>
      </c>
      <c r="P12" t="s">
        <v>941</v>
      </c>
      <c r="Q12">
        <v>-83.822039000000004</v>
      </c>
      <c r="R12">
        <v>45.425158000000003</v>
      </c>
      <c r="AB12">
        <v>121.76</v>
      </c>
      <c r="AC12">
        <v>60.88</v>
      </c>
      <c r="AD12">
        <v>55.02</v>
      </c>
      <c r="AE12">
        <v>188.5</v>
      </c>
      <c r="AF12">
        <v>104.05</v>
      </c>
      <c r="AG12">
        <v>52.024999999999999</v>
      </c>
      <c r="AH12">
        <v>72.37</v>
      </c>
      <c r="AI12">
        <v>135.72999999999999</v>
      </c>
      <c r="AJ12">
        <v>92.93</v>
      </c>
      <c r="AK12">
        <v>46.465000000000003</v>
      </c>
      <c r="AL12">
        <v>63.49</v>
      </c>
      <c r="AM12">
        <v>122.36</v>
      </c>
      <c r="AO12" s="1"/>
      <c r="AP12" s="1"/>
      <c r="AQ12" t="s">
        <v>215</v>
      </c>
      <c r="AR12" t="s">
        <v>215</v>
      </c>
      <c r="AT12">
        <v>0.154441144858632</v>
      </c>
      <c r="AU12" t="s">
        <v>942</v>
      </c>
      <c r="AW12">
        <v>0.28926182724535499</v>
      </c>
      <c r="AX12">
        <v>0</v>
      </c>
      <c r="AY12" t="s">
        <v>56</v>
      </c>
      <c r="AZ12" t="s">
        <v>54</v>
      </c>
      <c r="BA12" t="s">
        <v>583</v>
      </c>
      <c r="BH12" t="s">
        <v>943</v>
      </c>
      <c r="BK12" t="s">
        <v>54</v>
      </c>
    </row>
    <row r="13" spans="1:63" hidden="1" x14ac:dyDescent="0.3">
      <c r="A13" t="s">
        <v>777</v>
      </c>
      <c r="B13" t="s">
        <v>98</v>
      </c>
      <c r="C13">
        <v>99138</v>
      </c>
      <c r="D13">
        <v>1</v>
      </c>
      <c r="E13" t="s">
        <v>57</v>
      </c>
      <c r="F13">
        <v>102</v>
      </c>
      <c r="G13" t="s">
        <v>53</v>
      </c>
      <c r="H13">
        <v>16</v>
      </c>
      <c r="J13">
        <v>102</v>
      </c>
      <c r="K13" t="s">
        <v>52</v>
      </c>
      <c r="L13">
        <v>80</v>
      </c>
      <c r="M13" t="s">
        <v>893</v>
      </c>
      <c r="N13" t="s">
        <v>300</v>
      </c>
      <c r="O13" t="s">
        <v>300</v>
      </c>
      <c r="P13" t="s">
        <v>944</v>
      </c>
      <c r="Q13">
        <v>-84.726047500000007</v>
      </c>
      <c r="R13">
        <v>45.779736800000002</v>
      </c>
      <c r="AB13">
        <v>55.86</v>
      </c>
      <c r="AC13">
        <v>13.965</v>
      </c>
      <c r="AD13">
        <v>49.33</v>
      </c>
      <c r="AE13">
        <v>62.4</v>
      </c>
      <c r="AF13">
        <v>91.27</v>
      </c>
      <c r="AG13">
        <v>22.817499999999999</v>
      </c>
      <c r="AH13">
        <v>77.69</v>
      </c>
      <c r="AI13">
        <v>104.84</v>
      </c>
      <c r="AJ13">
        <v>30.14</v>
      </c>
      <c r="AK13">
        <v>7.5350000000000001</v>
      </c>
      <c r="AL13">
        <v>-18.09</v>
      </c>
      <c r="AM13">
        <v>78.37</v>
      </c>
      <c r="AO13" s="1"/>
      <c r="AP13" s="1"/>
      <c r="AQ13" t="s">
        <v>215</v>
      </c>
      <c r="AR13" t="s">
        <v>215</v>
      </c>
      <c r="AT13">
        <v>6.56090221620345E-2</v>
      </c>
      <c r="AU13" t="s">
        <v>945</v>
      </c>
      <c r="AW13">
        <v>0.43080507963895798</v>
      </c>
      <c r="AX13">
        <v>0</v>
      </c>
      <c r="AY13" t="s">
        <v>56</v>
      </c>
      <c r="AZ13" t="s">
        <v>54</v>
      </c>
      <c r="BA13" t="s">
        <v>583</v>
      </c>
      <c r="BD13" t="s">
        <v>212</v>
      </c>
      <c r="BE13" t="s">
        <v>299</v>
      </c>
      <c r="BH13" t="s">
        <v>921</v>
      </c>
      <c r="BK13" t="s">
        <v>54</v>
      </c>
    </row>
    <row r="14" spans="1:63" hidden="1" x14ac:dyDescent="0.3">
      <c r="A14" t="s">
        <v>778</v>
      </c>
      <c r="B14" t="s">
        <v>98</v>
      </c>
      <c r="C14">
        <v>99138</v>
      </c>
      <c r="D14">
        <v>6</v>
      </c>
      <c r="E14" t="s">
        <v>63</v>
      </c>
      <c r="F14">
        <v>102</v>
      </c>
      <c r="G14" t="s">
        <v>53</v>
      </c>
      <c r="H14">
        <v>19</v>
      </c>
      <c r="J14">
        <v>102</v>
      </c>
      <c r="K14" t="s">
        <v>52</v>
      </c>
      <c r="L14">
        <v>75</v>
      </c>
      <c r="M14" t="s">
        <v>891</v>
      </c>
      <c r="N14" t="s">
        <v>300</v>
      </c>
      <c r="O14" t="s">
        <v>300</v>
      </c>
      <c r="P14" t="s">
        <v>946</v>
      </c>
      <c r="Q14">
        <v>-84.727314000000007</v>
      </c>
      <c r="R14">
        <v>45.780206999999997</v>
      </c>
      <c r="V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O14" s="1"/>
      <c r="AP14" s="1"/>
      <c r="AQ14" t="s">
        <v>215</v>
      </c>
      <c r="AR14" t="s">
        <v>215</v>
      </c>
      <c r="AT14">
        <v>6.1504536592801098E-2</v>
      </c>
      <c r="AU14" t="s">
        <v>947</v>
      </c>
      <c r="AW14">
        <v>0.20479025319218599</v>
      </c>
      <c r="AX14">
        <v>0</v>
      </c>
      <c r="AY14" t="s">
        <v>56</v>
      </c>
      <c r="AZ14" t="s">
        <v>54</v>
      </c>
      <c r="BA14" t="s">
        <v>583</v>
      </c>
      <c r="BD14" t="s">
        <v>212</v>
      </c>
      <c r="BE14" t="s">
        <v>299</v>
      </c>
      <c r="BH14" t="s">
        <v>948</v>
      </c>
      <c r="BK14" t="s">
        <v>54</v>
      </c>
    </row>
    <row r="15" spans="1:63" hidden="1" x14ac:dyDescent="0.3">
      <c r="A15" t="s">
        <v>779</v>
      </c>
      <c r="B15" t="s">
        <v>98</v>
      </c>
      <c r="C15">
        <v>99138</v>
      </c>
      <c r="D15">
        <v>5</v>
      </c>
      <c r="E15" t="s">
        <v>63</v>
      </c>
      <c r="F15">
        <v>102</v>
      </c>
      <c r="G15" t="s">
        <v>53</v>
      </c>
      <c r="H15">
        <v>17</v>
      </c>
      <c r="J15">
        <v>102</v>
      </c>
      <c r="K15" t="s">
        <v>52</v>
      </c>
      <c r="L15">
        <v>140</v>
      </c>
      <c r="M15" t="s">
        <v>894</v>
      </c>
      <c r="N15" t="s">
        <v>300</v>
      </c>
      <c r="O15" t="s">
        <v>300</v>
      </c>
      <c r="P15" t="s">
        <v>949</v>
      </c>
      <c r="Q15">
        <v>-84.724689999999995</v>
      </c>
      <c r="R15">
        <v>45.779722999999997</v>
      </c>
      <c r="AB15">
        <v>73.28</v>
      </c>
      <c r="AC15">
        <v>18.32</v>
      </c>
      <c r="AD15">
        <v>36.64</v>
      </c>
      <c r="AE15">
        <v>109.92</v>
      </c>
      <c r="AF15">
        <v>171.3</v>
      </c>
      <c r="AG15">
        <v>42.825000000000003</v>
      </c>
      <c r="AH15">
        <v>149.41</v>
      </c>
      <c r="AI15">
        <v>193.18</v>
      </c>
      <c r="AJ15">
        <v>25.18</v>
      </c>
      <c r="AK15">
        <v>6.2949999999999999</v>
      </c>
      <c r="AL15">
        <v>-58.76</v>
      </c>
      <c r="AM15">
        <v>109.12</v>
      </c>
      <c r="AO15" s="1"/>
      <c r="AP15" s="1"/>
      <c r="AQ15" t="s">
        <v>215</v>
      </c>
      <c r="AR15" t="s">
        <v>215</v>
      </c>
      <c r="AT15">
        <v>0.204115454996222</v>
      </c>
      <c r="AU15" t="s">
        <v>950</v>
      </c>
      <c r="AW15">
        <v>0.82740059122443199</v>
      </c>
      <c r="AX15">
        <v>0</v>
      </c>
      <c r="AY15" t="s">
        <v>56</v>
      </c>
      <c r="AZ15" t="s">
        <v>54</v>
      </c>
      <c r="BA15" t="s">
        <v>583</v>
      </c>
      <c r="BD15" t="s">
        <v>212</v>
      </c>
      <c r="BE15" t="s">
        <v>299</v>
      </c>
      <c r="BH15" t="s">
        <v>951</v>
      </c>
      <c r="BK15" t="s">
        <v>54</v>
      </c>
    </row>
    <row r="16" spans="1:63" hidden="1" x14ac:dyDescent="0.3">
      <c r="A16" t="s">
        <v>780</v>
      </c>
      <c r="B16" t="s">
        <v>98</v>
      </c>
      <c r="C16">
        <v>99161</v>
      </c>
      <c r="D16">
        <v>106</v>
      </c>
      <c r="E16" t="s">
        <v>63</v>
      </c>
      <c r="F16">
        <v>102</v>
      </c>
      <c r="G16" t="s">
        <v>53</v>
      </c>
      <c r="H16">
        <v>10</v>
      </c>
      <c r="J16">
        <v>102</v>
      </c>
      <c r="K16" t="s">
        <v>52</v>
      </c>
      <c r="L16">
        <v>15</v>
      </c>
      <c r="M16" t="s">
        <v>895</v>
      </c>
      <c r="N16" t="s">
        <v>300</v>
      </c>
      <c r="O16" t="s">
        <v>300</v>
      </c>
      <c r="P16" t="s">
        <v>952</v>
      </c>
      <c r="Q16">
        <v>-84.482382000000001</v>
      </c>
      <c r="R16">
        <v>45.628340999999999</v>
      </c>
      <c r="AJ16">
        <v>13.38</v>
      </c>
      <c r="AK16">
        <v>3.3450000000000002</v>
      </c>
      <c r="AL16">
        <v>-147.21</v>
      </c>
      <c r="AM16">
        <v>173.97</v>
      </c>
      <c r="AO16" s="1"/>
      <c r="AP16" s="1"/>
      <c r="AQ16" t="s">
        <v>215</v>
      </c>
      <c r="AR16" t="s">
        <v>215</v>
      </c>
      <c r="AT16">
        <v>0</v>
      </c>
      <c r="AU16" t="s">
        <v>953</v>
      </c>
      <c r="AW16">
        <v>0</v>
      </c>
      <c r="AX16">
        <v>0</v>
      </c>
      <c r="AY16" t="s">
        <v>56</v>
      </c>
      <c r="AZ16" t="s">
        <v>54</v>
      </c>
      <c r="BA16" t="s">
        <v>583</v>
      </c>
      <c r="BD16" t="s">
        <v>212</v>
      </c>
      <c r="BE16" t="s">
        <v>299</v>
      </c>
      <c r="BK16" t="s">
        <v>54</v>
      </c>
    </row>
    <row r="17" spans="1:63" hidden="1" x14ac:dyDescent="0.3">
      <c r="A17" t="s">
        <v>796</v>
      </c>
      <c r="B17" t="s">
        <v>98</v>
      </c>
      <c r="C17">
        <v>99161</v>
      </c>
      <c r="D17">
        <v>112</v>
      </c>
      <c r="E17" t="s">
        <v>62</v>
      </c>
      <c r="F17">
        <v>102</v>
      </c>
      <c r="G17" t="s">
        <v>52</v>
      </c>
      <c r="H17">
        <v>17</v>
      </c>
      <c r="J17">
        <v>102</v>
      </c>
      <c r="K17" t="s">
        <v>53</v>
      </c>
      <c r="L17">
        <v>80</v>
      </c>
      <c r="M17" t="s">
        <v>754</v>
      </c>
      <c r="N17" t="s">
        <v>300</v>
      </c>
      <c r="O17" t="s">
        <v>300</v>
      </c>
      <c r="P17" t="s">
        <v>954</v>
      </c>
      <c r="Q17">
        <v>-83.825068000000002</v>
      </c>
      <c r="R17">
        <v>45.412883000000001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2.42</v>
      </c>
      <c r="AG17">
        <v>0.60499999999999998</v>
      </c>
      <c r="AH17">
        <v>-2.0499999999999998</v>
      </c>
      <c r="AI17">
        <v>6.89</v>
      </c>
      <c r="AJ17">
        <v>0</v>
      </c>
      <c r="AK17">
        <v>0</v>
      </c>
      <c r="AL17">
        <v>0</v>
      </c>
      <c r="AM17">
        <v>0</v>
      </c>
      <c r="AO17" s="1"/>
      <c r="AP17" s="1"/>
      <c r="AQ17" t="s">
        <v>215</v>
      </c>
      <c r="AR17" t="s">
        <v>215</v>
      </c>
      <c r="AT17">
        <v>0</v>
      </c>
      <c r="AU17" t="s">
        <v>955</v>
      </c>
      <c r="AV17">
        <v>0.15</v>
      </c>
      <c r="AW17">
        <v>0</v>
      </c>
      <c r="AX17">
        <v>0</v>
      </c>
      <c r="AY17" t="s">
        <v>56</v>
      </c>
      <c r="AZ17" t="s">
        <v>54</v>
      </c>
      <c r="BA17" t="s">
        <v>583</v>
      </c>
      <c r="BD17" t="s">
        <v>434</v>
      </c>
      <c r="BE17" t="s">
        <v>303</v>
      </c>
      <c r="BF17" t="s">
        <v>60</v>
      </c>
      <c r="BI17" t="s">
        <v>54</v>
      </c>
      <c r="BK17" t="s">
        <v>54</v>
      </c>
    </row>
    <row r="18" spans="1:63" hidden="1" x14ac:dyDescent="0.3">
      <c r="A18" t="s">
        <v>781</v>
      </c>
      <c r="B18" t="s">
        <v>98</v>
      </c>
      <c r="C18">
        <v>73490</v>
      </c>
      <c r="D18">
        <v>0</v>
      </c>
      <c r="E18" t="s">
        <v>63</v>
      </c>
      <c r="F18">
        <v>102</v>
      </c>
      <c r="G18" t="s">
        <v>53</v>
      </c>
      <c r="H18">
        <v>6</v>
      </c>
      <c r="J18">
        <v>102</v>
      </c>
      <c r="K18" t="s">
        <v>52</v>
      </c>
      <c r="L18">
        <v>185</v>
      </c>
      <c r="M18" t="s">
        <v>896</v>
      </c>
      <c r="N18" t="s">
        <v>300</v>
      </c>
      <c r="O18" t="s">
        <v>300</v>
      </c>
      <c r="P18" t="s">
        <v>956</v>
      </c>
      <c r="Q18">
        <v>-84.480958999999999</v>
      </c>
      <c r="R18">
        <v>45.630597999999999</v>
      </c>
      <c r="X18">
        <v>55.75</v>
      </c>
      <c r="Y18">
        <v>13.9375</v>
      </c>
      <c r="Z18">
        <v>54.71</v>
      </c>
      <c r="AA18">
        <v>56.79</v>
      </c>
      <c r="AB18">
        <v>45.7</v>
      </c>
      <c r="AC18">
        <v>11.425000000000001</v>
      </c>
      <c r="AD18">
        <v>12.37</v>
      </c>
      <c r="AE18">
        <v>79.040000000000006</v>
      </c>
      <c r="AF18">
        <v>90.1</v>
      </c>
      <c r="AG18">
        <v>22.524999999999999</v>
      </c>
      <c r="AH18">
        <v>84.36</v>
      </c>
      <c r="AI18">
        <v>95.84</v>
      </c>
      <c r="AJ18">
        <v>89.21</v>
      </c>
      <c r="AK18">
        <v>22.302499999999998</v>
      </c>
      <c r="AL18">
        <v>77.180000000000007</v>
      </c>
      <c r="AM18">
        <v>101.25</v>
      </c>
      <c r="AO18" s="1"/>
      <c r="AP18" s="1"/>
      <c r="AQ18" t="s">
        <v>215</v>
      </c>
      <c r="AR18" t="s">
        <v>215</v>
      </c>
      <c r="AT18">
        <v>1.8399142109718901E-2</v>
      </c>
      <c r="AU18" t="s">
        <v>957</v>
      </c>
      <c r="AV18">
        <v>7.63</v>
      </c>
      <c r="AW18">
        <v>3.9143376052379601E-2</v>
      </c>
      <c r="AX18">
        <v>0</v>
      </c>
      <c r="AY18" t="s">
        <v>56</v>
      </c>
      <c r="AZ18" t="s">
        <v>54</v>
      </c>
      <c r="BA18" t="s">
        <v>583</v>
      </c>
      <c r="BD18" t="s">
        <v>212</v>
      </c>
      <c r="BE18" t="s">
        <v>299</v>
      </c>
      <c r="BK18" t="s">
        <v>54</v>
      </c>
    </row>
    <row r="19" spans="1:63" hidden="1" x14ac:dyDescent="0.3">
      <c r="A19" t="s">
        <v>670</v>
      </c>
      <c r="B19" t="s">
        <v>98</v>
      </c>
      <c r="C19">
        <v>73508</v>
      </c>
      <c r="D19">
        <v>0</v>
      </c>
      <c r="E19" t="s">
        <v>62</v>
      </c>
      <c r="F19">
        <v>102</v>
      </c>
      <c r="G19" t="s">
        <v>52</v>
      </c>
      <c r="H19">
        <v>9</v>
      </c>
      <c r="J19">
        <v>102</v>
      </c>
      <c r="K19" t="s">
        <v>60</v>
      </c>
      <c r="L19">
        <v>5</v>
      </c>
      <c r="M19" t="s">
        <v>671</v>
      </c>
      <c r="N19" t="s">
        <v>300</v>
      </c>
      <c r="O19" t="s">
        <v>300</v>
      </c>
      <c r="P19" t="s">
        <v>958</v>
      </c>
      <c r="Q19">
        <v>-84.227096700000004</v>
      </c>
      <c r="R19">
        <v>45.392431700000003</v>
      </c>
      <c r="S19">
        <v>88</v>
      </c>
      <c r="T19">
        <v>4</v>
      </c>
      <c r="U19" t="s">
        <v>95</v>
      </c>
      <c r="V19">
        <v>39</v>
      </c>
      <c r="W19">
        <v>0.71074380165289253</v>
      </c>
      <c r="X19">
        <v>111.07</v>
      </c>
      <c r="Y19">
        <v>27.767499999999998</v>
      </c>
      <c r="Z19">
        <v>108.53</v>
      </c>
      <c r="AA19">
        <v>113.6</v>
      </c>
      <c r="AB19">
        <v>106.96</v>
      </c>
      <c r="AC19">
        <v>26.74</v>
      </c>
      <c r="AD19">
        <v>102.55</v>
      </c>
      <c r="AE19">
        <v>111.38</v>
      </c>
      <c r="AF19">
        <v>102.98</v>
      </c>
      <c r="AG19">
        <v>25.745000000000001</v>
      </c>
      <c r="AH19">
        <v>98.2</v>
      </c>
      <c r="AI19">
        <v>107.76</v>
      </c>
      <c r="AJ19">
        <v>95.1</v>
      </c>
      <c r="AK19">
        <v>23.774999999999999</v>
      </c>
      <c r="AL19">
        <v>84.72</v>
      </c>
      <c r="AM19">
        <v>105.48</v>
      </c>
      <c r="AO19" s="1"/>
      <c r="AP19" s="1"/>
      <c r="AQ19" t="s">
        <v>215</v>
      </c>
      <c r="AR19" t="s">
        <v>215</v>
      </c>
      <c r="AT19">
        <v>2.5820982717691998</v>
      </c>
      <c r="AU19" t="s">
        <v>959</v>
      </c>
      <c r="AV19">
        <v>14.7</v>
      </c>
      <c r="AW19">
        <v>3.9477080702781699</v>
      </c>
      <c r="AX19">
        <v>0</v>
      </c>
      <c r="AY19" t="s">
        <v>56</v>
      </c>
      <c r="AZ19" t="s">
        <v>54</v>
      </c>
      <c r="BA19" t="s">
        <v>583</v>
      </c>
      <c r="BC19">
        <v>88</v>
      </c>
      <c r="BD19" t="s">
        <v>432</v>
      </c>
      <c r="BE19" t="s">
        <v>298</v>
      </c>
      <c r="BJ19" t="s">
        <v>54</v>
      </c>
      <c r="BK19" t="s">
        <v>54</v>
      </c>
    </row>
    <row r="20" spans="1:63" hidden="1" x14ac:dyDescent="0.3">
      <c r="A20" t="s">
        <v>672</v>
      </c>
      <c r="B20" t="s">
        <v>98</v>
      </c>
      <c r="C20">
        <v>73516</v>
      </c>
      <c r="D20">
        <v>0</v>
      </c>
      <c r="E20" t="s">
        <v>57</v>
      </c>
      <c r="F20">
        <v>102</v>
      </c>
      <c r="G20" t="s">
        <v>52</v>
      </c>
      <c r="H20">
        <v>8</v>
      </c>
      <c r="J20">
        <v>102</v>
      </c>
      <c r="K20" t="s">
        <v>60</v>
      </c>
      <c r="L20">
        <v>45</v>
      </c>
      <c r="M20" t="s">
        <v>673</v>
      </c>
      <c r="N20" t="s">
        <v>300</v>
      </c>
      <c r="O20" t="s">
        <v>300</v>
      </c>
      <c r="P20" t="s">
        <v>960</v>
      </c>
      <c r="Q20">
        <v>-84.234279999999998</v>
      </c>
      <c r="R20">
        <v>45.353873</v>
      </c>
      <c r="S20">
        <v>4</v>
      </c>
      <c r="X20">
        <v>69.19</v>
      </c>
      <c r="Y20">
        <v>17.297499999999999</v>
      </c>
      <c r="Z20">
        <v>67.989999999999995</v>
      </c>
      <c r="AA20">
        <v>70.39</v>
      </c>
      <c r="AB20">
        <v>65.86</v>
      </c>
      <c r="AC20">
        <v>16.465</v>
      </c>
      <c r="AD20">
        <v>63.71</v>
      </c>
      <c r="AE20">
        <v>68.010000000000005</v>
      </c>
      <c r="AF20">
        <v>65.88</v>
      </c>
      <c r="AG20">
        <v>16.47</v>
      </c>
      <c r="AH20">
        <v>65.88</v>
      </c>
      <c r="AI20">
        <v>65.88</v>
      </c>
      <c r="AJ20">
        <v>68.38</v>
      </c>
      <c r="AK20">
        <v>17.094999999999999</v>
      </c>
      <c r="AL20">
        <v>64.92</v>
      </c>
      <c r="AM20">
        <v>71.849999999999994</v>
      </c>
      <c r="AO20" s="1"/>
      <c r="AP20" s="1"/>
      <c r="AQ20" t="s">
        <v>215</v>
      </c>
      <c r="AR20" t="s">
        <v>215</v>
      </c>
      <c r="AT20">
        <v>3.3505141006555501E-2</v>
      </c>
      <c r="AU20" t="s">
        <v>961</v>
      </c>
      <c r="AV20">
        <v>5.32</v>
      </c>
      <c r="AW20">
        <v>0.18775905296206499</v>
      </c>
      <c r="AX20">
        <v>0</v>
      </c>
      <c r="AY20" t="s">
        <v>56</v>
      </c>
      <c r="AZ20" t="s">
        <v>54</v>
      </c>
      <c r="BA20" t="s">
        <v>583</v>
      </c>
      <c r="BC20">
        <v>4</v>
      </c>
      <c r="BD20" t="s">
        <v>432</v>
      </c>
      <c r="BE20" t="s">
        <v>298</v>
      </c>
      <c r="BJ20" t="s">
        <v>54</v>
      </c>
      <c r="BK20" t="s">
        <v>54</v>
      </c>
    </row>
    <row r="21" spans="1:63" hidden="1" x14ac:dyDescent="0.3">
      <c r="A21" t="s">
        <v>605</v>
      </c>
      <c r="B21" t="s">
        <v>98</v>
      </c>
      <c r="C21">
        <v>73519</v>
      </c>
      <c r="D21">
        <v>0</v>
      </c>
      <c r="E21" t="s">
        <v>62</v>
      </c>
      <c r="F21">
        <v>102</v>
      </c>
      <c r="G21" t="s">
        <v>59</v>
      </c>
      <c r="H21">
        <v>6</v>
      </c>
      <c r="J21">
        <v>102</v>
      </c>
      <c r="K21" t="s">
        <v>52</v>
      </c>
      <c r="L21">
        <v>110</v>
      </c>
      <c r="M21" t="s">
        <v>606</v>
      </c>
      <c r="N21" t="s">
        <v>300</v>
      </c>
      <c r="O21" t="s">
        <v>300</v>
      </c>
      <c r="P21" t="s">
        <v>962</v>
      </c>
      <c r="Q21">
        <v>-84.731871299999995</v>
      </c>
      <c r="R21">
        <v>45.784458100000002</v>
      </c>
      <c r="S21">
        <v>2</v>
      </c>
      <c r="X21">
        <v>100.41</v>
      </c>
      <c r="Y21">
        <v>25.102499999999999</v>
      </c>
      <c r="Z21">
        <v>99.22</v>
      </c>
      <c r="AA21">
        <v>101.61</v>
      </c>
      <c r="AB21">
        <v>181.66</v>
      </c>
      <c r="AC21">
        <v>45.414999999999999</v>
      </c>
      <c r="AD21">
        <v>119.29</v>
      </c>
      <c r="AE21">
        <v>244.04</v>
      </c>
      <c r="AF21">
        <v>270.61</v>
      </c>
      <c r="AG21">
        <v>67.652500000000003</v>
      </c>
      <c r="AH21">
        <v>191.8</v>
      </c>
      <c r="AI21">
        <v>349.41</v>
      </c>
      <c r="AJ21">
        <v>242.16</v>
      </c>
      <c r="AK21">
        <v>60.54</v>
      </c>
      <c r="AL21">
        <v>123.96</v>
      </c>
      <c r="AM21">
        <v>360.37</v>
      </c>
      <c r="AO21" s="1"/>
      <c r="AP21" s="1"/>
      <c r="AQ21" t="s">
        <v>215</v>
      </c>
      <c r="AR21" t="s">
        <v>215</v>
      </c>
      <c r="AT21">
        <v>0.26779684634831302</v>
      </c>
      <c r="AU21" t="s">
        <v>963</v>
      </c>
      <c r="AV21">
        <v>7.77</v>
      </c>
      <c r="AW21">
        <v>0.97329108975827705</v>
      </c>
      <c r="AX21">
        <v>0</v>
      </c>
      <c r="AY21" t="s">
        <v>56</v>
      </c>
      <c r="AZ21" t="s">
        <v>54</v>
      </c>
      <c r="BA21" t="s">
        <v>583</v>
      </c>
      <c r="BC21">
        <v>2</v>
      </c>
      <c r="BD21" t="s">
        <v>434</v>
      </c>
      <c r="BE21" t="s">
        <v>303</v>
      </c>
      <c r="BF21" t="s">
        <v>58</v>
      </c>
      <c r="BI21" t="s">
        <v>54</v>
      </c>
      <c r="BK21" t="s">
        <v>54</v>
      </c>
    </row>
    <row r="22" spans="1:63" hidden="1" x14ac:dyDescent="0.3">
      <c r="A22" t="s">
        <v>676</v>
      </c>
      <c r="B22" t="s">
        <v>98</v>
      </c>
      <c r="C22">
        <v>73522</v>
      </c>
      <c r="D22">
        <v>0</v>
      </c>
      <c r="E22" t="s">
        <v>63</v>
      </c>
      <c r="F22">
        <v>102</v>
      </c>
      <c r="G22" t="s">
        <v>53</v>
      </c>
      <c r="H22">
        <v>3</v>
      </c>
      <c r="J22">
        <v>102</v>
      </c>
      <c r="K22" t="s">
        <v>59</v>
      </c>
      <c r="L22">
        <v>195</v>
      </c>
      <c r="M22" t="s">
        <v>677</v>
      </c>
      <c r="N22" t="s">
        <v>300</v>
      </c>
      <c r="O22" t="s">
        <v>300</v>
      </c>
      <c r="P22" t="s">
        <v>964</v>
      </c>
      <c r="Q22">
        <v>-84.475700000000003</v>
      </c>
      <c r="R22">
        <v>45.645423000000001</v>
      </c>
      <c r="S22">
        <v>12</v>
      </c>
      <c r="X22">
        <v>332.89</v>
      </c>
      <c r="Y22">
        <v>83.222499999999997</v>
      </c>
      <c r="Z22">
        <v>277.64</v>
      </c>
      <c r="AA22">
        <v>388.14</v>
      </c>
      <c r="AB22">
        <v>450.21</v>
      </c>
      <c r="AC22">
        <v>112.55249999999999</v>
      </c>
      <c r="AD22">
        <v>399.48</v>
      </c>
      <c r="AE22">
        <v>500.95</v>
      </c>
      <c r="AF22">
        <v>436.88</v>
      </c>
      <c r="AG22">
        <v>109.22</v>
      </c>
      <c r="AH22">
        <v>364.45</v>
      </c>
      <c r="AI22">
        <v>509.31</v>
      </c>
      <c r="AJ22">
        <v>366.34</v>
      </c>
      <c r="AK22">
        <v>91.584999999999994</v>
      </c>
      <c r="AL22">
        <v>305.27</v>
      </c>
      <c r="AM22">
        <v>427.42</v>
      </c>
      <c r="AO22" s="1"/>
      <c r="AP22" s="1"/>
      <c r="AQ22" t="s">
        <v>215</v>
      </c>
      <c r="AR22" t="s">
        <v>215</v>
      </c>
      <c r="AT22">
        <v>4.1812952410114998E-2</v>
      </c>
      <c r="AU22" t="s">
        <v>965</v>
      </c>
      <c r="AV22">
        <v>6.39</v>
      </c>
      <c r="AW22">
        <v>0.13846872933208901</v>
      </c>
      <c r="AX22">
        <v>0</v>
      </c>
      <c r="AY22" t="s">
        <v>56</v>
      </c>
      <c r="AZ22" t="s">
        <v>54</v>
      </c>
      <c r="BA22" t="s">
        <v>583</v>
      </c>
      <c r="BC22">
        <v>12</v>
      </c>
      <c r="BD22" t="s">
        <v>432</v>
      </c>
      <c r="BE22" t="s">
        <v>298</v>
      </c>
      <c r="BJ22" t="s">
        <v>54</v>
      </c>
      <c r="BK22" t="s">
        <v>54</v>
      </c>
    </row>
    <row r="23" spans="1:63" hidden="1" x14ac:dyDescent="0.3">
      <c r="A23" t="s">
        <v>797</v>
      </c>
      <c r="B23" t="s">
        <v>98</v>
      </c>
      <c r="C23">
        <v>73523</v>
      </c>
      <c r="D23">
        <v>0</v>
      </c>
      <c r="E23" t="s">
        <v>63</v>
      </c>
      <c r="F23">
        <v>102</v>
      </c>
      <c r="G23" t="s">
        <v>52</v>
      </c>
      <c r="H23">
        <v>29</v>
      </c>
      <c r="J23">
        <v>102</v>
      </c>
      <c r="K23" t="s">
        <v>53</v>
      </c>
      <c r="L23">
        <v>155</v>
      </c>
      <c r="M23" t="s">
        <v>756</v>
      </c>
      <c r="N23" t="s">
        <v>300</v>
      </c>
      <c r="O23" t="s">
        <v>300</v>
      </c>
      <c r="P23" t="s">
        <v>966</v>
      </c>
      <c r="Q23">
        <v>-83.816292000000004</v>
      </c>
      <c r="R23">
        <v>45.420405000000002</v>
      </c>
      <c r="X23">
        <v>46.7</v>
      </c>
      <c r="Y23">
        <v>11.675000000000001</v>
      </c>
      <c r="Z23">
        <v>41.43</v>
      </c>
      <c r="AA23">
        <v>51.96</v>
      </c>
      <c r="AB23">
        <v>31.73</v>
      </c>
      <c r="AC23">
        <v>7.9325000000000001</v>
      </c>
      <c r="AD23">
        <v>21.94</v>
      </c>
      <c r="AE23">
        <v>41.52</v>
      </c>
      <c r="AF23">
        <v>28.08</v>
      </c>
      <c r="AG23">
        <v>7.02</v>
      </c>
      <c r="AH23">
        <v>25.74</v>
      </c>
      <c r="AI23">
        <v>30.42</v>
      </c>
      <c r="AJ23">
        <v>37.450000000000003</v>
      </c>
      <c r="AK23">
        <v>9.3625000000000007</v>
      </c>
      <c r="AL23">
        <v>30.42</v>
      </c>
      <c r="AM23">
        <v>44.47</v>
      </c>
      <c r="AO23" s="1"/>
      <c r="AP23" s="1"/>
      <c r="AQ23" t="s">
        <v>215</v>
      </c>
      <c r="AR23" t="s">
        <v>215</v>
      </c>
      <c r="AT23">
        <v>0.24354961787431201</v>
      </c>
      <c r="AU23" t="s">
        <v>967</v>
      </c>
      <c r="AV23">
        <v>4.6900000000000004</v>
      </c>
      <c r="AW23">
        <v>0.67881354689598095</v>
      </c>
      <c r="AX23">
        <v>0</v>
      </c>
      <c r="AY23" t="s">
        <v>56</v>
      </c>
      <c r="AZ23" t="s">
        <v>54</v>
      </c>
      <c r="BA23" t="s">
        <v>583</v>
      </c>
      <c r="BD23" t="s">
        <v>434</v>
      </c>
      <c r="BE23" t="s">
        <v>303</v>
      </c>
      <c r="BF23" t="s">
        <v>60</v>
      </c>
      <c r="BI23" t="s">
        <v>54</v>
      </c>
      <c r="BK23" t="s">
        <v>54</v>
      </c>
    </row>
    <row r="24" spans="1:63" hidden="1" x14ac:dyDescent="0.3">
      <c r="A24" t="s">
        <v>603</v>
      </c>
      <c r="B24" t="s">
        <v>98</v>
      </c>
      <c r="C24">
        <v>73523</v>
      </c>
      <c r="D24">
        <v>1</v>
      </c>
      <c r="E24" t="s">
        <v>63</v>
      </c>
      <c r="F24">
        <v>102</v>
      </c>
      <c r="G24" t="s">
        <v>60</v>
      </c>
      <c r="H24">
        <v>7</v>
      </c>
      <c r="J24">
        <v>102</v>
      </c>
      <c r="K24" t="s">
        <v>53</v>
      </c>
      <c r="L24">
        <v>200</v>
      </c>
      <c r="M24" t="s">
        <v>604</v>
      </c>
      <c r="N24" t="s">
        <v>300</v>
      </c>
      <c r="O24" t="s">
        <v>300</v>
      </c>
      <c r="P24" t="s">
        <v>968</v>
      </c>
      <c r="Q24">
        <v>-83.69880182</v>
      </c>
      <c r="R24">
        <v>45.260808490000002</v>
      </c>
      <c r="X24">
        <v>24.81</v>
      </c>
      <c r="Y24">
        <v>6.2024999999999997</v>
      </c>
      <c r="Z24">
        <v>21.07</v>
      </c>
      <c r="AA24">
        <v>28.54</v>
      </c>
      <c r="AB24">
        <v>20.95</v>
      </c>
      <c r="AC24">
        <v>5.2374999999999998</v>
      </c>
      <c r="AD24">
        <v>19.2</v>
      </c>
      <c r="AE24">
        <v>22.7</v>
      </c>
      <c r="AF24">
        <v>13.39</v>
      </c>
      <c r="AG24">
        <v>3.3475000000000001</v>
      </c>
      <c r="AH24">
        <v>12.27</v>
      </c>
      <c r="AI24">
        <v>14.5</v>
      </c>
      <c r="AJ24">
        <v>24.11</v>
      </c>
      <c r="AK24">
        <v>6.0274999999999999</v>
      </c>
      <c r="AL24">
        <v>20.53</v>
      </c>
      <c r="AM24">
        <v>27.69</v>
      </c>
      <c r="AO24" s="1"/>
      <c r="AP24" s="1"/>
      <c r="AQ24" t="s">
        <v>215</v>
      </c>
      <c r="AR24" t="s">
        <v>215</v>
      </c>
      <c r="AT24">
        <v>4.3169317165439702</v>
      </c>
      <c r="AU24" t="s">
        <v>969</v>
      </c>
      <c r="AV24">
        <v>7.16</v>
      </c>
      <c r="AW24">
        <v>4.3282908350229299</v>
      </c>
      <c r="AX24">
        <v>0</v>
      </c>
      <c r="AY24" t="s">
        <v>56</v>
      </c>
      <c r="AZ24" t="s">
        <v>54</v>
      </c>
      <c r="BA24" t="s">
        <v>583</v>
      </c>
      <c r="BD24" t="s">
        <v>435</v>
      </c>
      <c r="BE24" t="s">
        <v>301</v>
      </c>
      <c r="BF24" t="s">
        <v>58</v>
      </c>
      <c r="BG24" t="s">
        <v>54</v>
      </c>
      <c r="BK24" t="s">
        <v>54</v>
      </c>
    </row>
    <row r="25" spans="1:63" hidden="1" x14ac:dyDescent="0.3">
      <c r="A25" t="s">
        <v>853</v>
      </c>
      <c r="B25" t="s">
        <v>98</v>
      </c>
      <c r="C25">
        <v>99152</v>
      </c>
      <c r="D25">
        <v>1</v>
      </c>
      <c r="E25" t="s">
        <v>57</v>
      </c>
      <c r="F25">
        <v>102</v>
      </c>
      <c r="G25" t="s">
        <v>52</v>
      </c>
      <c r="H25">
        <v>9</v>
      </c>
      <c r="J25">
        <v>102</v>
      </c>
      <c r="K25" t="s">
        <v>60</v>
      </c>
      <c r="L25">
        <v>30</v>
      </c>
      <c r="M25" t="s">
        <v>854</v>
      </c>
      <c r="N25" t="s">
        <v>300</v>
      </c>
      <c r="O25" t="s">
        <v>300</v>
      </c>
      <c r="P25" t="s">
        <v>970</v>
      </c>
      <c r="Q25">
        <v>-84.241833</v>
      </c>
      <c r="R25">
        <v>45.354315999999997</v>
      </c>
      <c r="X25">
        <v>47.71</v>
      </c>
      <c r="Y25">
        <v>11.9275</v>
      </c>
      <c r="Z25">
        <v>46.98</v>
      </c>
      <c r="AA25">
        <v>48.44</v>
      </c>
      <c r="AB25">
        <v>47.39</v>
      </c>
      <c r="AC25">
        <v>11.8475</v>
      </c>
      <c r="AD25">
        <v>41.67</v>
      </c>
      <c r="AE25">
        <v>53.11</v>
      </c>
      <c r="AF25">
        <v>36.54</v>
      </c>
      <c r="AG25">
        <v>9.1349999999999998</v>
      </c>
      <c r="AH25">
        <v>33.94</v>
      </c>
      <c r="AI25">
        <v>39.14</v>
      </c>
      <c r="AJ25">
        <v>36.549999999999997</v>
      </c>
      <c r="AK25">
        <v>9.1374999999999993</v>
      </c>
      <c r="AL25">
        <v>33.94</v>
      </c>
      <c r="AM25">
        <v>39.15</v>
      </c>
      <c r="AO25" s="1"/>
      <c r="AP25" s="1"/>
      <c r="AQ25" t="s">
        <v>215</v>
      </c>
      <c r="AR25" t="s">
        <v>215</v>
      </c>
      <c r="AT25">
        <v>0.36746170154191199</v>
      </c>
      <c r="AU25" t="s">
        <v>971</v>
      </c>
      <c r="AV25">
        <v>2.31</v>
      </c>
      <c r="AW25">
        <v>0.54057944007217895</v>
      </c>
      <c r="AX25">
        <v>0</v>
      </c>
      <c r="AY25" t="s">
        <v>56</v>
      </c>
      <c r="AZ25" t="s">
        <v>54</v>
      </c>
      <c r="BA25" t="s">
        <v>583</v>
      </c>
      <c r="BD25" t="s">
        <v>432</v>
      </c>
      <c r="BE25" t="s">
        <v>298</v>
      </c>
      <c r="BJ25" t="s">
        <v>54</v>
      </c>
      <c r="BK25" t="s">
        <v>54</v>
      </c>
    </row>
    <row r="26" spans="1:63" hidden="1" x14ac:dyDescent="0.3">
      <c r="A26" t="s">
        <v>909</v>
      </c>
      <c r="B26" t="s">
        <v>98</v>
      </c>
      <c r="C26">
        <v>73524</v>
      </c>
      <c r="D26">
        <v>0</v>
      </c>
      <c r="E26" t="s">
        <v>63</v>
      </c>
      <c r="F26">
        <v>102</v>
      </c>
      <c r="G26" t="s">
        <v>52</v>
      </c>
      <c r="H26">
        <v>19</v>
      </c>
      <c r="J26">
        <v>102</v>
      </c>
      <c r="K26" t="s">
        <v>60</v>
      </c>
      <c r="L26">
        <v>10</v>
      </c>
      <c r="M26" t="s">
        <v>910</v>
      </c>
      <c r="N26" t="s">
        <v>303</v>
      </c>
      <c r="O26" t="s">
        <v>303</v>
      </c>
      <c r="P26" t="s">
        <v>972</v>
      </c>
      <c r="Q26">
        <v>-84.229347000000004</v>
      </c>
      <c r="R26">
        <v>45.431384000000001</v>
      </c>
      <c r="X26">
        <v>26.21</v>
      </c>
      <c r="Y26">
        <v>13.105</v>
      </c>
      <c r="Z26">
        <v>24.03</v>
      </c>
      <c r="AA26">
        <v>28.4</v>
      </c>
      <c r="AB26">
        <v>30.76</v>
      </c>
      <c r="AC26">
        <v>15.38</v>
      </c>
      <c r="AD26">
        <v>28.56</v>
      </c>
      <c r="AE26">
        <v>32.96</v>
      </c>
      <c r="AF26">
        <v>27.91</v>
      </c>
      <c r="AG26">
        <v>13.955</v>
      </c>
      <c r="AH26">
        <v>25.59</v>
      </c>
      <c r="AI26">
        <v>30.24</v>
      </c>
      <c r="AJ26">
        <v>32.57</v>
      </c>
      <c r="AK26">
        <v>16.285</v>
      </c>
      <c r="AL26">
        <v>30.24</v>
      </c>
      <c r="AM26">
        <v>34.89</v>
      </c>
      <c r="AO26" s="1"/>
      <c r="AP26" s="1"/>
      <c r="AQ26" t="s">
        <v>215</v>
      </c>
      <c r="AR26" t="s">
        <v>215</v>
      </c>
      <c r="AT26">
        <v>2.6925194106620101</v>
      </c>
      <c r="AU26" t="s">
        <v>973</v>
      </c>
      <c r="AV26">
        <v>4.42</v>
      </c>
      <c r="AW26">
        <v>3.0898676682263599</v>
      </c>
      <c r="AX26">
        <v>0</v>
      </c>
      <c r="AY26" t="s">
        <v>56</v>
      </c>
      <c r="AZ26" t="s">
        <v>54</v>
      </c>
      <c r="BA26" t="s">
        <v>583</v>
      </c>
      <c r="BK26" t="s">
        <v>54</v>
      </c>
    </row>
    <row r="27" spans="1:63" hidden="1" x14ac:dyDescent="0.3">
      <c r="A27" t="s">
        <v>782</v>
      </c>
      <c r="B27" t="s">
        <v>98</v>
      </c>
      <c r="C27">
        <v>73526</v>
      </c>
      <c r="D27">
        <v>0</v>
      </c>
      <c r="E27" t="s">
        <v>63</v>
      </c>
      <c r="F27">
        <v>102</v>
      </c>
      <c r="G27" t="s">
        <v>53</v>
      </c>
      <c r="H27">
        <v>15</v>
      </c>
      <c r="J27">
        <v>102</v>
      </c>
      <c r="K27" t="s">
        <v>52</v>
      </c>
      <c r="L27">
        <v>145</v>
      </c>
      <c r="M27" t="s">
        <v>900</v>
      </c>
      <c r="N27" t="s">
        <v>323</v>
      </c>
      <c r="O27" t="s">
        <v>323</v>
      </c>
      <c r="P27" t="s">
        <v>974</v>
      </c>
      <c r="Q27">
        <v>-84.726832999999999</v>
      </c>
      <c r="R27">
        <v>45.777702300000001</v>
      </c>
      <c r="AB27">
        <v>10.16</v>
      </c>
      <c r="AC27">
        <v>5.08</v>
      </c>
      <c r="AD27">
        <v>0.23</v>
      </c>
      <c r="AE27">
        <v>20.100000000000001</v>
      </c>
      <c r="AF27">
        <v>25.39</v>
      </c>
      <c r="AG27">
        <v>12.695</v>
      </c>
      <c r="AH27">
        <v>23.58</v>
      </c>
      <c r="AI27">
        <v>27.2</v>
      </c>
      <c r="AO27" s="1"/>
      <c r="AP27" s="1"/>
      <c r="AQ27" t="s">
        <v>215</v>
      </c>
      <c r="AR27" t="s">
        <v>215</v>
      </c>
      <c r="AT27">
        <v>6.9586506347950799E-2</v>
      </c>
      <c r="AU27" t="s">
        <v>975</v>
      </c>
      <c r="AW27">
        <v>0.37060444429516798</v>
      </c>
      <c r="AX27">
        <v>0</v>
      </c>
      <c r="AY27" t="s">
        <v>56</v>
      </c>
      <c r="AZ27" t="s">
        <v>54</v>
      </c>
      <c r="BA27" t="s">
        <v>583</v>
      </c>
      <c r="BH27" t="s">
        <v>976</v>
      </c>
      <c r="BK27" t="s">
        <v>54</v>
      </c>
    </row>
    <row r="28" spans="1:63" hidden="1" x14ac:dyDescent="0.3">
      <c r="A28" t="s">
        <v>740</v>
      </c>
      <c r="B28" t="s">
        <v>98</v>
      </c>
      <c r="C28">
        <v>99137</v>
      </c>
      <c r="D28">
        <v>0</v>
      </c>
      <c r="E28" t="s">
        <v>62</v>
      </c>
      <c r="F28">
        <v>102</v>
      </c>
      <c r="G28" t="s">
        <v>52</v>
      </c>
      <c r="H28">
        <v>20</v>
      </c>
      <c r="J28">
        <v>102</v>
      </c>
      <c r="K28" t="s">
        <v>53</v>
      </c>
      <c r="L28">
        <v>120</v>
      </c>
      <c r="M28" t="s">
        <v>741</v>
      </c>
      <c r="N28" t="s">
        <v>323</v>
      </c>
      <c r="O28" t="s">
        <v>323</v>
      </c>
      <c r="P28" t="s">
        <v>977</v>
      </c>
      <c r="Q28">
        <v>-83.831024999999997</v>
      </c>
      <c r="R28">
        <v>45.418256</v>
      </c>
      <c r="S28">
        <v>4</v>
      </c>
      <c r="X28">
        <v>85.41</v>
      </c>
      <c r="Y28">
        <v>42.704999999999998</v>
      </c>
      <c r="Z28">
        <v>70.52</v>
      </c>
      <c r="AA28">
        <v>100.31</v>
      </c>
      <c r="AB28">
        <v>54.09</v>
      </c>
      <c r="AC28">
        <v>27.045000000000002</v>
      </c>
      <c r="AD28">
        <v>46.91</v>
      </c>
      <c r="AE28">
        <v>61.27</v>
      </c>
      <c r="AF28">
        <v>59.49</v>
      </c>
      <c r="AG28">
        <v>29.745000000000001</v>
      </c>
      <c r="AH28">
        <v>49.12</v>
      </c>
      <c r="AI28">
        <v>69.87</v>
      </c>
      <c r="AJ28">
        <v>72.14</v>
      </c>
      <c r="AK28">
        <v>36.07</v>
      </c>
      <c r="AL28">
        <v>60.5</v>
      </c>
      <c r="AM28">
        <v>83.78</v>
      </c>
      <c r="AO28" s="1"/>
      <c r="AP28" s="1"/>
      <c r="AQ28" t="s">
        <v>215</v>
      </c>
      <c r="AR28" t="s">
        <v>215</v>
      </c>
      <c r="AT28">
        <v>0.64075559730614295</v>
      </c>
      <c r="AU28" t="s">
        <v>978</v>
      </c>
      <c r="AV28">
        <v>11.75</v>
      </c>
      <c r="AW28">
        <v>1.07909668795764</v>
      </c>
      <c r="AX28">
        <v>0</v>
      </c>
      <c r="AY28" t="s">
        <v>56</v>
      </c>
      <c r="AZ28" t="s">
        <v>54</v>
      </c>
      <c r="BA28" t="s">
        <v>583</v>
      </c>
      <c r="BC28">
        <v>4</v>
      </c>
      <c r="BK28" t="s">
        <v>54</v>
      </c>
    </row>
    <row r="29" spans="1:63" hidden="1" x14ac:dyDescent="0.3">
      <c r="A29" t="s">
        <v>742</v>
      </c>
      <c r="B29" t="s">
        <v>98</v>
      </c>
      <c r="C29">
        <v>99137</v>
      </c>
      <c r="D29">
        <v>1</v>
      </c>
      <c r="E29" t="s">
        <v>64</v>
      </c>
      <c r="F29">
        <v>102</v>
      </c>
      <c r="G29" t="s">
        <v>52</v>
      </c>
      <c r="H29">
        <v>26</v>
      </c>
      <c r="J29">
        <v>102</v>
      </c>
      <c r="K29" t="s">
        <v>53</v>
      </c>
      <c r="L29">
        <v>160</v>
      </c>
      <c r="M29" t="s">
        <v>743</v>
      </c>
      <c r="N29" t="s">
        <v>323</v>
      </c>
      <c r="O29" t="s">
        <v>323</v>
      </c>
      <c r="P29" t="s">
        <v>979</v>
      </c>
      <c r="Q29">
        <v>-83.814762479999999</v>
      </c>
      <c r="R29">
        <v>45.418568569999998</v>
      </c>
      <c r="S29">
        <v>4</v>
      </c>
      <c r="X29">
        <v>63.45</v>
      </c>
      <c r="Y29">
        <v>31.725000000000001</v>
      </c>
      <c r="Z29">
        <v>52.75</v>
      </c>
      <c r="AA29">
        <v>74.16</v>
      </c>
      <c r="AB29">
        <v>49.86</v>
      </c>
      <c r="AC29">
        <v>24.93</v>
      </c>
      <c r="AD29">
        <v>37.700000000000003</v>
      </c>
      <c r="AE29">
        <v>62.02</v>
      </c>
      <c r="AF29">
        <v>58.86</v>
      </c>
      <c r="AG29">
        <v>29.43</v>
      </c>
      <c r="AH29">
        <v>46.98</v>
      </c>
      <c r="AI29">
        <v>70.75</v>
      </c>
      <c r="AJ29">
        <v>56.47</v>
      </c>
      <c r="AK29">
        <v>28.234999999999999</v>
      </c>
      <c r="AL29">
        <v>47.15</v>
      </c>
      <c r="AM29">
        <v>65.790000000000006</v>
      </c>
      <c r="AO29" s="1"/>
      <c r="AP29" s="1"/>
      <c r="AQ29" t="s">
        <v>215</v>
      </c>
      <c r="AR29" t="s">
        <v>215</v>
      </c>
      <c r="AT29">
        <v>0.226142240402089</v>
      </c>
      <c r="AU29" t="s">
        <v>980</v>
      </c>
      <c r="AV29">
        <v>8.4</v>
      </c>
      <c r="AW29">
        <v>1.0548535306006701</v>
      </c>
      <c r="AX29">
        <v>0</v>
      </c>
      <c r="AY29" t="s">
        <v>56</v>
      </c>
      <c r="AZ29" t="s">
        <v>54</v>
      </c>
      <c r="BA29" t="s">
        <v>583</v>
      </c>
      <c r="BC29">
        <v>4</v>
      </c>
      <c r="BK29" t="s">
        <v>54</v>
      </c>
    </row>
    <row r="30" spans="1:63" hidden="1" x14ac:dyDescent="0.3">
      <c r="A30" t="s">
        <v>744</v>
      </c>
      <c r="B30" t="s">
        <v>98</v>
      </c>
      <c r="C30">
        <v>99137</v>
      </c>
      <c r="D30">
        <v>2</v>
      </c>
      <c r="E30" t="s">
        <v>57</v>
      </c>
      <c r="F30">
        <v>102</v>
      </c>
      <c r="G30" t="s">
        <v>52</v>
      </c>
      <c r="H30">
        <v>1</v>
      </c>
      <c r="J30">
        <v>102</v>
      </c>
      <c r="K30" t="s">
        <v>58</v>
      </c>
      <c r="L30">
        <v>20</v>
      </c>
      <c r="M30" t="s">
        <v>745</v>
      </c>
      <c r="N30" t="s">
        <v>323</v>
      </c>
      <c r="O30" t="s">
        <v>323</v>
      </c>
      <c r="P30" t="s">
        <v>981</v>
      </c>
      <c r="Q30">
        <v>-84.059679000000003</v>
      </c>
      <c r="R30">
        <v>45.337508999999997</v>
      </c>
      <c r="S30">
        <v>4</v>
      </c>
      <c r="X30">
        <v>49.15</v>
      </c>
      <c r="Y30">
        <v>24.574999999999999</v>
      </c>
      <c r="Z30">
        <v>45.64</v>
      </c>
      <c r="AA30">
        <v>52.66</v>
      </c>
      <c r="AB30">
        <v>37.46</v>
      </c>
      <c r="AC30">
        <v>18.73</v>
      </c>
      <c r="AD30">
        <v>34.340000000000003</v>
      </c>
      <c r="AE30">
        <v>40.590000000000003</v>
      </c>
      <c r="AF30">
        <v>48.01</v>
      </c>
      <c r="AG30">
        <v>24.004999999999999</v>
      </c>
      <c r="AH30">
        <v>44.58</v>
      </c>
      <c r="AI30">
        <v>51.44</v>
      </c>
      <c r="AJ30">
        <v>49.78</v>
      </c>
      <c r="AK30">
        <v>24.89</v>
      </c>
      <c r="AL30">
        <v>44.16</v>
      </c>
      <c r="AM30">
        <v>55.4</v>
      </c>
      <c r="AO30" s="1"/>
      <c r="AP30" s="1"/>
      <c r="AQ30" t="s">
        <v>215</v>
      </c>
      <c r="AR30" t="s">
        <v>215</v>
      </c>
      <c r="AT30">
        <v>47.968675043834502</v>
      </c>
      <c r="AU30" t="s">
        <v>982</v>
      </c>
      <c r="AV30">
        <v>11.17</v>
      </c>
      <c r="AW30">
        <v>60.117776362225399</v>
      </c>
      <c r="AX30">
        <v>0</v>
      </c>
      <c r="AY30" t="s">
        <v>56</v>
      </c>
      <c r="AZ30" t="s">
        <v>54</v>
      </c>
      <c r="BA30" t="s">
        <v>583</v>
      </c>
      <c r="BC30">
        <v>4</v>
      </c>
      <c r="BK30" t="s">
        <v>54</v>
      </c>
    </row>
    <row r="31" spans="1:63" hidden="1" x14ac:dyDescent="0.3">
      <c r="A31" t="s">
        <v>855</v>
      </c>
      <c r="B31" t="s">
        <v>98</v>
      </c>
      <c r="C31">
        <v>99161</v>
      </c>
      <c r="D31">
        <v>96</v>
      </c>
      <c r="E31" t="s">
        <v>62</v>
      </c>
      <c r="F31">
        <v>102</v>
      </c>
      <c r="G31" t="s">
        <v>52</v>
      </c>
      <c r="H31">
        <v>8</v>
      </c>
      <c r="J31">
        <v>102</v>
      </c>
      <c r="K31" t="s">
        <v>60</v>
      </c>
      <c r="L31">
        <v>65</v>
      </c>
      <c r="M31" t="s">
        <v>856</v>
      </c>
      <c r="N31" t="s">
        <v>300</v>
      </c>
      <c r="O31" t="s">
        <v>300</v>
      </c>
      <c r="P31" t="s">
        <v>983</v>
      </c>
      <c r="Q31">
        <v>-84.225686999999994</v>
      </c>
      <c r="R31">
        <v>45.356912000000001</v>
      </c>
      <c r="V31">
        <v>0</v>
      </c>
      <c r="AO31" s="1"/>
      <c r="AP31" s="1"/>
      <c r="AQ31" t="s">
        <v>215</v>
      </c>
      <c r="AR31" t="s">
        <v>215</v>
      </c>
      <c r="AT31">
        <v>0</v>
      </c>
      <c r="AU31" t="s">
        <v>984</v>
      </c>
      <c r="AV31">
        <v>0.17</v>
      </c>
      <c r="AW31">
        <v>0</v>
      </c>
      <c r="AX31">
        <v>0</v>
      </c>
      <c r="AY31" t="s">
        <v>56</v>
      </c>
      <c r="AZ31" t="s">
        <v>54</v>
      </c>
      <c r="BA31" t="s">
        <v>583</v>
      </c>
      <c r="BD31" t="s">
        <v>432</v>
      </c>
      <c r="BE31" t="s">
        <v>298</v>
      </c>
      <c r="BJ31" t="s">
        <v>54</v>
      </c>
      <c r="BK31" t="s">
        <v>54</v>
      </c>
    </row>
    <row r="32" spans="1:63" hidden="1" x14ac:dyDescent="0.3">
      <c r="A32" t="s">
        <v>836</v>
      </c>
      <c r="B32" t="s">
        <v>98</v>
      </c>
      <c r="C32">
        <v>73535</v>
      </c>
      <c r="D32">
        <v>0</v>
      </c>
      <c r="E32" t="s">
        <v>62</v>
      </c>
      <c r="F32">
        <v>102</v>
      </c>
      <c r="G32" t="s">
        <v>60</v>
      </c>
      <c r="H32">
        <v>12</v>
      </c>
      <c r="J32">
        <v>102</v>
      </c>
      <c r="K32" t="s">
        <v>53</v>
      </c>
      <c r="L32">
        <v>210</v>
      </c>
      <c r="M32" t="s">
        <v>880</v>
      </c>
      <c r="N32" t="s">
        <v>302</v>
      </c>
      <c r="O32" t="s">
        <v>302</v>
      </c>
      <c r="P32" t="s">
        <v>985</v>
      </c>
      <c r="Q32">
        <v>-83.590537999999995</v>
      </c>
      <c r="R32">
        <v>45.130426</v>
      </c>
      <c r="X32">
        <v>12.97</v>
      </c>
      <c r="Y32">
        <v>12.97</v>
      </c>
      <c r="Z32">
        <v>11.88</v>
      </c>
      <c r="AA32">
        <v>14.05</v>
      </c>
      <c r="AB32">
        <v>8.69</v>
      </c>
      <c r="AC32">
        <v>8.69</v>
      </c>
      <c r="AD32">
        <v>2.17</v>
      </c>
      <c r="AE32">
        <v>15.21</v>
      </c>
      <c r="AF32">
        <v>13.04</v>
      </c>
      <c r="AG32">
        <v>13.04</v>
      </c>
      <c r="AH32">
        <v>11.95</v>
      </c>
      <c r="AI32">
        <v>14.13</v>
      </c>
      <c r="AJ32">
        <v>17.39</v>
      </c>
      <c r="AK32">
        <v>17.39</v>
      </c>
      <c r="AL32">
        <v>14.13</v>
      </c>
      <c r="AM32">
        <v>20.65</v>
      </c>
      <c r="AO32" s="1"/>
      <c r="AP32" s="1"/>
      <c r="AQ32" t="s">
        <v>215</v>
      </c>
      <c r="AR32" t="s">
        <v>215</v>
      </c>
      <c r="AT32">
        <v>3.8387646730576801</v>
      </c>
      <c r="AU32" t="s">
        <v>986</v>
      </c>
      <c r="AV32">
        <v>10.029999999999999</v>
      </c>
      <c r="AW32">
        <v>4.2535904571414003</v>
      </c>
      <c r="AX32">
        <v>0</v>
      </c>
      <c r="AY32" t="s">
        <v>56</v>
      </c>
      <c r="AZ32" t="s">
        <v>54</v>
      </c>
      <c r="BA32" t="s">
        <v>583</v>
      </c>
      <c r="BK32" t="s">
        <v>54</v>
      </c>
    </row>
    <row r="33" spans="1:63" hidden="1" x14ac:dyDescent="0.3">
      <c r="A33" t="s">
        <v>678</v>
      </c>
      <c r="B33" t="s">
        <v>98</v>
      </c>
      <c r="C33">
        <v>73539</v>
      </c>
      <c r="D33">
        <v>0</v>
      </c>
      <c r="E33" t="s">
        <v>64</v>
      </c>
      <c r="F33">
        <v>102</v>
      </c>
      <c r="G33" t="s">
        <v>53</v>
      </c>
      <c r="H33">
        <v>2</v>
      </c>
      <c r="J33">
        <v>102</v>
      </c>
      <c r="K33" t="s">
        <v>59</v>
      </c>
      <c r="L33">
        <v>185</v>
      </c>
      <c r="M33" t="s">
        <v>679</v>
      </c>
      <c r="N33" t="s">
        <v>303</v>
      </c>
      <c r="O33" t="s">
        <v>303</v>
      </c>
      <c r="P33" t="s">
        <v>987</v>
      </c>
      <c r="Q33">
        <v>-84.473200000000006</v>
      </c>
      <c r="R33">
        <v>45.647824</v>
      </c>
      <c r="S33">
        <v>18</v>
      </c>
      <c r="X33">
        <v>34.97</v>
      </c>
      <c r="Y33">
        <v>17.484999999999999</v>
      </c>
      <c r="Z33">
        <v>32.06</v>
      </c>
      <c r="AA33">
        <v>37.89</v>
      </c>
      <c r="AB33">
        <v>39.72</v>
      </c>
      <c r="AC33">
        <v>19.86</v>
      </c>
      <c r="AD33">
        <v>36.19</v>
      </c>
      <c r="AE33">
        <v>43.25</v>
      </c>
      <c r="AF33">
        <v>27.68</v>
      </c>
      <c r="AG33">
        <v>13.84</v>
      </c>
      <c r="AH33">
        <v>25.38</v>
      </c>
      <c r="AI33">
        <v>29.99</v>
      </c>
      <c r="AJ33">
        <v>32.299999999999997</v>
      </c>
      <c r="AK33">
        <v>16.149999999999999</v>
      </c>
      <c r="AL33">
        <v>29.99</v>
      </c>
      <c r="AM33">
        <v>34.6</v>
      </c>
      <c r="AO33" s="1"/>
      <c r="AP33" s="1"/>
      <c r="AQ33" t="s">
        <v>215</v>
      </c>
      <c r="AR33" t="s">
        <v>215</v>
      </c>
      <c r="AT33">
        <v>2.0530729976280502</v>
      </c>
      <c r="AU33" t="s">
        <v>988</v>
      </c>
      <c r="AV33">
        <v>5.66</v>
      </c>
      <c r="AW33">
        <v>6.2720578406006098</v>
      </c>
      <c r="AX33">
        <v>0</v>
      </c>
      <c r="AY33" t="s">
        <v>56</v>
      </c>
      <c r="AZ33" t="s">
        <v>54</v>
      </c>
      <c r="BA33" t="s">
        <v>583</v>
      </c>
      <c r="BC33">
        <v>18</v>
      </c>
      <c r="BK33" t="s">
        <v>54</v>
      </c>
    </row>
    <row r="34" spans="1:63" hidden="1" x14ac:dyDescent="0.3">
      <c r="A34" t="s">
        <v>680</v>
      </c>
      <c r="B34" t="s">
        <v>98</v>
      </c>
      <c r="C34">
        <v>73540</v>
      </c>
      <c r="D34">
        <v>0</v>
      </c>
      <c r="E34" t="s">
        <v>63</v>
      </c>
      <c r="F34">
        <v>102</v>
      </c>
      <c r="G34" t="s">
        <v>60</v>
      </c>
      <c r="H34">
        <v>11</v>
      </c>
      <c r="J34">
        <v>102</v>
      </c>
      <c r="K34" t="s">
        <v>53</v>
      </c>
      <c r="L34">
        <v>185</v>
      </c>
      <c r="M34" t="s">
        <v>681</v>
      </c>
      <c r="N34" t="s">
        <v>302</v>
      </c>
      <c r="O34" t="s">
        <v>302</v>
      </c>
      <c r="P34" t="s">
        <v>989</v>
      </c>
      <c r="Q34">
        <v>-83.699166000000005</v>
      </c>
      <c r="R34">
        <v>45.265707999999997</v>
      </c>
      <c r="S34">
        <v>12</v>
      </c>
      <c r="X34">
        <v>24.13</v>
      </c>
      <c r="Y34">
        <v>24.13</v>
      </c>
      <c r="Z34">
        <v>21.56</v>
      </c>
      <c r="AA34">
        <v>26.71</v>
      </c>
      <c r="AB34">
        <v>26.49</v>
      </c>
      <c r="AC34">
        <v>26.49</v>
      </c>
      <c r="AD34">
        <v>24.28</v>
      </c>
      <c r="AE34">
        <v>28.7</v>
      </c>
      <c r="AF34">
        <v>31.76</v>
      </c>
      <c r="AG34">
        <v>31.76</v>
      </c>
      <c r="AH34">
        <v>27.07</v>
      </c>
      <c r="AI34">
        <v>36.46</v>
      </c>
      <c r="AJ34">
        <v>43.94</v>
      </c>
      <c r="AK34">
        <v>43.94</v>
      </c>
      <c r="AL34">
        <v>35.700000000000003</v>
      </c>
      <c r="AM34">
        <v>52.18</v>
      </c>
      <c r="AO34" s="1"/>
      <c r="AP34" s="1"/>
      <c r="AQ34" t="s">
        <v>215</v>
      </c>
      <c r="AR34" t="s">
        <v>215</v>
      </c>
      <c r="AT34">
        <v>0.118168691475688</v>
      </c>
      <c r="AU34" t="s">
        <v>990</v>
      </c>
      <c r="AV34">
        <v>5.76</v>
      </c>
      <c r="AW34">
        <v>0.20257489196956199</v>
      </c>
      <c r="AX34">
        <v>0</v>
      </c>
      <c r="AY34" t="s">
        <v>56</v>
      </c>
      <c r="AZ34" t="s">
        <v>54</v>
      </c>
      <c r="BA34" t="s">
        <v>583</v>
      </c>
      <c r="BC34">
        <v>12</v>
      </c>
      <c r="BK34" t="s">
        <v>54</v>
      </c>
    </row>
    <row r="35" spans="1:63" hidden="1" x14ac:dyDescent="0.3">
      <c r="A35" t="s">
        <v>686</v>
      </c>
      <c r="B35" t="s">
        <v>98</v>
      </c>
      <c r="C35">
        <v>73549</v>
      </c>
      <c r="D35">
        <v>0</v>
      </c>
      <c r="E35" t="s">
        <v>64</v>
      </c>
      <c r="F35">
        <v>102</v>
      </c>
      <c r="G35" t="s">
        <v>60</v>
      </c>
      <c r="H35">
        <v>13</v>
      </c>
      <c r="J35">
        <v>102</v>
      </c>
      <c r="K35" t="s">
        <v>53</v>
      </c>
      <c r="L35">
        <v>205</v>
      </c>
      <c r="M35" t="s">
        <v>687</v>
      </c>
      <c r="N35" t="s">
        <v>303</v>
      </c>
      <c r="O35" t="s">
        <v>303</v>
      </c>
      <c r="P35" t="s">
        <v>991</v>
      </c>
      <c r="Q35">
        <v>-83.589849000000001</v>
      </c>
      <c r="R35">
        <v>45.179133999999998</v>
      </c>
      <c r="S35">
        <v>4</v>
      </c>
      <c r="X35">
        <v>50.04</v>
      </c>
      <c r="Y35">
        <v>25.02</v>
      </c>
      <c r="Z35">
        <v>33.04</v>
      </c>
      <c r="AA35">
        <v>67.040000000000006</v>
      </c>
      <c r="AB35">
        <v>56.12</v>
      </c>
      <c r="AC35">
        <v>28.06</v>
      </c>
      <c r="AD35">
        <v>38.770000000000003</v>
      </c>
      <c r="AE35">
        <v>73.48</v>
      </c>
      <c r="AF35">
        <v>52.92</v>
      </c>
      <c r="AG35">
        <v>26.46</v>
      </c>
      <c r="AH35">
        <v>34.94</v>
      </c>
      <c r="AI35">
        <v>70.900000000000006</v>
      </c>
      <c r="AJ35">
        <v>64.510000000000005</v>
      </c>
      <c r="AK35">
        <v>32.255000000000003</v>
      </c>
      <c r="AL35">
        <v>47.56</v>
      </c>
      <c r="AM35">
        <v>81.459999999999994</v>
      </c>
      <c r="AO35" s="1"/>
      <c r="AP35" s="1"/>
      <c r="AQ35" t="s">
        <v>215</v>
      </c>
      <c r="AR35" t="s">
        <v>215</v>
      </c>
      <c r="AT35">
        <v>11.089169310342299</v>
      </c>
      <c r="AU35" t="s">
        <v>992</v>
      </c>
      <c r="AV35">
        <v>10.69</v>
      </c>
      <c r="AW35">
        <v>12.119801873341199</v>
      </c>
      <c r="AX35">
        <v>0</v>
      </c>
      <c r="AY35" t="s">
        <v>56</v>
      </c>
      <c r="AZ35" t="s">
        <v>54</v>
      </c>
      <c r="BA35" t="s">
        <v>583</v>
      </c>
      <c r="BC35">
        <v>4</v>
      </c>
      <c r="BK35" t="s">
        <v>54</v>
      </c>
    </row>
    <row r="36" spans="1:63" hidden="1" x14ac:dyDescent="0.3">
      <c r="A36" t="s">
        <v>688</v>
      </c>
      <c r="B36" t="s">
        <v>98</v>
      </c>
      <c r="C36">
        <v>73557</v>
      </c>
      <c r="D36">
        <v>0</v>
      </c>
      <c r="E36" t="s">
        <v>63</v>
      </c>
      <c r="F36">
        <v>102</v>
      </c>
      <c r="G36" t="s">
        <v>53</v>
      </c>
      <c r="H36">
        <v>23</v>
      </c>
      <c r="J36">
        <v>102</v>
      </c>
      <c r="K36" t="s">
        <v>52</v>
      </c>
      <c r="L36">
        <v>65</v>
      </c>
      <c r="M36" t="s">
        <v>689</v>
      </c>
      <c r="N36" t="s">
        <v>300</v>
      </c>
      <c r="O36" t="s">
        <v>300</v>
      </c>
      <c r="P36" t="s">
        <v>993</v>
      </c>
      <c r="Q36">
        <v>-84.726622000000006</v>
      </c>
      <c r="R36">
        <v>45.781224000000002</v>
      </c>
      <c r="S36">
        <v>12</v>
      </c>
      <c r="AB36">
        <v>275.92</v>
      </c>
      <c r="AC36">
        <v>68.98</v>
      </c>
      <c r="AD36">
        <v>166.03</v>
      </c>
      <c r="AE36">
        <v>385.81</v>
      </c>
      <c r="AF36">
        <v>557.88</v>
      </c>
      <c r="AG36">
        <v>139.47</v>
      </c>
      <c r="AH36">
        <v>324.62</v>
      </c>
      <c r="AI36">
        <v>791.13</v>
      </c>
      <c r="AJ36">
        <v>0</v>
      </c>
      <c r="AK36">
        <v>0</v>
      </c>
      <c r="AL36">
        <v>0</v>
      </c>
      <c r="AM36">
        <v>0</v>
      </c>
      <c r="AO36" s="1"/>
      <c r="AP36" s="1"/>
      <c r="AQ36" t="s">
        <v>215</v>
      </c>
      <c r="AR36" t="s">
        <v>215</v>
      </c>
      <c r="AT36">
        <v>8.6782013704703696E-3</v>
      </c>
      <c r="AU36" t="s">
        <v>994</v>
      </c>
      <c r="AV36">
        <v>9.3000000000000007</v>
      </c>
      <c r="AW36">
        <v>5.2375141531228998E-2</v>
      </c>
      <c r="AX36">
        <v>0</v>
      </c>
      <c r="AY36" t="s">
        <v>56</v>
      </c>
      <c r="AZ36" t="s">
        <v>54</v>
      </c>
      <c r="BA36" t="s">
        <v>583</v>
      </c>
      <c r="BC36">
        <v>12</v>
      </c>
      <c r="BD36" t="s">
        <v>212</v>
      </c>
      <c r="BE36" t="s">
        <v>299</v>
      </c>
      <c r="BH36" t="s">
        <v>995</v>
      </c>
      <c r="BK36" t="s">
        <v>54</v>
      </c>
    </row>
    <row r="37" spans="1:63" hidden="1" x14ac:dyDescent="0.3">
      <c r="A37" t="s">
        <v>837</v>
      </c>
      <c r="B37" t="s">
        <v>98</v>
      </c>
      <c r="C37">
        <v>73558</v>
      </c>
      <c r="D37">
        <v>0</v>
      </c>
      <c r="E37" t="s">
        <v>64</v>
      </c>
      <c r="F37">
        <v>102</v>
      </c>
      <c r="G37" t="s">
        <v>60</v>
      </c>
      <c r="H37">
        <v>7</v>
      </c>
      <c r="J37">
        <v>102</v>
      </c>
      <c r="K37" t="s">
        <v>53</v>
      </c>
      <c r="L37">
        <v>40</v>
      </c>
      <c r="M37" t="s">
        <v>879</v>
      </c>
      <c r="N37" t="s">
        <v>298</v>
      </c>
      <c r="O37" t="s">
        <v>298</v>
      </c>
      <c r="P37" t="s">
        <v>996</v>
      </c>
      <c r="Q37">
        <v>-83.433038999999994</v>
      </c>
      <c r="R37">
        <v>45.243408000000002</v>
      </c>
      <c r="X37">
        <v>18.55</v>
      </c>
      <c r="Y37">
        <v>18.55</v>
      </c>
      <c r="Z37">
        <v>15.07</v>
      </c>
      <c r="AA37">
        <v>22.03</v>
      </c>
      <c r="AB37">
        <v>14</v>
      </c>
      <c r="AC37">
        <v>14</v>
      </c>
      <c r="AD37">
        <v>12.84</v>
      </c>
      <c r="AE37">
        <v>15.17</v>
      </c>
      <c r="AF37">
        <v>14</v>
      </c>
      <c r="AG37">
        <v>14</v>
      </c>
      <c r="AH37">
        <v>12.84</v>
      </c>
      <c r="AI37">
        <v>15.17</v>
      </c>
      <c r="AJ37">
        <v>14</v>
      </c>
      <c r="AK37">
        <v>14</v>
      </c>
      <c r="AL37">
        <v>12.84</v>
      </c>
      <c r="AM37">
        <v>15.17</v>
      </c>
      <c r="AO37" s="1"/>
      <c r="AP37" s="1"/>
      <c r="AQ37" t="s">
        <v>215</v>
      </c>
      <c r="AR37" t="s">
        <v>215</v>
      </c>
      <c r="AT37">
        <v>3.5988130905767899</v>
      </c>
      <c r="AU37" t="s">
        <v>997</v>
      </c>
      <c r="AV37">
        <v>3.17</v>
      </c>
      <c r="AW37">
        <v>4.24487140588462</v>
      </c>
      <c r="AX37">
        <v>0</v>
      </c>
      <c r="AY37" t="s">
        <v>56</v>
      </c>
      <c r="AZ37" t="s">
        <v>54</v>
      </c>
      <c r="BA37" t="s">
        <v>583</v>
      </c>
      <c r="BK37" t="s">
        <v>54</v>
      </c>
    </row>
    <row r="38" spans="1:63" hidden="1" x14ac:dyDescent="0.3">
      <c r="A38" t="s">
        <v>798</v>
      </c>
      <c r="B38" t="s">
        <v>98</v>
      </c>
      <c r="C38">
        <v>73559</v>
      </c>
      <c r="D38">
        <v>1</v>
      </c>
      <c r="E38" t="s">
        <v>62</v>
      </c>
      <c r="F38">
        <v>102</v>
      </c>
      <c r="G38" t="s">
        <v>52</v>
      </c>
      <c r="H38">
        <v>26</v>
      </c>
      <c r="J38">
        <v>102</v>
      </c>
      <c r="K38" t="s">
        <v>53</v>
      </c>
      <c r="L38">
        <v>150</v>
      </c>
      <c r="M38" t="s">
        <v>870</v>
      </c>
      <c r="N38" t="s">
        <v>298</v>
      </c>
      <c r="O38" t="s">
        <v>298</v>
      </c>
      <c r="P38" t="s">
        <v>998</v>
      </c>
      <c r="Q38">
        <v>-83.819108</v>
      </c>
      <c r="R38">
        <v>45.422936</v>
      </c>
      <c r="X38">
        <v>30.67</v>
      </c>
      <c r="Y38">
        <v>30.67</v>
      </c>
      <c r="Z38">
        <v>28.48</v>
      </c>
      <c r="AA38">
        <v>32.86</v>
      </c>
      <c r="AB38">
        <v>26.32</v>
      </c>
      <c r="AC38">
        <v>26.32</v>
      </c>
      <c r="AD38">
        <v>24.12</v>
      </c>
      <c r="AE38">
        <v>28.51</v>
      </c>
      <c r="AF38">
        <v>30.7</v>
      </c>
      <c r="AG38">
        <v>30.7</v>
      </c>
      <c r="AH38">
        <v>28.51</v>
      </c>
      <c r="AI38">
        <v>32.9</v>
      </c>
      <c r="AJ38">
        <v>23</v>
      </c>
      <c r="AK38">
        <v>23</v>
      </c>
      <c r="AL38">
        <v>18.690000000000001</v>
      </c>
      <c r="AM38">
        <v>27.32</v>
      </c>
      <c r="AO38" s="1"/>
      <c r="AP38" s="1"/>
      <c r="AQ38" t="s">
        <v>215</v>
      </c>
      <c r="AR38" t="s">
        <v>215</v>
      </c>
      <c r="AT38">
        <v>0.122686835247534</v>
      </c>
      <c r="AU38" t="s">
        <v>999</v>
      </c>
      <c r="AV38">
        <v>7.09</v>
      </c>
      <c r="AW38">
        <v>0.42848783917725097</v>
      </c>
      <c r="AX38">
        <v>0</v>
      </c>
      <c r="AY38" t="s">
        <v>56</v>
      </c>
      <c r="AZ38" t="s">
        <v>54</v>
      </c>
      <c r="BA38" t="s">
        <v>583</v>
      </c>
      <c r="BK38" t="s">
        <v>54</v>
      </c>
    </row>
    <row r="39" spans="1:63" hidden="1" x14ac:dyDescent="0.3">
      <c r="A39" t="s">
        <v>783</v>
      </c>
      <c r="B39" t="s">
        <v>98</v>
      </c>
      <c r="C39">
        <v>73561</v>
      </c>
      <c r="D39">
        <v>0</v>
      </c>
      <c r="E39" t="s">
        <v>63</v>
      </c>
      <c r="F39">
        <v>102</v>
      </c>
      <c r="G39" t="s">
        <v>53</v>
      </c>
      <c r="H39">
        <v>5</v>
      </c>
      <c r="J39">
        <v>102</v>
      </c>
      <c r="K39" t="s">
        <v>52</v>
      </c>
      <c r="L39">
        <v>180</v>
      </c>
      <c r="M39" t="s">
        <v>902</v>
      </c>
      <c r="N39" t="s">
        <v>299</v>
      </c>
      <c r="O39" t="s">
        <v>299</v>
      </c>
      <c r="P39" t="s">
        <v>1000</v>
      </c>
      <c r="Q39">
        <v>-84.481038999999996</v>
      </c>
      <c r="R39">
        <v>45.630915000000002</v>
      </c>
      <c r="X39">
        <v>10.63</v>
      </c>
      <c r="Y39">
        <v>10.63</v>
      </c>
      <c r="Z39">
        <v>9.75</v>
      </c>
      <c r="AA39">
        <v>11.52</v>
      </c>
      <c r="AB39">
        <v>14.25</v>
      </c>
      <c r="AC39">
        <v>14.25</v>
      </c>
      <c r="AD39">
        <v>11.58</v>
      </c>
      <c r="AE39">
        <v>16.920000000000002</v>
      </c>
      <c r="AF39">
        <v>10.69</v>
      </c>
      <c r="AG39">
        <v>10.69</v>
      </c>
      <c r="AH39">
        <v>9.8000000000000007</v>
      </c>
      <c r="AI39">
        <v>11.58</v>
      </c>
      <c r="AJ39">
        <v>10.69</v>
      </c>
      <c r="AK39">
        <v>10.69</v>
      </c>
      <c r="AL39">
        <v>9.8000000000000007</v>
      </c>
      <c r="AM39">
        <v>11.58</v>
      </c>
      <c r="AO39" s="1"/>
      <c r="AP39" s="1"/>
      <c r="AQ39" t="s">
        <v>215</v>
      </c>
      <c r="AR39" t="s">
        <v>215</v>
      </c>
      <c r="AT39">
        <v>0.63407626333530498</v>
      </c>
      <c r="AU39" t="s">
        <v>1001</v>
      </c>
      <c r="AV39">
        <v>1.85</v>
      </c>
      <c r="AW39">
        <v>1.6490726768970501</v>
      </c>
      <c r="AX39">
        <v>0</v>
      </c>
      <c r="AY39" t="s">
        <v>56</v>
      </c>
      <c r="AZ39" t="s">
        <v>54</v>
      </c>
      <c r="BA39" t="s">
        <v>583</v>
      </c>
      <c r="BK39" t="s">
        <v>54</v>
      </c>
    </row>
    <row r="40" spans="1:63" hidden="1" x14ac:dyDescent="0.3">
      <c r="A40" t="s">
        <v>690</v>
      </c>
      <c r="B40" t="s">
        <v>98</v>
      </c>
      <c r="C40">
        <v>73565</v>
      </c>
      <c r="D40">
        <v>0</v>
      </c>
      <c r="E40" t="s">
        <v>63</v>
      </c>
      <c r="F40">
        <v>102</v>
      </c>
      <c r="G40" t="s">
        <v>53</v>
      </c>
      <c r="H40">
        <v>2</v>
      </c>
      <c r="J40">
        <v>102</v>
      </c>
      <c r="K40" t="s">
        <v>52</v>
      </c>
      <c r="L40">
        <v>150</v>
      </c>
      <c r="M40" t="s">
        <v>691</v>
      </c>
      <c r="N40" t="s">
        <v>300</v>
      </c>
      <c r="O40" t="s">
        <v>300</v>
      </c>
      <c r="P40" t="s">
        <v>1002</v>
      </c>
      <c r="Q40">
        <v>-84.475703999999993</v>
      </c>
      <c r="R40">
        <v>45.646346999999999</v>
      </c>
      <c r="S40">
        <v>2</v>
      </c>
      <c r="X40">
        <v>44.24</v>
      </c>
      <c r="Y40">
        <v>11.06</v>
      </c>
      <c r="Z40">
        <v>4.92</v>
      </c>
      <c r="AA40">
        <v>83.56</v>
      </c>
      <c r="AB40">
        <v>132.49</v>
      </c>
      <c r="AC40">
        <v>33.122500000000002</v>
      </c>
      <c r="AD40">
        <v>91.05</v>
      </c>
      <c r="AE40">
        <v>173.92</v>
      </c>
      <c r="AF40">
        <v>152.82</v>
      </c>
      <c r="AG40">
        <v>38.204999999999998</v>
      </c>
      <c r="AH40">
        <v>115.41</v>
      </c>
      <c r="AI40">
        <v>190.24</v>
      </c>
      <c r="AJ40">
        <v>104.72</v>
      </c>
      <c r="AK40">
        <v>26.18</v>
      </c>
      <c r="AL40">
        <v>70.040000000000006</v>
      </c>
      <c r="AM40">
        <v>139.38999999999999</v>
      </c>
      <c r="AO40" s="1"/>
      <c r="AP40" s="1"/>
      <c r="AQ40" t="s">
        <v>215</v>
      </c>
      <c r="AR40" t="s">
        <v>215</v>
      </c>
      <c r="AT40">
        <v>2.0528169336105599</v>
      </c>
      <c r="AU40" t="s">
        <v>1003</v>
      </c>
      <c r="AW40">
        <v>5.8959283176809496</v>
      </c>
      <c r="AX40">
        <v>0</v>
      </c>
      <c r="AY40" t="s">
        <v>56</v>
      </c>
      <c r="AZ40" t="s">
        <v>54</v>
      </c>
      <c r="BA40" t="s">
        <v>583</v>
      </c>
      <c r="BC40">
        <v>2</v>
      </c>
      <c r="BD40" t="s">
        <v>212</v>
      </c>
      <c r="BE40" t="s">
        <v>299</v>
      </c>
      <c r="BH40" t="s">
        <v>1004</v>
      </c>
      <c r="BK40" t="s">
        <v>54</v>
      </c>
    </row>
    <row r="41" spans="1:63" hidden="1" x14ac:dyDescent="0.3">
      <c r="A41" t="s">
        <v>799</v>
      </c>
      <c r="B41" t="s">
        <v>98</v>
      </c>
      <c r="C41">
        <v>73568</v>
      </c>
      <c r="D41">
        <v>0</v>
      </c>
      <c r="E41" t="s">
        <v>63</v>
      </c>
      <c r="F41">
        <v>102</v>
      </c>
      <c r="G41" t="s">
        <v>52</v>
      </c>
      <c r="H41">
        <v>1</v>
      </c>
      <c r="J41">
        <v>102</v>
      </c>
      <c r="K41" t="s">
        <v>58</v>
      </c>
      <c r="L41">
        <v>15</v>
      </c>
      <c r="M41" t="s">
        <v>861</v>
      </c>
      <c r="N41" t="s">
        <v>298</v>
      </c>
      <c r="O41" t="s">
        <v>298</v>
      </c>
      <c r="P41" t="s">
        <v>1005</v>
      </c>
      <c r="Q41">
        <v>-84.060310000000001</v>
      </c>
      <c r="R41">
        <v>45.336019</v>
      </c>
      <c r="X41">
        <v>16.579999999999998</v>
      </c>
      <c r="Y41">
        <v>16.579999999999998</v>
      </c>
      <c r="Z41">
        <v>13.48</v>
      </c>
      <c r="AA41">
        <v>19.690000000000001</v>
      </c>
      <c r="AB41">
        <v>12.95</v>
      </c>
      <c r="AC41">
        <v>12.95</v>
      </c>
      <c r="AD41">
        <v>11.87</v>
      </c>
      <c r="AE41">
        <v>14.02</v>
      </c>
      <c r="AF41">
        <v>13.16</v>
      </c>
      <c r="AG41">
        <v>13.16</v>
      </c>
      <c r="AH41">
        <v>12.06</v>
      </c>
      <c r="AI41">
        <v>14.26</v>
      </c>
      <c r="AJ41">
        <v>17.600000000000001</v>
      </c>
      <c r="AK41">
        <v>17.600000000000001</v>
      </c>
      <c r="AL41">
        <v>14.3</v>
      </c>
      <c r="AM41">
        <v>20.9</v>
      </c>
      <c r="AO41" s="1"/>
      <c r="AP41" s="1"/>
      <c r="AQ41" t="s">
        <v>215</v>
      </c>
      <c r="AR41" t="s">
        <v>215</v>
      </c>
      <c r="AT41">
        <v>47.865148867356602</v>
      </c>
      <c r="AU41" t="s">
        <v>1006</v>
      </c>
      <c r="AW41">
        <v>59.869313545525102</v>
      </c>
      <c r="AX41">
        <v>0</v>
      </c>
      <c r="AY41" t="s">
        <v>56</v>
      </c>
      <c r="AZ41" t="s">
        <v>54</v>
      </c>
      <c r="BA41" t="s">
        <v>583</v>
      </c>
      <c r="BK41" t="s">
        <v>54</v>
      </c>
    </row>
    <row r="42" spans="1:63" hidden="1" x14ac:dyDescent="0.3">
      <c r="A42" t="s">
        <v>601</v>
      </c>
      <c r="B42" t="s">
        <v>98</v>
      </c>
      <c r="C42">
        <v>73569</v>
      </c>
      <c r="D42">
        <v>0</v>
      </c>
      <c r="E42" t="s">
        <v>64</v>
      </c>
      <c r="F42">
        <v>102</v>
      </c>
      <c r="G42" t="s">
        <v>60</v>
      </c>
      <c r="H42">
        <v>8</v>
      </c>
      <c r="J42">
        <v>102</v>
      </c>
      <c r="K42" t="s">
        <v>53</v>
      </c>
      <c r="L42">
        <v>45</v>
      </c>
      <c r="M42" t="s">
        <v>602</v>
      </c>
      <c r="N42" t="s">
        <v>300</v>
      </c>
      <c r="O42" t="s">
        <v>300</v>
      </c>
      <c r="P42" t="s">
        <v>1007</v>
      </c>
      <c r="Q42">
        <v>-83.573711000000003</v>
      </c>
      <c r="R42">
        <v>45.330810999999997</v>
      </c>
      <c r="S42">
        <v>55</v>
      </c>
      <c r="T42">
        <v>3</v>
      </c>
      <c r="U42" t="s">
        <v>149</v>
      </c>
      <c r="V42">
        <v>24</v>
      </c>
      <c r="W42">
        <v>0.66666666666666663</v>
      </c>
      <c r="X42">
        <v>16.690000000000001</v>
      </c>
      <c r="Y42">
        <v>4.1725000000000003</v>
      </c>
      <c r="Z42">
        <v>-22.44</v>
      </c>
      <c r="AA42">
        <v>55.81</v>
      </c>
      <c r="AB42">
        <v>70.19</v>
      </c>
      <c r="AC42">
        <v>17.547499999999999</v>
      </c>
      <c r="AD42">
        <v>55.09</v>
      </c>
      <c r="AE42">
        <v>85.28</v>
      </c>
      <c r="AF42">
        <v>78.010000000000005</v>
      </c>
      <c r="AG42">
        <v>19.502500000000001</v>
      </c>
      <c r="AH42">
        <v>61.81</v>
      </c>
      <c r="AI42">
        <v>94.21</v>
      </c>
      <c r="AJ42">
        <v>31.81</v>
      </c>
      <c r="AK42">
        <v>7.9524999999999997</v>
      </c>
      <c r="AL42">
        <v>-4.54</v>
      </c>
      <c r="AM42">
        <v>68.17</v>
      </c>
      <c r="AO42" s="1"/>
      <c r="AP42" s="1"/>
      <c r="AQ42" t="s">
        <v>215</v>
      </c>
      <c r="AR42" t="s">
        <v>215</v>
      </c>
      <c r="AT42">
        <v>10.7019200402476</v>
      </c>
      <c r="AU42" t="s">
        <v>1008</v>
      </c>
      <c r="AW42">
        <v>12.237588070333</v>
      </c>
      <c r="AX42">
        <v>0</v>
      </c>
      <c r="AY42" t="s">
        <v>56</v>
      </c>
      <c r="AZ42" t="s">
        <v>54</v>
      </c>
      <c r="BA42" t="s">
        <v>583</v>
      </c>
      <c r="BC42">
        <v>55</v>
      </c>
      <c r="BD42" t="s">
        <v>435</v>
      </c>
      <c r="BE42" t="s">
        <v>301</v>
      </c>
      <c r="BF42" t="s">
        <v>58</v>
      </c>
      <c r="BG42" t="s">
        <v>54</v>
      </c>
      <c r="BH42" t="s">
        <v>1009</v>
      </c>
      <c r="BK42" t="s">
        <v>54</v>
      </c>
    </row>
    <row r="43" spans="1:63" hidden="1" x14ac:dyDescent="0.3">
      <c r="A43" t="s">
        <v>784</v>
      </c>
      <c r="B43" t="s">
        <v>98</v>
      </c>
      <c r="C43">
        <v>73575</v>
      </c>
      <c r="D43">
        <v>0</v>
      </c>
      <c r="E43" t="s">
        <v>64</v>
      </c>
      <c r="F43">
        <v>102</v>
      </c>
      <c r="G43" t="s">
        <v>53</v>
      </c>
      <c r="H43">
        <v>17</v>
      </c>
      <c r="J43">
        <v>102</v>
      </c>
      <c r="K43" t="s">
        <v>52</v>
      </c>
      <c r="L43">
        <v>155</v>
      </c>
      <c r="M43" t="s">
        <v>901</v>
      </c>
      <c r="N43" t="s">
        <v>299</v>
      </c>
      <c r="O43" t="s">
        <v>299</v>
      </c>
      <c r="P43" t="s">
        <v>1010</v>
      </c>
      <c r="Q43">
        <v>-84.475633000000002</v>
      </c>
      <c r="R43">
        <v>45.646332999999998</v>
      </c>
      <c r="X43">
        <v>0</v>
      </c>
      <c r="Y43">
        <v>0</v>
      </c>
      <c r="Z43">
        <v>0</v>
      </c>
      <c r="AA43">
        <v>0</v>
      </c>
      <c r="AB43">
        <v>30.48</v>
      </c>
      <c r="AC43">
        <v>30.48</v>
      </c>
      <c r="AD43">
        <v>18.11</v>
      </c>
      <c r="AE43">
        <v>42.84</v>
      </c>
      <c r="AF43">
        <v>32.89</v>
      </c>
      <c r="AG43">
        <v>32.89</v>
      </c>
      <c r="AH43">
        <v>28.01</v>
      </c>
      <c r="AI43">
        <v>37.78</v>
      </c>
      <c r="AJ43">
        <v>0</v>
      </c>
      <c r="AK43">
        <v>0</v>
      </c>
      <c r="AL43">
        <v>0</v>
      </c>
      <c r="AM43">
        <v>0</v>
      </c>
      <c r="AO43" s="1"/>
      <c r="AP43" s="1"/>
      <c r="AQ43" t="s">
        <v>215</v>
      </c>
      <c r="AR43" t="s">
        <v>215</v>
      </c>
      <c r="AT43">
        <v>4.2172925914148798E-2</v>
      </c>
      <c r="AU43" t="s">
        <v>1011</v>
      </c>
      <c r="AW43">
        <v>0.13099186867475501</v>
      </c>
      <c r="AX43">
        <v>0</v>
      </c>
      <c r="AY43" t="s">
        <v>56</v>
      </c>
      <c r="AZ43" t="s">
        <v>54</v>
      </c>
      <c r="BA43" t="s">
        <v>583</v>
      </c>
      <c r="BH43" t="s">
        <v>1012</v>
      </c>
      <c r="BK43" t="s">
        <v>54</v>
      </c>
    </row>
    <row r="44" spans="1:63" hidden="1" x14ac:dyDescent="0.3">
      <c r="A44" t="s">
        <v>694</v>
      </c>
      <c r="B44" t="s">
        <v>98</v>
      </c>
      <c r="C44">
        <v>73577</v>
      </c>
      <c r="D44">
        <v>0</v>
      </c>
      <c r="E44" t="s">
        <v>57</v>
      </c>
      <c r="F44">
        <v>102</v>
      </c>
      <c r="G44" t="s">
        <v>53</v>
      </c>
      <c r="H44">
        <v>25</v>
      </c>
      <c r="J44">
        <v>102</v>
      </c>
      <c r="K44" t="s">
        <v>59</v>
      </c>
      <c r="L44">
        <v>180</v>
      </c>
      <c r="M44" t="s">
        <v>695</v>
      </c>
      <c r="N44" t="s">
        <v>300</v>
      </c>
      <c r="O44" t="s">
        <v>300</v>
      </c>
      <c r="P44" t="s">
        <v>1013</v>
      </c>
      <c r="Q44">
        <v>-84.477244999999996</v>
      </c>
      <c r="R44">
        <v>45.648505</v>
      </c>
      <c r="S44">
        <v>8</v>
      </c>
      <c r="X44">
        <v>83.3</v>
      </c>
      <c r="Y44">
        <v>20.824999999999999</v>
      </c>
      <c r="Z44">
        <v>63.35</v>
      </c>
      <c r="AA44">
        <v>103.24</v>
      </c>
      <c r="AB44">
        <v>93.31</v>
      </c>
      <c r="AC44">
        <v>23.327500000000001</v>
      </c>
      <c r="AD44">
        <v>67.59</v>
      </c>
      <c r="AE44">
        <v>119.03</v>
      </c>
      <c r="AF44">
        <v>97.24</v>
      </c>
      <c r="AG44">
        <v>24.31</v>
      </c>
      <c r="AH44">
        <v>74.650000000000006</v>
      </c>
      <c r="AI44">
        <v>119.83</v>
      </c>
      <c r="AJ44">
        <v>109.88</v>
      </c>
      <c r="AK44">
        <v>27.47</v>
      </c>
      <c r="AL44">
        <v>86.8</v>
      </c>
      <c r="AM44">
        <v>132.96</v>
      </c>
      <c r="AO44" s="1"/>
      <c r="AP44" s="1"/>
      <c r="AQ44" t="s">
        <v>215</v>
      </c>
      <c r="AR44" t="s">
        <v>215</v>
      </c>
      <c r="AT44">
        <v>26.560728859110998</v>
      </c>
      <c r="AU44" t="s">
        <v>1014</v>
      </c>
      <c r="AW44">
        <v>32.709726285189397</v>
      </c>
      <c r="AX44">
        <v>0</v>
      </c>
      <c r="AY44" t="s">
        <v>56</v>
      </c>
      <c r="AZ44" t="s">
        <v>54</v>
      </c>
      <c r="BA44" t="s">
        <v>583</v>
      </c>
      <c r="BC44">
        <v>8</v>
      </c>
      <c r="BD44" t="s">
        <v>432</v>
      </c>
      <c r="BE44" t="s">
        <v>298</v>
      </c>
      <c r="BJ44" t="s">
        <v>54</v>
      </c>
      <c r="BK44" t="s">
        <v>54</v>
      </c>
    </row>
    <row r="45" spans="1:63" hidden="1" x14ac:dyDescent="0.3">
      <c r="A45" t="s">
        <v>722</v>
      </c>
      <c r="B45" t="s">
        <v>98</v>
      </c>
      <c r="C45">
        <v>99031</v>
      </c>
      <c r="D45">
        <v>172</v>
      </c>
      <c r="E45" t="s">
        <v>62</v>
      </c>
      <c r="F45">
        <v>102</v>
      </c>
      <c r="G45" t="s">
        <v>52</v>
      </c>
      <c r="H45">
        <v>5</v>
      </c>
      <c r="J45">
        <v>102</v>
      </c>
      <c r="K45" t="s">
        <v>60</v>
      </c>
      <c r="L45">
        <v>20</v>
      </c>
      <c r="M45" t="s">
        <v>723</v>
      </c>
      <c r="N45" t="s">
        <v>300</v>
      </c>
      <c r="O45" t="s">
        <v>300</v>
      </c>
      <c r="P45" t="s">
        <v>1015</v>
      </c>
      <c r="Q45">
        <v>-84.234345000000005</v>
      </c>
      <c r="R45">
        <v>45.354374</v>
      </c>
      <c r="S45">
        <v>4</v>
      </c>
      <c r="X45">
        <v>93.34</v>
      </c>
      <c r="Y45">
        <v>23.335000000000001</v>
      </c>
      <c r="Z45">
        <v>64.45</v>
      </c>
      <c r="AA45">
        <v>122.23</v>
      </c>
      <c r="AB45">
        <v>96.04</v>
      </c>
      <c r="AC45">
        <v>24.01</v>
      </c>
      <c r="AD45">
        <v>61.72</v>
      </c>
      <c r="AE45">
        <v>130.37</v>
      </c>
      <c r="AF45">
        <v>94.63</v>
      </c>
      <c r="AG45">
        <v>23.657499999999999</v>
      </c>
      <c r="AH45">
        <v>59.77</v>
      </c>
      <c r="AI45">
        <v>129.49</v>
      </c>
      <c r="AJ45">
        <v>102.05</v>
      </c>
      <c r="AK45">
        <v>25.512499999999999</v>
      </c>
      <c r="AL45">
        <v>77.52</v>
      </c>
      <c r="AM45">
        <v>126.58</v>
      </c>
      <c r="AO45" s="1"/>
      <c r="AP45" s="1"/>
      <c r="AQ45" t="s">
        <v>215</v>
      </c>
      <c r="AR45" t="s">
        <v>215</v>
      </c>
      <c r="AT45">
        <v>0.36459371476618802</v>
      </c>
      <c r="AU45" t="s">
        <v>1016</v>
      </c>
      <c r="AW45">
        <v>0.55789577774703503</v>
      </c>
      <c r="AX45">
        <v>0</v>
      </c>
      <c r="AY45" t="s">
        <v>56</v>
      </c>
      <c r="AZ45" t="s">
        <v>54</v>
      </c>
      <c r="BA45" t="s">
        <v>583</v>
      </c>
      <c r="BC45">
        <v>4</v>
      </c>
      <c r="BD45" t="s">
        <v>432</v>
      </c>
      <c r="BE45" t="s">
        <v>298</v>
      </c>
      <c r="BJ45" t="s">
        <v>54</v>
      </c>
      <c r="BK45" t="s">
        <v>54</v>
      </c>
    </row>
    <row r="46" spans="1:63" x14ac:dyDescent="0.3">
      <c r="A46" t="s">
        <v>785</v>
      </c>
      <c r="B46" t="s">
        <v>98</v>
      </c>
      <c r="C46">
        <v>70613</v>
      </c>
      <c r="D46">
        <v>3</v>
      </c>
      <c r="E46" t="s">
        <v>64</v>
      </c>
      <c r="F46">
        <v>102</v>
      </c>
      <c r="G46" t="s">
        <v>53</v>
      </c>
      <c r="H46">
        <v>16</v>
      </c>
      <c r="J46">
        <v>102</v>
      </c>
      <c r="K46" t="s">
        <v>59</v>
      </c>
      <c r="L46">
        <v>190</v>
      </c>
      <c r="M46" t="s">
        <v>904</v>
      </c>
      <c r="N46" t="s">
        <v>297</v>
      </c>
      <c r="O46" t="s">
        <v>297</v>
      </c>
      <c r="P46" t="s">
        <v>1017</v>
      </c>
      <c r="Q46">
        <v>-84.474800000000002</v>
      </c>
      <c r="R46">
        <v>45.646512999999999</v>
      </c>
      <c r="X46">
        <v>10.06</v>
      </c>
      <c r="Y46">
        <v>10.06</v>
      </c>
      <c r="Z46">
        <v>9.2200000000000006</v>
      </c>
      <c r="AA46">
        <v>10.89</v>
      </c>
      <c r="AB46">
        <v>10.55</v>
      </c>
      <c r="AC46">
        <v>10.55</v>
      </c>
      <c r="AD46">
        <v>9.67</v>
      </c>
      <c r="AE46">
        <v>11.43</v>
      </c>
      <c r="AF46">
        <v>14.09</v>
      </c>
      <c r="AG46">
        <v>14.09</v>
      </c>
      <c r="AH46">
        <v>11.44</v>
      </c>
      <c r="AI46">
        <v>16.73</v>
      </c>
      <c r="AJ46">
        <v>10.73</v>
      </c>
      <c r="AK46">
        <v>10.73</v>
      </c>
      <c r="AL46">
        <v>9.84</v>
      </c>
      <c r="AM46">
        <v>11.62</v>
      </c>
      <c r="AO46" s="1"/>
      <c r="AP46" s="1"/>
      <c r="AQ46" t="s">
        <v>215</v>
      </c>
      <c r="AR46" t="s">
        <v>215</v>
      </c>
      <c r="AT46">
        <v>0.222959616023341</v>
      </c>
      <c r="AU46" t="s">
        <v>1018</v>
      </c>
      <c r="AW46">
        <v>0.74540729634463798</v>
      </c>
      <c r="AX46">
        <v>0</v>
      </c>
      <c r="AY46" t="s">
        <v>56</v>
      </c>
      <c r="AZ46" t="s">
        <v>54</v>
      </c>
      <c r="BA46" t="s">
        <v>583</v>
      </c>
      <c r="BK46" t="s">
        <v>54</v>
      </c>
    </row>
    <row r="47" spans="1:63" hidden="1" x14ac:dyDescent="0.3">
      <c r="A47" t="s">
        <v>724</v>
      </c>
      <c r="B47" t="s">
        <v>98</v>
      </c>
      <c r="C47">
        <v>99031</v>
      </c>
      <c r="D47">
        <v>180</v>
      </c>
      <c r="E47" t="s">
        <v>57</v>
      </c>
      <c r="F47">
        <v>102</v>
      </c>
      <c r="G47" t="s">
        <v>52</v>
      </c>
      <c r="H47">
        <v>7</v>
      </c>
      <c r="J47">
        <v>102</v>
      </c>
      <c r="K47" t="s">
        <v>60</v>
      </c>
      <c r="L47">
        <v>50</v>
      </c>
      <c r="M47" t="s">
        <v>725</v>
      </c>
      <c r="N47" t="s">
        <v>300</v>
      </c>
      <c r="O47" t="s">
        <v>300</v>
      </c>
      <c r="P47" t="s">
        <v>1019</v>
      </c>
      <c r="Q47">
        <v>-84.233642000000003</v>
      </c>
      <c r="R47">
        <v>45.353847000000002</v>
      </c>
      <c r="S47">
        <v>6</v>
      </c>
      <c r="X47">
        <v>83.84</v>
      </c>
      <c r="Y47">
        <v>20.96</v>
      </c>
      <c r="Z47">
        <v>59.99</v>
      </c>
      <c r="AA47">
        <v>107.69</v>
      </c>
      <c r="AB47">
        <v>84.2</v>
      </c>
      <c r="AC47">
        <v>21.05</v>
      </c>
      <c r="AD47">
        <v>52.84</v>
      </c>
      <c r="AE47">
        <v>115.57</v>
      </c>
      <c r="AF47">
        <v>92.3</v>
      </c>
      <c r="AG47">
        <v>23.074999999999999</v>
      </c>
      <c r="AH47">
        <v>51.32</v>
      </c>
      <c r="AI47">
        <v>133.28</v>
      </c>
      <c r="AJ47">
        <v>82.9</v>
      </c>
      <c r="AK47">
        <v>20.725000000000001</v>
      </c>
      <c r="AL47">
        <v>52.94</v>
      </c>
      <c r="AM47">
        <v>112.85</v>
      </c>
      <c r="AO47" s="1"/>
      <c r="AP47" s="1"/>
      <c r="AQ47" t="s">
        <v>215</v>
      </c>
      <c r="AR47" t="s">
        <v>215</v>
      </c>
      <c r="AT47">
        <v>4.7032437554304897E-2</v>
      </c>
      <c r="AU47" t="s">
        <v>1020</v>
      </c>
      <c r="AW47">
        <v>0.192082649096847</v>
      </c>
      <c r="AX47">
        <v>0</v>
      </c>
      <c r="AY47" t="s">
        <v>56</v>
      </c>
      <c r="AZ47" t="s">
        <v>54</v>
      </c>
      <c r="BA47" t="s">
        <v>583</v>
      </c>
      <c r="BC47">
        <v>6</v>
      </c>
      <c r="BD47" t="s">
        <v>432</v>
      </c>
      <c r="BE47" t="s">
        <v>298</v>
      </c>
      <c r="BJ47" t="s">
        <v>54</v>
      </c>
      <c r="BK47" t="s">
        <v>54</v>
      </c>
    </row>
    <row r="48" spans="1:63" hidden="1" x14ac:dyDescent="0.3">
      <c r="A48" t="s">
        <v>607</v>
      </c>
      <c r="B48" t="s">
        <v>98</v>
      </c>
      <c r="C48">
        <v>99031</v>
      </c>
      <c r="D48">
        <v>182</v>
      </c>
      <c r="E48" t="s">
        <v>62</v>
      </c>
      <c r="F48">
        <v>102</v>
      </c>
      <c r="G48" t="s">
        <v>59</v>
      </c>
      <c r="H48">
        <v>41</v>
      </c>
      <c r="J48">
        <v>102</v>
      </c>
      <c r="K48" t="s">
        <v>52</v>
      </c>
      <c r="L48">
        <v>120</v>
      </c>
      <c r="M48" t="s">
        <v>608</v>
      </c>
      <c r="N48" t="s">
        <v>300</v>
      </c>
      <c r="O48" t="s">
        <v>300</v>
      </c>
      <c r="P48" t="s">
        <v>1021</v>
      </c>
      <c r="Q48">
        <v>-84.733458999999996</v>
      </c>
      <c r="R48">
        <v>45.783405000000002</v>
      </c>
      <c r="S48">
        <v>2</v>
      </c>
      <c r="X48">
        <v>46.69</v>
      </c>
      <c r="Y48">
        <v>11.672499999999999</v>
      </c>
      <c r="Z48">
        <v>27.18</v>
      </c>
      <c r="AA48">
        <v>66.209999999999994</v>
      </c>
      <c r="AB48">
        <v>84.06</v>
      </c>
      <c r="AC48">
        <v>21.015000000000001</v>
      </c>
      <c r="AD48">
        <v>50.43</v>
      </c>
      <c r="AE48">
        <v>117.7</v>
      </c>
      <c r="AF48">
        <v>79.91</v>
      </c>
      <c r="AG48">
        <v>19.977499999999999</v>
      </c>
      <c r="AH48">
        <v>33.39</v>
      </c>
      <c r="AI48">
        <v>126.43</v>
      </c>
      <c r="AJ48">
        <v>82.31</v>
      </c>
      <c r="AK48">
        <v>20.577500000000001</v>
      </c>
      <c r="AL48">
        <v>40.25</v>
      </c>
      <c r="AM48">
        <v>124.36</v>
      </c>
      <c r="AO48" s="1"/>
      <c r="AP48" s="1"/>
      <c r="AQ48" t="s">
        <v>215</v>
      </c>
      <c r="AR48" t="s">
        <v>215</v>
      </c>
      <c r="AT48">
        <v>5.6508667230853504</v>
      </c>
      <c r="AU48" t="s">
        <v>1022</v>
      </c>
      <c r="AW48">
        <v>8.9017490390688199</v>
      </c>
      <c r="AX48">
        <v>0</v>
      </c>
      <c r="AY48" t="s">
        <v>56</v>
      </c>
      <c r="AZ48" t="s">
        <v>54</v>
      </c>
      <c r="BA48" t="s">
        <v>583</v>
      </c>
      <c r="BC48">
        <v>2</v>
      </c>
      <c r="BD48" t="s">
        <v>434</v>
      </c>
      <c r="BE48" t="s">
        <v>303</v>
      </c>
      <c r="BF48" t="s">
        <v>58</v>
      </c>
      <c r="BI48" t="s">
        <v>54</v>
      </c>
      <c r="BK48" t="s">
        <v>54</v>
      </c>
    </row>
    <row r="49" spans="1:63" hidden="1" x14ac:dyDescent="0.3">
      <c r="A49" t="s">
        <v>611</v>
      </c>
      <c r="B49" t="s">
        <v>98</v>
      </c>
      <c r="C49">
        <v>99031</v>
      </c>
      <c r="D49">
        <v>189</v>
      </c>
      <c r="E49" t="s">
        <v>63</v>
      </c>
      <c r="F49">
        <v>102</v>
      </c>
      <c r="G49" t="s">
        <v>53</v>
      </c>
      <c r="H49">
        <v>7</v>
      </c>
      <c r="J49">
        <v>102</v>
      </c>
      <c r="K49" t="s">
        <v>58</v>
      </c>
      <c r="L49">
        <v>180</v>
      </c>
      <c r="M49" t="s">
        <v>612</v>
      </c>
      <c r="N49" t="s">
        <v>300</v>
      </c>
      <c r="O49" t="s">
        <v>300</v>
      </c>
      <c r="P49" t="s">
        <v>1023</v>
      </c>
      <c r="Q49">
        <v>-84.474945320000003</v>
      </c>
      <c r="R49">
        <v>45.60023528</v>
      </c>
      <c r="S49">
        <v>4</v>
      </c>
      <c r="X49">
        <v>109.21</v>
      </c>
      <c r="Y49">
        <v>27.302499999999998</v>
      </c>
      <c r="Z49">
        <v>65.56</v>
      </c>
      <c r="AA49">
        <v>152.86000000000001</v>
      </c>
      <c r="AB49">
        <v>129.11000000000001</v>
      </c>
      <c r="AC49">
        <v>32.277500000000003</v>
      </c>
      <c r="AD49">
        <v>98.47</v>
      </c>
      <c r="AE49">
        <v>159.76</v>
      </c>
      <c r="AF49">
        <v>75.23</v>
      </c>
      <c r="AG49">
        <v>18.807500000000001</v>
      </c>
      <c r="AH49">
        <v>26.08</v>
      </c>
      <c r="AI49">
        <v>124.38</v>
      </c>
      <c r="AJ49">
        <v>120.79</v>
      </c>
      <c r="AK49">
        <v>30.197500000000002</v>
      </c>
      <c r="AL49">
        <v>65.05</v>
      </c>
      <c r="AM49">
        <v>176.52</v>
      </c>
      <c r="AO49" s="1"/>
      <c r="AP49" s="1"/>
      <c r="AQ49" t="s">
        <v>215</v>
      </c>
      <c r="AR49" t="s">
        <v>215</v>
      </c>
      <c r="AT49">
        <v>2.2092174813854499</v>
      </c>
      <c r="AU49" t="s">
        <v>1024</v>
      </c>
      <c r="AW49">
        <v>3.4287267643958299</v>
      </c>
      <c r="AX49">
        <v>0</v>
      </c>
      <c r="AY49" t="s">
        <v>56</v>
      </c>
      <c r="AZ49" t="s">
        <v>54</v>
      </c>
      <c r="BA49" t="s">
        <v>583</v>
      </c>
      <c r="BC49">
        <v>4</v>
      </c>
      <c r="BD49" t="s">
        <v>434</v>
      </c>
      <c r="BE49" t="s">
        <v>303</v>
      </c>
      <c r="BF49" t="s">
        <v>59</v>
      </c>
      <c r="BH49" t="s">
        <v>1025</v>
      </c>
      <c r="BI49" t="s">
        <v>54</v>
      </c>
      <c r="BK49" t="s">
        <v>54</v>
      </c>
    </row>
    <row r="50" spans="1:63" hidden="1" x14ac:dyDescent="0.3">
      <c r="A50" t="s">
        <v>730</v>
      </c>
      <c r="B50" t="s">
        <v>98</v>
      </c>
      <c r="C50">
        <v>99031</v>
      </c>
      <c r="D50">
        <v>191</v>
      </c>
      <c r="E50" t="s">
        <v>63</v>
      </c>
      <c r="F50">
        <v>102</v>
      </c>
      <c r="G50" t="s">
        <v>53</v>
      </c>
      <c r="H50">
        <v>28</v>
      </c>
      <c r="J50">
        <v>102</v>
      </c>
      <c r="K50" t="s">
        <v>52</v>
      </c>
      <c r="L50">
        <v>30</v>
      </c>
      <c r="M50" t="s">
        <v>731</v>
      </c>
      <c r="N50" t="s">
        <v>300</v>
      </c>
      <c r="O50" t="s">
        <v>300</v>
      </c>
      <c r="P50" t="s">
        <v>1026</v>
      </c>
      <c r="Q50">
        <v>-84.473687799999993</v>
      </c>
      <c r="R50">
        <v>45.648064499999997</v>
      </c>
      <c r="S50">
        <v>8</v>
      </c>
      <c r="V50">
        <v>1</v>
      </c>
      <c r="X50">
        <v>178.5</v>
      </c>
      <c r="Y50">
        <v>44.625</v>
      </c>
      <c r="Z50">
        <v>121.55</v>
      </c>
      <c r="AA50">
        <v>235.45</v>
      </c>
      <c r="AB50">
        <v>189.7</v>
      </c>
      <c r="AC50">
        <v>47.424999999999997</v>
      </c>
      <c r="AD50">
        <v>136.33000000000001</v>
      </c>
      <c r="AE50">
        <v>243.07</v>
      </c>
      <c r="AF50">
        <v>221.89</v>
      </c>
      <c r="AG50">
        <v>55.472499999999997</v>
      </c>
      <c r="AH50">
        <v>167.4</v>
      </c>
      <c r="AI50">
        <v>276.38</v>
      </c>
      <c r="AJ50">
        <v>191.61</v>
      </c>
      <c r="AK50">
        <v>47.902500000000003</v>
      </c>
      <c r="AL50">
        <v>149.15</v>
      </c>
      <c r="AM50">
        <v>234.07</v>
      </c>
      <c r="AO50" s="1"/>
      <c r="AP50" s="1"/>
      <c r="AQ50" t="s">
        <v>215</v>
      </c>
      <c r="AR50" t="s">
        <v>215</v>
      </c>
      <c r="AT50">
        <v>0.21992048466102099</v>
      </c>
      <c r="AU50" t="s">
        <v>1027</v>
      </c>
      <c r="AW50">
        <v>0.58317545801401105</v>
      </c>
      <c r="AX50">
        <v>0</v>
      </c>
      <c r="AY50" t="s">
        <v>56</v>
      </c>
      <c r="AZ50" t="s">
        <v>54</v>
      </c>
      <c r="BA50" t="s">
        <v>583</v>
      </c>
      <c r="BC50">
        <v>8</v>
      </c>
      <c r="BD50" t="s">
        <v>212</v>
      </c>
      <c r="BE50" t="s">
        <v>299</v>
      </c>
      <c r="BK50" t="s">
        <v>54</v>
      </c>
    </row>
    <row r="51" spans="1:63" hidden="1" x14ac:dyDescent="0.3">
      <c r="A51" t="s">
        <v>857</v>
      </c>
      <c r="B51" t="s">
        <v>98</v>
      </c>
      <c r="C51">
        <v>73588</v>
      </c>
      <c r="D51">
        <v>0</v>
      </c>
      <c r="E51" t="s">
        <v>62</v>
      </c>
      <c r="F51">
        <v>102</v>
      </c>
      <c r="G51" t="s">
        <v>58</v>
      </c>
      <c r="H51">
        <v>1</v>
      </c>
      <c r="J51">
        <v>102</v>
      </c>
      <c r="K51" t="s">
        <v>60</v>
      </c>
      <c r="L51">
        <v>35</v>
      </c>
      <c r="M51" t="s">
        <v>858</v>
      </c>
      <c r="N51" t="s">
        <v>300</v>
      </c>
      <c r="O51" t="s">
        <v>300</v>
      </c>
      <c r="P51" t="s">
        <v>1028</v>
      </c>
      <c r="Q51">
        <v>-84.455976000000007</v>
      </c>
      <c r="R51">
        <v>45.374971000000002</v>
      </c>
      <c r="X51">
        <v>254.96</v>
      </c>
      <c r="Y51">
        <v>63.74</v>
      </c>
      <c r="Z51">
        <v>241.6</v>
      </c>
      <c r="AA51">
        <v>268.31</v>
      </c>
      <c r="AB51">
        <v>240.13</v>
      </c>
      <c r="AC51">
        <v>60.032499999999999</v>
      </c>
      <c r="AD51">
        <v>221.43</v>
      </c>
      <c r="AE51">
        <v>258.83999999999997</v>
      </c>
      <c r="AF51">
        <v>238.11</v>
      </c>
      <c r="AG51">
        <v>59.527500000000003</v>
      </c>
      <c r="AH51">
        <v>183.88</v>
      </c>
      <c r="AI51">
        <v>292.33999999999997</v>
      </c>
      <c r="AJ51">
        <v>245.68</v>
      </c>
      <c r="AK51">
        <v>61.42</v>
      </c>
      <c r="AL51">
        <v>231.27</v>
      </c>
      <c r="AM51">
        <v>260.08999999999997</v>
      </c>
      <c r="AO51" s="1"/>
      <c r="AP51" s="1"/>
      <c r="AQ51" t="s">
        <v>215</v>
      </c>
      <c r="AR51" t="s">
        <v>215</v>
      </c>
      <c r="AT51">
        <v>69.318483696243405</v>
      </c>
      <c r="AU51" t="s">
        <v>1029</v>
      </c>
      <c r="AW51">
        <v>75.998974995687604</v>
      </c>
      <c r="AX51">
        <v>0</v>
      </c>
      <c r="AY51" t="s">
        <v>56</v>
      </c>
      <c r="AZ51" t="s">
        <v>54</v>
      </c>
      <c r="BA51" t="s">
        <v>583</v>
      </c>
      <c r="BD51" t="s">
        <v>434</v>
      </c>
      <c r="BE51" t="s">
        <v>297</v>
      </c>
      <c r="BF51" t="s">
        <v>52</v>
      </c>
      <c r="BJ51" t="s">
        <v>54</v>
      </c>
      <c r="BK51" t="s">
        <v>54</v>
      </c>
    </row>
    <row r="52" spans="1:63" hidden="1" x14ac:dyDescent="0.3">
      <c r="A52" t="s">
        <v>613</v>
      </c>
      <c r="B52" t="s">
        <v>98</v>
      </c>
      <c r="C52">
        <v>73590</v>
      </c>
      <c r="D52">
        <v>0</v>
      </c>
      <c r="E52" t="s">
        <v>62</v>
      </c>
      <c r="F52">
        <v>102</v>
      </c>
      <c r="G52" t="s">
        <v>52</v>
      </c>
      <c r="H52">
        <v>11</v>
      </c>
      <c r="J52">
        <v>102</v>
      </c>
      <c r="K52" t="s">
        <v>53</v>
      </c>
      <c r="L52">
        <v>100</v>
      </c>
      <c r="M52" t="s">
        <v>614</v>
      </c>
      <c r="N52" t="s">
        <v>300</v>
      </c>
      <c r="O52" t="s">
        <v>300</v>
      </c>
      <c r="P52" t="s">
        <v>1030</v>
      </c>
      <c r="Q52">
        <v>-83.828776000000005</v>
      </c>
      <c r="R52">
        <v>45.411490000000001</v>
      </c>
      <c r="S52">
        <v>12</v>
      </c>
      <c r="X52">
        <v>127.69</v>
      </c>
      <c r="Y52">
        <v>31.922499999999999</v>
      </c>
      <c r="Z52">
        <v>127.69</v>
      </c>
      <c r="AA52">
        <v>127.69</v>
      </c>
      <c r="AB52">
        <v>97.4</v>
      </c>
      <c r="AC52">
        <v>24.35</v>
      </c>
      <c r="AD52">
        <v>78.760000000000005</v>
      </c>
      <c r="AE52">
        <v>116.04</v>
      </c>
      <c r="AF52">
        <v>83.94</v>
      </c>
      <c r="AG52">
        <v>20.984999999999999</v>
      </c>
      <c r="AH52">
        <v>83.94</v>
      </c>
      <c r="AI52">
        <v>83.94</v>
      </c>
      <c r="AJ52">
        <v>91.97</v>
      </c>
      <c r="AK52">
        <v>22.9925</v>
      </c>
      <c r="AL52">
        <v>85.4</v>
      </c>
      <c r="AM52">
        <v>98.54</v>
      </c>
      <c r="AO52" s="1"/>
      <c r="AP52" s="1"/>
      <c r="AQ52" t="s">
        <v>215</v>
      </c>
      <c r="AR52" t="s">
        <v>215</v>
      </c>
      <c r="AT52">
        <v>0.12555951196041501</v>
      </c>
      <c r="AU52" t="s">
        <v>1031</v>
      </c>
      <c r="AW52">
        <v>0.70871382579207398</v>
      </c>
      <c r="AX52">
        <v>0</v>
      </c>
      <c r="AY52" t="s">
        <v>56</v>
      </c>
      <c r="AZ52" t="s">
        <v>54</v>
      </c>
      <c r="BA52" t="s">
        <v>583</v>
      </c>
      <c r="BC52">
        <v>12</v>
      </c>
      <c r="BD52" t="s">
        <v>434</v>
      </c>
      <c r="BE52" t="s">
        <v>303</v>
      </c>
      <c r="BF52" t="s">
        <v>60</v>
      </c>
      <c r="BI52" t="s">
        <v>54</v>
      </c>
      <c r="BK52" t="s">
        <v>54</v>
      </c>
    </row>
    <row r="53" spans="1:63" hidden="1" x14ac:dyDescent="0.3">
      <c r="A53" t="s">
        <v>897</v>
      </c>
      <c r="B53" t="s">
        <v>98</v>
      </c>
      <c r="C53">
        <v>73591</v>
      </c>
      <c r="D53">
        <v>0</v>
      </c>
      <c r="E53" t="s">
        <v>62</v>
      </c>
      <c r="F53">
        <v>102</v>
      </c>
      <c r="G53" t="s">
        <v>53</v>
      </c>
      <c r="H53">
        <v>12</v>
      </c>
      <c r="J53">
        <v>102</v>
      </c>
      <c r="K53" t="s">
        <v>52</v>
      </c>
      <c r="L53">
        <v>35</v>
      </c>
      <c r="M53" t="s">
        <v>898</v>
      </c>
      <c r="N53" t="s">
        <v>303</v>
      </c>
      <c r="O53" t="s">
        <v>303</v>
      </c>
      <c r="P53" t="s">
        <v>1032</v>
      </c>
      <c r="Q53">
        <v>-84.476248999999996</v>
      </c>
      <c r="R53">
        <v>45.645733999999997</v>
      </c>
      <c r="X53">
        <v>33.18</v>
      </c>
      <c r="Y53">
        <v>16.59</v>
      </c>
      <c r="Z53">
        <v>30.41</v>
      </c>
      <c r="AA53">
        <v>35.94</v>
      </c>
      <c r="AB53">
        <v>39.97</v>
      </c>
      <c r="AC53">
        <v>19.984999999999999</v>
      </c>
      <c r="AD53">
        <v>37.119999999999997</v>
      </c>
      <c r="AE53">
        <v>42.83</v>
      </c>
      <c r="AF53">
        <v>36.25</v>
      </c>
      <c r="AG53">
        <v>18.125</v>
      </c>
      <c r="AH53">
        <v>33.229999999999997</v>
      </c>
      <c r="AI53">
        <v>39.28</v>
      </c>
      <c r="AJ53">
        <v>44.84</v>
      </c>
      <c r="AK53">
        <v>22.42</v>
      </c>
      <c r="AL53">
        <v>41.64</v>
      </c>
      <c r="AM53">
        <v>48.04</v>
      </c>
      <c r="AO53" s="1"/>
      <c r="AP53" s="1"/>
      <c r="AQ53" t="s">
        <v>215</v>
      </c>
      <c r="AR53" t="s">
        <v>215</v>
      </c>
      <c r="AT53">
        <v>0.14201926338078399</v>
      </c>
      <c r="AU53" t="s">
        <v>1033</v>
      </c>
      <c r="AW53">
        <v>0.58126662299037002</v>
      </c>
      <c r="AX53">
        <v>0</v>
      </c>
      <c r="AY53" t="s">
        <v>56</v>
      </c>
      <c r="AZ53" t="s">
        <v>54</v>
      </c>
      <c r="BA53" t="s">
        <v>583</v>
      </c>
      <c r="BK53" t="s">
        <v>54</v>
      </c>
    </row>
    <row r="54" spans="1:63" hidden="1" x14ac:dyDescent="0.3">
      <c r="A54" t="s">
        <v>638</v>
      </c>
      <c r="B54" t="s">
        <v>98</v>
      </c>
      <c r="C54">
        <v>70897</v>
      </c>
      <c r="D54">
        <v>4</v>
      </c>
      <c r="E54" t="s">
        <v>63</v>
      </c>
      <c r="F54">
        <v>102</v>
      </c>
      <c r="G54" t="s">
        <v>53</v>
      </c>
      <c r="H54">
        <v>21</v>
      </c>
      <c r="J54">
        <v>102</v>
      </c>
      <c r="K54" t="s">
        <v>52</v>
      </c>
      <c r="L54">
        <v>135</v>
      </c>
      <c r="M54" t="s">
        <v>639</v>
      </c>
      <c r="N54" t="s">
        <v>300</v>
      </c>
      <c r="O54" t="s">
        <v>300</v>
      </c>
      <c r="P54" t="s">
        <v>1034</v>
      </c>
      <c r="Q54">
        <v>-84.728078999999994</v>
      </c>
      <c r="R54">
        <v>45.780752</v>
      </c>
      <c r="S54">
        <v>2</v>
      </c>
      <c r="AB54">
        <v>14.13</v>
      </c>
      <c r="AC54">
        <v>3.5325000000000002</v>
      </c>
      <c r="AD54">
        <v>-155.47</v>
      </c>
      <c r="AE54">
        <v>183.74</v>
      </c>
      <c r="AF54">
        <v>89.8</v>
      </c>
      <c r="AG54">
        <v>22.45</v>
      </c>
      <c r="AH54">
        <v>24.07</v>
      </c>
      <c r="AI54">
        <v>155.53</v>
      </c>
      <c r="AO54" s="1"/>
      <c r="AP54" s="1"/>
      <c r="AQ54" t="s">
        <v>215</v>
      </c>
      <c r="AR54" t="s">
        <v>215</v>
      </c>
      <c r="AT54">
        <v>5.3406891235423498E-2</v>
      </c>
      <c r="AU54" t="s">
        <v>1035</v>
      </c>
      <c r="AW54">
        <v>0.76282337680459</v>
      </c>
      <c r="AX54">
        <v>0</v>
      </c>
      <c r="AY54" t="s">
        <v>56</v>
      </c>
      <c r="AZ54" t="s">
        <v>54</v>
      </c>
      <c r="BA54" t="s">
        <v>583</v>
      </c>
      <c r="BC54">
        <v>2</v>
      </c>
      <c r="BD54" t="s">
        <v>212</v>
      </c>
      <c r="BE54" t="s">
        <v>299</v>
      </c>
      <c r="BH54" t="s">
        <v>1036</v>
      </c>
      <c r="BK54" t="s">
        <v>54</v>
      </c>
    </row>
    <row r="55" spans="1:63" hidden="1" x14ac:dyDescent="0.3">
      <c r="A55" t="s">
        <v>704</v>
      </c>
      <c r="B55" t="s">
        <v>98</v>
      </c>
      <c r="C55">
        <v>73610</v>
      </c>
      <c r="D55">
        <v>0</v>
      </c>
      <c r="E55" t="s">
        <v>62</v>
      </c>
      <c r="F55">
        <v>102</v>
      </c>
      <c r="G55" t="s">
        <v>53</v>
      </c>
      <c r="H55">
        <v>28</v>
      </c>
      <c r="J55">
        <v>102</v>
      </c>
      <c r="K55" t="s">
        <v>59</v>
      </c>
      <c r="L55">
        <v>1</v>
      </c>
      <c r="M55" t="s">
        <v>705</v>
      </c>
      <c r="N55" t="s">
        <v>300</v>
      </c>
      <c r="O55" t="s">
        <v>300</v>
      </c>
      <c r="P55" t="s">
        <v>1037</v>
      </c>
      <c r="Q55">
        <v>-84.729455000000002</v>
      </c>
      <c r="R55">
        <v>45.890529000000001</v>
      </c>
      <c r="S55">
        <v>2258</v>
      </c>
      <c r="T55">
        <v>18</v>
      </c>
      <c r="U55" t="s">
        <v>768</v>
      </c>
      <c r="V55">
        <v>290</v>
      </c>
      <c r="W55">
        <v>0.86359610274579268</v>
      </c>
      <c r="AJ55">
        <v>1310.5</v>
      </c>
      <c r="AK55">
        <v>327.625</v>
      </c>
      <c r="AL55">
        <v>167.99</v>
      </c>
      <c r="AM55">
        <v>2453.0100000000002</v>
      </c>
      <c r="AO55" s="1"/>
      <c r="AP55" s="1"/>
      <c r="AQ55" t="s">
        <v>215</v>
      </c>
      <c r="AR55" t="s">
        <v>215</v>
      </c>
      <c r="AT55">
        <v>10.903500210756</v>
      </c>
      <c r="AW55">
        <v>17.6494798138738</v>
      </c>
      <c r="AX55">
        <v>0</v>
      </c>
      <c r="AY55" t="s">
        <v>56</v>
      </c>
      <c r="AZ55" t="s">
        <v>54</v>
      </c>
      <c r="BA55" t="s">
        <v>583</v>
      </c>
      <c r="BC55">
        <v>2258</v>
      </c>
      <c r="BD55" t="s">
        <v>432</v>
      </c>
      <c r="BE55" t="s">
        <v>298</v>
      </c>
      <c r="BJ55" t="s">
        <v>54</v>
      </c>
      <c r="BK55" t="s">
        <v>54</v>
      </c>
    </row>
    <row r="56" spans="1:63" hidden="1" x14ac:dyDescent="0.3">
      <c r="A56" t="s">
        <v>800</v>
      </c>
      <c r="B56" t="s">
        <v>98</v>
      </c>
      <c r="C56">
        <v>73611</v>
      </c>
      <c r="D56">
        <v>0</v>
      </c>
      <c r="E56" t="s">
        <v>62</v>
      </c>
      <c r="F56">
        <v>102</v>
      </c>
      <c r="G56" t="s">
        <v>52</v>
      </c>
      <c r="H56">
        <v>15</v>
      </c>
      <c r="J56">
        <v>102</v>
      </c>
      <c r="K56" t="s">
        <v>53</v>
      </c>
      <c r="L56">
        <v>1</v>
      </c>
      <c r="M56" t="s">
        <v>864</v>
      </c>
      <c r="N56" t="s">
        <v>299</v>
      </c>
      <c r="O56" t="s">
        <v>299</v>
      </c>
      <c r="P56" t="s">
        <v>1038</v>
      </c>
      <c r="Q56">
        <v>-83.822452999999996</v>
      </c>
      <c r="R56">
        <v>45.414757999999999</v>
      </c>
      <c r="AJ56">
        <v>9.9</v>
      </c>
      <c r="AK56">
        <v>9.9</v>
      </c>
      <c r="AL56">
        <v>-12.37</v>
      </c>
      <c r="AM56">
        <v>32.17</v>
      </c>
      <c r="AO56" s="1"/>
      <c r="AP56" s="1"/>
      <c r="AQ56" t="s">
        <v>215</v>
      </c>
      <c r="AR56" t="s">
        <v>215</v>
      </c>
      <c r="AT56">
        <v>0.218388222494524</v>
      </c>
      <c r="AU56" t="s">
        <v>1039</v>
      </c>
      <c r="AW56">
        <v>0.48386967182159402</v>
      </c>
      <c r="AX56">
        <v>0</v>
      </c>
      <c r="AY56" t="s">
        <v>56</v>
      </c>
      <c r="AZ56" t="s">
        <v>54</v>
      </c>
      <c r="BA56" t="s">
        <v>583</v>
      </c>
      <c r="BK56" t="s">
        <v>54</v>
      </c>
    </row>
    <row r="57" spans="1:63" hidden="1" x14ac:dyDescent="0.3">
      <c r="A57" t="s">
        <v>823</v>
      </c>
      <c r="B57" t="s">
        <v>98</v>
      </c>
      <c r="C57">
        <v>70010</v>
      </c>
      <c r="D57">
        <v>0</v>
      </c>
      <c r="E57" t="s">
        <v>62</v>
      </c>
      <c r="F57">
        <v>102</v>
      </c>
      <c r="G57" t="s">
        <v>59</v>
      </c>
      <c r="H57">
        <v>5</v>
      </c>
      <c r="J57">
        <v>102</v>
      </c>
      <c r="K57" t="s">
        <v>52</v>
      </c>
      <c r="L57">
        <v>125</v>
      </c>
      <c r="M57" t="s">
        <v>758</v>
      </c>
      <c r="N57" t="s">
        <v>300</v>
      </c>
      <c r="O57" t="s">
        <v>300</v>
      </c>
      <c r="P57" t="s">
        <v>1040</v>
      </c>
      <c r="Q57">
        <v>-84.734566299999997</v>
      </c>
      <c r="R57">
        <v>45.786223550000003</v>
      </c>
      <c r="AB57">
        <v>224.35</v>
      </c>
      <c r="AC57">
        <v>56.087499999999999</v>
      </c>
      <c r="AD57">
        <v>143.58000000000001</v>
      </c>
      <c r="AE57">
        <v>305.13</v>
      </c>
      <c r="AF57">
        <v>319.27</v>
      </c>
      <c r="AG57">
        <v>79.817499999999995</v>
      </c>
      <c r="AH57">
        <v>316.95999999999998</v>
      </c>
      <c r="AI57">
        <v>321.58999999999997</v>
      </c>
      <c r="AJ57">
        <v>74.010000000000005</v>
      </c>
      <c r="AK57">
        <v>18.502500000000001</v>
      </c>
      <c r="AL57">
        <v>-172.68</v>
      </c>
      <c r="AM57">
        <v>320.7</v>
      </c>
      <c r="AO57" s="1"/>
      <c r="AP57" s="1"/>
      <c r="AQ57" t="s">
        <v>215</v>
      </c>
      <c r="AR57" t="s">
        <v>215</v>
      </c>
      <c r="AT57">
        <v>0.37384355101370997</v>
      </c>
      <c r="AU57" t="s">
        <v>1041</v>
      </c>
      <c r="AW57">
        <v>1.11001692526042</v>
      </c>
      <c r="AX57">
        <v>0</v>
      </c>
      <c r="AY57" t="s">
        <v>56</v>
      </c>
      <c r="AZ57" t="s">
        <v>54</v>
      </c>
      <c r="BA57" t="s">
        <v>583</v>
      </c>
      <c r="BD57" t="s">
        <v>434</v>
      </c>
      <c r="BE57" t="s">
        <v>303</v>
      </c>
      <c r="BF57" t="s">
        <v>58</v>
      </c>
      <c r="BH57" t="s">
        <v>1042</v>
      </c>
      <c r="BI57" t="s">
        <v>54</v>
      </c>
      <c r="BK57" t="s">
        <v>54</v>
      </c>
    </row>
    <row r="58" spans="1:63" hidden="1" x14ac:dyDescent="0.3">
      <c r="A58" t="s">
        <v>597</v>
      </c>
      <c r="B58" t="s">
        <v>98</v>
      </c>
      <c r="C58">
        <v>70011</v>
      </c>
      <c r="D58">
        <v>0</v>
      </c>
      <c r="E58" t="s">
        <v>63</v>
      </c>
      <c r="F58">
        <v>102</v>
      </c>
      <c r="G58" t="s">
        <v>59</v>
      </c>
      <c r="H58">
        <v>2</v>
      </c>
      <c r="J58">
        <v>102</v>
      </c>
      <c r="K58" t="s">
        <v>52</v>
      </c>
      <c r="L58">
        <v>100</v>
      </c>
      <c r="M58" t="s">
        <v>598</v>
      </c>
      <c r="N58" t="s">
        <v>300</v>
      </c>
      <c r="O58" t="s">
        <v>300</v>
      </c>
      <c r="P58" t="s">
        <v>1043</v>
      </c>
      <c r="Q58">
        <v>-84.726983500000003</v>
      </c>
      <c r="R58">
        <v>45.781895499999997</v>
      </c>
      <c r="S58">
        <v>2</v>
      </c>
      <c r="AB58">
        <v>79.94</v>
      </c>
      <c r="AC58">
        <v>19.984999999999999</v>
      </c>
      <c r="AD58">
        <v>39.97</v>
      </c>
      <c r="AE58">
        <v>119.91</v>
      </c>
      <c r="AF58">
        <v>112.56</v>
      </c>
      <c r="AG58">
        <v>28.14</v>
      </c>
      <c r="AH58">
        <v>112.4</v>
      </c>
      <c r="AI58">
        <v>112.71</v>
      </c>
      <c r="AJ58">
        <v>34.619999999999997</v>
      </c>
      <c r="AK58">
        <v>8.6549999999999994</v>
      </c>
      <c r="AL58">
        <v>-43.27</v>
      </c>
      <c r="AM58">
        <v>112.5</v>
      </c>
      <c r="AO58" s="1"/>
      <c r="AP58" s="1"/>
      <c r="AQ58" t="s">
        <v>215</v>
      </c>
      <c r="AR58" t="s">
        <v>215</v>
      </c>
      <c r="AT58">
        <v>8.2484922609721595E-2</v>
      </c>
      <c r="AU58" t="s">
        <v>1044</v>
      </c>
      <c r="AW58">
        <v>0.531316893175244</v>
      </c>
      <c r="AX58">
        <v>0</v>
      </c>
      <c r="AY58" t="s">
        <v>56</v>
      </c>
      <c r="AZ58" t="s">
        <v>54</v>
      </c>
      <c r="BA58" t="s">
        <v>583</v>
      </c>
      <c r="BC58">
        <v>2</v>
      </c>
      <c r="BD58" t="s">
        <v>434</v>
      </c>
      <c r="BE58" t="s">
        <v>303</v>
      </c>
      <c r="BF58" t="s">
        <v>58</v>
      </c>
      <c r="BH58" t="s">
        <v>1045</v>
      </c>
      <c r="BI58" t="s">
        <v>54</v>
      </c>
      <c r="BK58" t="s">
        <v>54</v>
      </c>
    </row>
    <row r="59" spans="1:63" hidden="1" x14ac:dyDescent="0.3">
      <c r="A59" t="s">
        <v>599</v>
      </c>
      <c r="B59" t="s">
        <v>98</v>
      </c>
      <c r="C59">
        <v>70013</v>
      </c>
      <c r="D59">
        <v>0</v>
      </c>
      <c r="E59" t="s">
        <v>62</v>
      </c>
      <c r="F59">
        <v>102</v>
      </c>
      <c r="G59" t="s">
        <v>59</v>
      </c>
      <c r="H59">
        <v>4</v>
      </c>
      <c r="J59">
        <v>102</v>
      </c>
      <c r="K59" t="s">
        <v>52</v>
      </c>
      <c r="L59">
        <v>115</v>
      </c>
      <c r="M59" t="s">
        <v>600</v>
      </c>
      <c r="N59" t="s">
        <v>300</v>
      </c>
      <c r="O59" t="s">
        <v>300</v>
      </c>
      <c r="P59" t="s">
        <v>1046</v>
      </c>
      <c r="Q59">
        <v>-84.733535700000004</v>
      </c>
      <c r="R59">
        <v>45.782027200000002</v>
      </c>
      <c r="S59">
        <v>30</v>
      </c>
      <c r="T59">
        <v>1</v>
      </c>
      <c r="U59" t="s">
        <v>88</v>
      </c>
      <c r="V59">
        <v>15</v>
      </c>
      <c r="W59">
        <v>0.53333333333333333</v>
      </c>
      <c r="AB59">
        <v>24.18</v>
      </c>
      <c r="AC59">
        <v>6.0449999999999999</v>
      </c>
      <c r="AD59">
        <v>3.02</v>
      </c>
      <c r="AE59">
        <v>45.33</v>
      </c>
      <c r="AF59">
        <v>55.45</v>
      </c>
      <c r="AG59">
        <v>13.862500000000001</v>
      </c>
      <c r="AH59">
        <v>48.11</v>
      </c>
      <c r="AI59">
        <v>62.78</v>
      </c>
      <c r="AO59" s="1"/>
      <c r="AP59" s="1"/>
      <c r="AQ59" t="s">
        <v>215</v>
      </c>
      <c r="AR59" t="s">
        <v>215</v>
      </c>
      <c r="AT59">
        <v>0.277127128327745</v>
      </c>
      <c r="AU59" t="s">
        <v>1047</v>
      </c>
      <c r="AW59">
        <v>1.18457091972232</v>
      </c>
      <c r="AX59">
        <v>0</v>
      </c>
      <c r="AY59" t="s">
        <v>56</v>
      </c>
      <c r="AZ59" t="s">
        <v>54</v>
      </c>
      <c r="BA59" t="s">
        <v>583</v>
      </c>
      <c r="BC59">
        <v>30</v>
      </c>
      <c r="BD59" t="s">
        <v>434</v>
      </c>
      <c r="BE59" t="s">
        <v>303</v>
      </c>
      <c r="BF59" t="s">
        <v>58</v>
      </c>
      <c r="BH59" t="s">
        <v>1048</v>
      </c>
      <c r="BI59" t="s">
        <v>54</v>
      </c>
      <c r="BK59" t="s">
        <v>54</v>
      </c>
    </row>
    <row r="60" spans="1:63" hidden="1" x14ac:dyDescent="0.3">
      <c r="A60" t="s">
        <v>911</v>
      </c>
      <c r="B60" t="s">
        <v>98</v>
      </c>
      <c r="C60">
        <v>70021</v>
      </c>
      <c r="D60">
        <v>0</v>
      </c>
      <c r="E60" t="s">
        <v>57</v>
      </c>
      <c r="F60">
        <v>102</v>
      </c>
      <c r="G60" t="s">
        <v>52</v>
      </c>
      <c r="H60">
        <v>2</v>
      </c>
      <c r="J60">
        <v>102</v>
      </c>
      <c r="K60" t="s">
        <v>60</v>
      </c>
      <c r="L60">
        <v>70</v>
      </c>
      <c r="M60" t="s">
        <v>912</v>
      </c>
      <c r="N60" t="s">
        <v>303</v>
      </c>
      <c r="O60" t="s">
        <v>303</v>
      </c>
      <c r="P60" t="s">
        <v>1049</v>
      </c>
      <c r="Q60">
        <v>-84.224948999999995</v>
      </c>
      <c r="R60">
        <v>45.357768</v>
      </c>
      <c r="X60">
        <v>7.95</v>
      </c>
      <c r="Y60">
        <v>3.9750000000000001</v>
      </c>
      <c r="Z60">
        <v>-0.79</v>
      </c>
      <c r="AA60">
        <v>16.690000000000001</v>
      </c>
      <c r="AB60">
        <v>18.07</v>
      </c>
      <c r="AC60">
        <v>9.0350000000000001</v>
      </c>
      <c r="AD60">
        <v>14.2</v>
      </c>
      <c r="AE60">
        <v>21.95</v>
      </c>
      <c r="AF60">
        <v>18.96</v>
      </c>
      <c r="AG60">
        <v>9.48</v>
      </c>
      <c r="AH60">
        <v>17.38</v>
      </c>
      <c r="AI60">
        <v>20.54</v>
      </c>
      <c r="AJ60">
        <v>6.32</v>
      </c>
      <c r="AK60">
        <v>3.16</v>
      </c>
      <c r="AL60">
        <v>-7.9</v>
      </c>
      <c r="AM60">
        <v>20.54</v>
      </c>
      <c r="AO60" s="1"/>
      <c r="AP60" s="1"/>
      <c r="AQ60" t="s">
        <v>215</v>
      </c>
      <c r="AR60" t="s">
        <v>215</v>
      </c>
      <c r="AT60">
        <v>9.3418527193649705</v>
      </c>
      <c r="AU60" t="s">
        <v>1050</v>
      </c>
      <c r="AV60">
        <v>8.42</v>
      </c>
      <c r="AW60">
        <v>10.4241391383111</v>
      </c>
      <c r="AX60">
        <v>0</v>
      </c>
      <c r="AY60" t="s">
        <v>56</v>
      </c>
      <c r="AZ60" t="s">
        <v>54</v>
      </c>
      <c r="BA60" t="s">
        <v>583</v>
      </c>
      <c r="BH60" t="s">
        <v>1051</v>
      </c>
      <c r="BK60" t="s">
        <v>54</v>
      </c>
    </row>
    <row r="61" spans="1:63" hidden="1" x14ac:dyDescent="0.3">
      <c r="A61" t="s">
        <v>593</v>
      </c>
      <c r="B61" t="s">
        <v>98</v>
      </c>
      <c r="C61">
        <v>70024</v>
      </c>
      <c r="D61">
        <v>0</v>
      </c>
      <c r="E61" t="s">
        <v>57</v>
      </c>
      <c r="F61">
        <v>102</v>
      </c>
      <c r="G61" t="s">
        <v>60</v>
      </c>
      <c r="H61">
        <v>12</v>
      </c>
      <c r="J61">
        <v>102</v>
      </c>
      <c r="K61" t="s">
        <v>53</v>
      </c>
      <c r="L61">
        <v>55</v>
      </c>
      <c r="M61" t="s">
        <v>594</v>
      </c>
      <c r="N61" t="s">
        <v>300</v>
      </c>
      <c r="O61" t="s">
        <v>300</v>
      </c>
      <c r="P61" t="s">
        <v>1052</v>
      </c>
      <c r="Q61">
        <v>-83.814699500000003</v>
      </c>
      <c r="R61">
        <v>45.4092202</v>
      </c>
      <c r="S61">
        <v>110</v>
      </c>
      <c r="T61">
        <v>5</v>
      </c>
      <c r="U61" t="s">
        <v>401</v>
      </c>
      <c r="V61">
        <v>41</v>
      </c>
      <c r="W61">
        <v>0.63636363636363635</v>
      </c>
      <c r="X61">
        <v>116.25</v>
      </c>
      <c r="Y61">
        <v>29.0625</v>
      </c>
      <c r="Z61">
        <v>115.78</v>
      </c>
      <c r="AA61">
        <v>116.72</v>
      </c>
      <c r="AB61">
        <v>120.61</v>
      </c>
      <c r="AC61">
        <v>30.1525</v>
      </c>
      <c r="AD61">
        <v>120.61</v>
      </c>
      <c r="AE61">
        <v>120.61</v>
      </c>
      <c r="AF61">
        <v>120.61</v>
      </c>
      <c r="AG61">
        <v>30.1525</v>
      </c>
      <c r="AH61">
        <v>120.61</v>
      </c>
      <c r="AI61">
        <v>120.61</v>
      </c>
      <c r="AJ61">
        <v>120.71</v>
      </c>
      <c r="AK61">
        <v>30.177499999999998</v>
      </c>
      <c r="AL61">
        <v>110.74</v>
      </c>
      <c r="AM61">
        <v>130.68</v>
      </c>
      <c r="AO61" s="1"/>
      <c r="AP61" s="1"/>
      <c r="AQ61" t="s">
        <v>215</v>
      </c>
      <c r="AR61" t="s">
        <v>215</v>
      </c>
      <c r="AT61">
        <v>3.4355620645820699E-2</v>
      </c>
      <c r="AU61" t="s">
        <v>1053</v>
      </c>
      <c r="AV61">
        <v>5.4</v>
      </c>
      <c r="AW61">
        <v>0.113986706361175</v>
      </c>
      <c r="AX61">
        <v>0</v>
      </c>
      <c r="AY61" t="s">
        <v>56</v>
      </c>
      <c r="AZ61" t="s">
        <v>54</v>
      </c>
      <c r="BA61" t="s">
        <v>583</v>
      </c>
      <c r="BC61">
        <v>110</v>
      </c>
      <c r="BD61" t="s">
        <v>435</v>
      </c>
      <c r="BE61" t="s">
        <v>301</v>
      </c>
      <c r="BF61" t="s">
        <v>58</v>
      </c>
      <c r="BG61" t="s">
        <v>54</v>
      </c>
      <c r="BK61" t="s">
        <v>54</v>
      </c>
    </row>
    <row r="62" spans="1:63" hidden="1" x14ac:dyDescent="0.3">
      <c r="A62" t="s">
        <v>786</v>
      </c>
      <c r="B62" t="s">
        <v>98</v>
      </c>
      <c r="C62">
        <v>99138</v>
      </c>
      <c r="D62">
        <v>0</v>
      </c>
      <c r="E62" t="s">
        <v>63</v>
      </c>
      <c r="F62">
        <v>102</v>
      </c>
      <c r="G62" t="s">
        <v>53</v>
      </c>
      <c r="H62">
        <v>16</v>
      </c>
      <c r="J62">
        <v>102</v>
      </c>
      <c r="K62" t="s">
        <v>52</v>
      </c>
      <c r="L62">
        <v>85</v>
      </c>
      <c r="M62" t="s">
        <v>890</v>
      </c>
      <c r="N62" t="s">
        <v>300</v>
      </c>
      <c r="O62" t="s">
        <v>300</v>
      </c>
      <c r="P62" t="s">
        <v>1054</v>
      </c>
      <c r="Q62">
        <v>-84.726742000000002</v>
      </c>
      <c r="R62">
        <v>45.778343999999997</v>
      </c>
      <c r="V62">
        <v>1</v>
      </c>
      <c r="AB62">
        <v>142.59</v>
      </c>
      <c r="AC62">
        <v>35.647500000000001</v>
      </c>
      <c r="AD62">
        <v>71.3</v>
      </c>
      <c r="AE62">
        <v>213.89</v>
      </c>
      <c r="AF62">
        <v>235.96</v>
      </c>
      <c r="AG62">
        <v>58.99</v>
      </c>
      <c r="AH62">
        <v>228.89</v>
      </c>
      <c r="AI62">
        <v>243.04</v>
      </c>
      <c r="AJ62">
        <v>36.15</v>
      </c>
      <c r="AK62">
        <v>9.0374999999999996</v>
      </c>
      <c r="AL62">
        <v>-162.69</v>
      </c>
      <c r="AM62">
        <v>234.99</v>
      </c>
      <c r="AO62" s="1"/>
      <c r="AP62" s="1"/>
      <c r="AQ62" t="s">
        <v>215</v>
      </c>
      <c r="AR62" t="s">
        <v>215</v>
      </c>
      <c r="AT62">
        <v>4.2818124365761198E-2</v>
      </c>
      <c r="AU62" t="s">
        <v>1055</v>
      </c>
      <c r="AW62">
        <v>0.14385265111923201</v>
      </c>
      <c r="AX62">
        <v>0</v>
      </c>
      <c r="AY62" t="s">
        <v>56</v>
      </c>
      <c r="AZ62" t="s">
        <v>54</v>
      </c>
      <c r="BA62" t="s">
        <v>583</v>
      </c>
      <c r="BD62" t="s">
        <v>212</v>
      </c>
      <c r="BE62" t="s">
        <v>299</v>
      </c>
      <c r="BH62" t="s">
        <v>1056</v>
      </c>
      <c r="BK62" t="s">
        <v>54</v>
      </c>
    </row>
    <row r="63" spans="1:63" hidden="1" x14ac:dyDescent="0.3">
      <c r="A63" t="s">
        <v>801</v>
      </c>
      <c r="B63" t="s">
        <v>98</v>
      </c>
      <c r="C63">
        <v>70324</v>
      </c>
      <c r="D63">
        <v>0</v>
      </c>
      <c r="E63" t="s">
        <v>63</v>
      </c>
      <c r="F63">
        <v>102</v>
      </c>
      <c r="G63" t="s">
        <v>52</v>
      </c>
      <c r="H63">
        <v>13</v>
      </c>
      <c r="J63">
        <v>102</v>
      </c>
      <c r="K63" t="s">
        <v>60</v>
      </c>
      <c r="L63">
        <v>40</v>
      </c>
      <c r="M63" t="s">
        <v>913</v>
      </c>
      <c r="N63" t="s">
        <v>299</v>
      </c>
      <c r="O63" t="s">
        <v>299</v>
      </c>
      <c r="P63" t="s">
        <v>1057</v>
      </c>
      <c r="Q63">
        <v>-84.235742999999999</v>
      </c>
      <c r="R63">
        <v>45.353454999999997</v>
      </c>
      <c r="X63">
        <v>37.64</v>
      </c>
      <c r="Y63">
        <v>37.64</v>
      </c>
      <c r="Z63">
        <v>30.59</v>
      </c>
      <c r="AA63">
        <v>44.7</v>
      </c>
      <c r="AB63">
        <v>17.149999999999999</v>
      </c>
      <c r="AC63">
        <v>17.149999999999999</v>
      </c>
      <c r="AD63">
        <v>11.79</v>
      </c>
      <c r="AE63">
        <v>22.51</v>
      </c>
      <c r="AF63">
        <v>5.66</v>
      </c>
      <c r="AG63">
        <v>5.66</v>
      </c>
      <c r="AH63">
        <v>-7.08</v>
      </c>
      <c r="AI63">
        <v>18.41</v>
      </c>
      <c r="AJ63">
        <v>20.9</v>
      </c>
      <c r="AK63">
        <v>20.9</v>
      </c>
      <c r="AL63">
        <v>7.84</v>
      </c>
      <c r="AM63">
        <v>33.97</v>
      </c>
      <c r="AO63" s="1"/>
      <c r="AP63" s="1"/>
      <c r="AQ63" t="s">
        <v>215</v>
      </c>
      <c r="AR63" t="s">
        <v>215</v>
      </c>
      <c r="AT63">
        <v>0.295985081595948</v>
      </c>
      <c r="AU63" t="s">
        <v>1058</v>
      </c>
      <c r="AV63">
        <v>2.62</v>
      </c>
      <c r="AW63">
        <v>0.42268761061131999</v>
      </c>
      <c r="AX63">
        <v>0</v>
      </c>
      <c r="AY63" t="s">
        <v>56</v>
      </c>
      <c r="AZ63" t="s">
        <v>54</v>
      </c>
      <c r="BA63" t="s">
        <v>583</v>
      </c>
      <c r="BH63" t="s">
        <v>429</v>
      </c>
      <c r="BK63" t="s">
        <v>54</v>
      </c>
    </row>
    <row r="64" spans="1:63" hidden="1" x14ac:dyDescent="0.3">
      <c r="A64" t="s">
        <v>591</v>
      </c>
      <c r="B64" t="s">
        <v>98</v>
      </c>
      <c r="C64">
        <v>70537</v>
      </c>
      <c r="D64">
        <v>0</v>
      </c>
      <c r="E64" t="s">
        <v>57</v>
      </c>
      <c r="F64">
        <v>102</v>
      </c>
      <c r="G64" t="s">
        <v>60</v>
      </c>
      <c r="H64">
        <v>16</v>
      </c>
      <c r="J64">
        <v>102</v>
      </c>
      <c r="K64" t="s">
        <v>53</v>
      </c>
      <c r="L64">
        <v>15</v>
      </c>
      <c r="M64" t="s">
        <v>592</v>
      </c>
      <c r="N64" t="s">
        <v>300</v>
      </c>
      <c r="O64" t="s">
        <v>300</v>
      </c>
      <c r="P64" t="s">
        <v>1059</v>
      </c>
      <c r="Q64">
        <v>-83.431765999999996</v>
      </c>
      <c r="R64">
        <v>45.072319999999998</v>
      </c>
      <c r="S64">
        <v>2</v>
      </c>
      <c r="X64">
        <v>94.43</v>
      </c>
      <c r="Y64">
        <v>23.607500000000002</v>
      </c>
      <c r="Z64">
        <v>87.91</v>
      </c>
      <c r="AA64">
        <v>100.95</v>
      </c>
      <c r="AB64">
        <v>80.61</v>
      </c>
      <c r="AC64">
        <v>20.1525</v>
      </c>
      <c r="AD64">
        <v>58.33</v>
      </c>
      <c r="AE64">
        <v>102.88</v>
      </c>
      <c r="AF64">
        <v>70.75</v>
      </c>
      <c r="AG64">
        <v>17.6875</v>
      </c>
      <c r="AH64">
        <v>55.54</v>
      </c>
      <c r="AI64">
        <v>85.95</v>
      </c>
      <c r="AJ64">
        <v>89.67</v>
      </c>
      <c r="AK64">
        <v>22.4175</v>
      </c>
      <c r="AL64">
        <v>67.27</v>
      </c>
      <c r="AM64">
        <v>112.07</v>
      </c>
      <c r="AO64" s="1"/>
      <c r="AP64" s="1"/>
      <c r="AQ64" t="s">
        <v>215</v>
      </c>
      <c r="AR64" t="s">
        <v>215</v>
      </c>
      <c r="AT64">
        <v>5.5615641662971402</v>
      </c>
      <c r="AU64" t="s">
        <v>1060</v>
      </c>
      <c r="AV64">
        <v>9.85</v>
      </c>
      <c r="AW64">
        <v>7.7628466617315999</v>
      </c>
      <c r="AX64">
        <v>0</v>
      </c>
      <c r="AY64" t="s">
        <v>56</v>
      </c>
      <c r="AZ64" t="s">
        <v>54</v>
      </c>
      <c r="BA64" t="s">
        <v>583</v>
      </c>
      <c r="BC64">
        <v>2</v>
      </c>
      <c r="BD64" t="s">
        <v>435</v>
      </c>
      <c r="BE64" t="s">
        <v>301</v>
      </c>
      <c r="BF64" t="s">
        <v>58</v>
      </c>
      <c r="BG64" t="s">
        <v>54</v>
      </c>
      <c r="BK64" t="s">
        <v>54</v>
      </c>
    </row>
    <row r="65" spans="1:63" hidden="1" x14ac:dyDescent="0.3">
      <c r="A65" t="s">
        <v>839</v>
      </c>
      <c r="B65" t="s">
        <v>98</v>
      </c>
      <c r="C65">
        <v>70618</v>
      </c>
      <c r="D65">
        <v>0</v>
      </c>
      <c r="E65" t="s">
        <v>64</v>
      </c>
      <c r="F65">
        <v>102</v>
      </c>
      <c r="G65" t="s">
        <v>60</v>
      </c>
      <c r="H65">
        <v>2</v>
      </c>
      <c r="J65">
        <v>102</v>
      </c>
      <c r="K65" t="s">
        <v>53</v>
      </c>
      <c r="L65">
        <v>25</v>
      </c>
      <c r="M65" t="s">
        <v>873</v>
      </c>
      <c r="N65" t="s">
        <v>298</v>
      </c>
      <c r="O65" t="s">
        <v>298</v>
      </c>
      <c r="P65" t="s">
        <v>1061</v>
      </c>
      <c r="Q65">
        <v>-83.413194500000003</v>
      </c>
      <c r="R65">
        <v>45.128571299999997</v>
      </c>
      <c r="AB65">
        <v>7.97</v>
      </c>
      <c r="AC65">
        <v>7.97</v>
      </c>
      <c r="AD65">
        <v>1.99</v>
      </c>
      <c r="AE65">
        <v>13.95</v>
      </c>
      <c r="AF65">
        <v>11.96</v>
      </c>
      <c r="AG65">
        <v>11.96</v>
      </c>
      <c r="AH65">
        <v>10.96</v>
      </c>
      <c r="AI65">
        <v>12.95</v>
      </c>
      <c r="AJ65">
        <v>3.99</v>
      </c>
      <c r="AK65">
        <v>3.99</v>
      </c>
      <c r="AL65">
        <v>-2.4900000000000002</v>
      </c>
      <c r="AM65">
        <v>10.46</v>
      </c>
      <c r="AO65" s="1"/>
      <c r="AP65" s="1"/>
      <c r="AQ65" t="s">
        <v>215</v>
      </c>
      <c r="AR65" t="s">
        <v>215</v>
      </c>
      <c r="AT65">
        <v>4.0719600080561102</v>
      </c>
      <c r="AU65" t="s">
        <v>1062</v>
      </c>
      <c r="AW65">
        <v>6.3058212865143997</v>
      </c>
      <c r="AX65">
        <v>0</v>
      </c>
      <c r="AY65" t="s">
        <v>56</v>
      </c>
      <c r="AZ65" t="s">
        <v>54</v>
      </c>
      <c r="BA65" t="s">
        <v>583</v>
      </c>
      <c r="BH65" t="s">
        <v>1009</v>
      </c>
      <c r="BK65" t="s">
        <v>54</v>
      </c>
    </row>
    <row r="66" spans="1:63" hidden="1" x14ac:dyDescent="0.3">
      <c r="A66" t="s">
        <v>874</v>
      </c>
      <c r="B66" t="s">
        <v>98</v>
      </c>
      <c r="C66">
        <v>99052</v>
      </c>
      <c r="D66">
        <v>9</v>
      </c>
      <c r="E66" t="s">
        <v>64</v>
      </c>
      <c r="F66">
        <v>102</v>
      </c>
      <c r="G66" t="s">
        <v>60</v>
      </c>
      <c r="H66">
        <v>5</v>
      </c>
      <c r="J66">
        <v>102</v>
      </c>
      <c r="K66" t="s">
        <v>53</v>
      </c>
      <c r="L66">
        <v>35</v>
      </c>
      <c r="M66" t="s">
        <v>875</v>
      </c>
      <c r="N66" t="s">
        <v>303</v>
      </c>
      <c r="O66" t="s">
        <v>303</v>
      </c>
      <c r="P66" t="s">
        <v>1063</v>
      </c>
      <c r="Q66">
        <v>-83.425815</v>
      </c>
      <c r="R66">
        <v>45.157881000000003</v>
      </c>
      <c r="X66">
        <v>30.87</v>
      </c>
      <c r="Y66">
        <v>15.435</v>
      </c>
      <c r="Z66">
        <v>28.17</v>
      </c>
      <c r="AA66">
        <v>33.57</v>
      </c>
      <c r="AB66">
        <v>30.08</v>
      </c>
      <c r="AC66">
        <v>15.04</v>
      </c>
      <c r="AD66">
        <v>27.57</v>
      </c>
      <c r="AE66">
        <v>32.58</v>
      </c>
      <c r="AF66">
        <v>31.29</v>
      </c>
      <c r="AG66">
        <v>15.645</v>
      </c>
      <c r="AH66">
        <v>28.68</v>
      </c>
      <c r="AI66">
        <v>33.9</v>
      </c>
      <c r="AJ66">
        <v>31.45</v>
      </c>
      <c r="AK66">
        <v>15.725</v>
      </c>
      <c r="AL66">
        <v>25.25</v>
      </c>
      <c r="AM66">
        <v>37.65</v>
      </c>
      <c r="AO66" s="1"/>
      <c r="AP66" s="1"/>
      <c r="AQ66" t="s">
        <v>215</v>
      </c>
      <c r="AR66" t="s">
        <v>215</v>
      </c>
      <c r="AT66">
        <v>2.6731395539779599</v>
      </c>
      <c r="AU66" t="s">
        <v>1064</v>
      </c>
      <c r="AV66">
        <v>5.68</v>
      </c>
      <c r="AW66">
        <v>4.4250879548490003</v>
      </c>
      <c r="AX66">
        <v>0</v>
      </c>
      <c r="AY66" t="s">
        <v>56</v>
      </c>
      <c r="AZ66" t="s">
        <v>54</v>
      </c>
      <c r="BA66" t="s">
        <v>583</v>
      </c>
      <c r="BK66" t="s">
        <v>54</v>
      </c>
    </row>
    <row r="67" spans="1:63" hidden="1" x14ac:dyDescent="0.3">
      <c r="A67" t="s">
        <v>827</v>
      </c>
      <c r="B67" t="s">
        <v>98</v>
      </c>
      <c r="C67">
        <v>99138</v>
      </c>
      <c r="D67">
        <v>2</v>
      </c>
      <c r="E67" t="s">
        <v>63</v>
      </c>
      <c r="F67">
        <v>102</v>
      </c>
      <c r="G67" t="s">
        <v>59</v>
      </c>
      <c r="H67">
        <v>1</v>
      </c>
      <c r="J67">
        <v>102</v>
      </c>
      <c r="K67" t="s">
        <v>52</v>
      </c>
      <c r="L67">
        <v>45</v>
      </c>
      <c r="M67" t="s">
        <v>757</v>
      </c>
      <c r="N67" t="s">
        <v>300</v>
      </c>
      <c r="O67" t="s">
        <v>300</v>
      </c>
      <c r="P67" t="s">
        <v>1065</v>
      </c>
      <c r="Q67">
        <v>-84.725280209999994</v>
      </c>
      <c r="R67">
        <v>45.78164795</v>
      </c>
      <c r="X67">
        <v>132.72</v>
      </c>
      <c r="Y67">
        <v>33.18</v>
      </c>
      <c r="Z67">
        <v>110.83</v>
      </c>
      <c r="AA67">
        <v>154.6</v>
      </c>
      <c r="AB67">
        <v>170.07</v>
      </c>
      <c r="AC67">
        <v>42.517499999999998</v>
      </c>
      <c r="AD67">
        <v>140.57</v>
      </c>
      <c r="AE67">
        <v>199.58</v>
      </c>
      <c r="AF67">
        <v>215.08</v>
      </c>
      <c r="AG67">
        <v>53.77</v>
      </c>
      <c r="AH67">
        <v>175.12</v>
      </c>
      <c r="AI67">
        <v>255.05</v>
      </c>
      <c r="AJ67">
        <v>190.45</v>
      </c>
      <c r="AK67">
        <v>47.612499999999997</v>
      </c>
      <c r="AL67">
        <v>149.6</v>
      </c>
      <c r="AM67">
        <v>231.29</v>
      </c>
      <c r="AO67" s="1"/>
      <c r="AP67" s="1"/>
      <c r="AQ67" t="s">
        <v>215</v>
      </c>
      <c r="AR67" t="s">
        <v>215</v>
      </c>
      <c r="AT67">
        <v>95.7227732628794</v>
      </c>
      <c r="AU67" t="s">
        <v>1066</v>
      </c>
      <c r="AV67">
        <v>10.26</v>
      </c>
      <c r="AW67">
        <v>103.487148907036</v>
      </c>
      <c r="AX67">
        <v>0</v>
      </c>
      <c r="AY67" t="s">
        <v>56</v>
      </c>
      <c r="AZ67" t="s">
        <v>54</v>
      </c>
      <c r="BA67" t="s">
        <v>583</v>
      </c>
      <c r="BD67" t="s">
        <v>434</v>
      </c>
      <c r="BE67" t="s">
        <v>303</v>
      </c>
      <c r="BF67" t="s">
        <v>58</v>
      </c>
      <c r="BI67" t="s">
        <v>54</v>
      </c>
      <c r="BK67" t="s">
        <v>54</v>
      </c>
    </row>
    <row r="68" spans="1:63" hidden="1" x14ac:dyDescent="0.3">
      <c r="A68" t="s">
        <v>787</v>
      </c>
      <c r="B68" t="s">
        <v>98</v>
      </c>
      <c r="C68">
        <v>70845</v>
      </c>
      <c r="D68">
        <v>0</v>
      </c>
      <c r="E68" t="s">
        <v>63</v>
      </c>
      <c r="F68">
        <v>102</v>
      </c>
      <c r="G68" t="s">
        <v>53</v>
      </c>
      <c r="H68">
        <v>24</v>
      </c>
      <c r="J68">
        <v>102</v>
      </c>
      <c r="K68" t="s">
        <v>52</v>
      </c>
      <c r="L68">
        <v>60</v>
      </c>
      <c r="M68" t="s">
        <v>883</v>
      </c>
      <c r="N68" t="s">
        <v>323</v>
      </c>
      <c r="O68" t="s">
        <v>323</v>
      </c>
      <c r="P68" t="s">
        <v>1067</v>
      </c>
      <c r="Q68">
        <v>-84.725846000000004</v>
      </c>
      <c r="R68">
        <v>45.780904999999997</v>
      </c>
      <c r="X68">
        <v>21.16</v>
      </c>
      <c r="Y68">
        <v>10.58</v>
      </c>
      <c r="Z68">
        <v>19.649999999999999</v>
      </c>
      <c r="AA68">
        <v>22.67</v>
      </c>
      <c r="AB68">
        <v>18.22</v>
      </c>
      <c r="AC68">
        <v>9.11</v>
      </c>
      <c r="AD68">
        <v>16.7</v>
      </c>
      <c r="AE68">
        <v>19.739999999999998</v>
      </c>
      <c r="AF68">
        <v>21.26</v>
      </c>
      <c r="AG68">
        <v>10.63</v>
      </c>
      <c r="AH68">
        <v>19.739999999999998</v>
      </c>
      <c r="AI68">
        <v>22.78</v>
      </c>
      <c r="AJ68">
        <v>18.59</v>
      </c>
      <c r="AK68">
        <v>9.2949999999999999</v>
      </c>
      <c r="AL68">
        <v>17.04</v>
      </c>
      <c r="AM68">
        <v>20.14</v>
      </c>
      <c r="AO68" s="1"/>
      <c r="AP68" s="1"/>
      <c r="AQ68" t="s">
        <v>215</v>
      </c>
      <c r="AR68" t="s">
        <v>215</v>
      </c>
      <c r="AT68">
        <v>9.2481589668634803E-2</v>
      </c>
      <c r="AU68" t="s">
        <v>1068</v>
      </c>
      <c r="AV68">
        <v>1.4</v>
      </c>
      <c r="AW68">
        <v>0.45940796099603198</v>
      </c>
      <c r="AX68">
        <v>0</v>
      </c>
      <c r="AY68" t="s">
        <v>56</v>
      </c>
      <c r="AZ68" t="s">
        <v>54</v>
      </c>
      <c r="BA68" t="s">
        <v>583</v>
      </c>
      <c r="BK68" t="s">
        <v>54</v>
      </c>
    </row>
    <row r="69" spans="1:63" hidden="1" x14ac:dyDescent="0.3">
      <c r="A69" t="s">
        <v>828</v>
      </c>
      <c r="B69" t="s">
        <v>98</v>
      </c>
      <c r="C69">
        <v>70846</v>
      </c>
      <c r="D69">
        <v>0</v>
      </c>
      <c r="E69" t="s">
        <v>63</v>
      </c>
      <c r="F69">
        <v>102</v>
      </c>
      <c r="G69" t="s">
        <v>59</v>
      </c>
      <c r="H69">
        <v>5</v>
      </c>
      <c r="J69">
        <v>102</v>
      </c>
      <c r="K69" t="s">
        <v>52</v>
      </c>
      <c r="L69">
        <v>105</v>
      </c>
      <c r="M69" t="s">
        <v>903</v>
      </c>
      <c r="N69" t="s">
        <v>323</v>
      </c>
      <c r="O69" t="s">
        <v>323</v>
      </c>
      <c r="P69" t="s">
        <v>1069</v>
      </c>
      <c r="Q69">
        <v>-84.73892103</v>
      </c>
      <c r="R69">
        <v>45.78160244</v>
      </c>
      <c r="X69">
        <v>46.68</v>
      </c>
      <c r="Y69">
        <v>23.34</v>
      </c>
      <c r="Z69">
        <v>30.98</v>
      </c>
      <c r="AA69">
        <v>62.38</v>
      </c>
      <c r="AB69">
        <v>73.05</v>
      </c>
      <c r="AC69">
        <v>36.524999999999999</v>
      </c>
      <c r="AD69">
        <v>43.11</v>
      </c>
      <c r="AE69">
        <v>102.99</v>
      </c>
      <c r="AF69">
        <v>120.85</v>
      </c>
      <c r="AG69">
        <v>60.424999999999997</v>
      </c>
      <c r="AH69">
        <v>104.05</v>
      </c>
      <c r="AI69">
        <v>137.65</v>
      </c>
      <c r="AJ69">
        <v>94.75</v>
      </c>
      <c r="AK69">
        <v>47.375</v>
      </c>
      <c r="AL69">
        <v>65.59</v>
      </c>
      <c r="AM69">
        <v>123.9</v>
      </c>
      <c r="AO69" s="1"/>
      <c r="AP69" s="1"/>
      <c r="AQ69" t="s">
        <v>215</v>
      </c>
      <c r="AR69" t="s">
        <v>215</v>
      </c>
      <c r="AT69">
        <v>0.26078193456313098</v>
      </c>
      <c r="AU69" t="s">
        <v>1070</v>
      </c>
      <c r="AV69">
        <v>7.34</v>
      </c>
      <c r="AW69">
        <v>0.51680629886686802</v>
      </c>
      <c r="AX69">
        <v>0</v>
      </c>
      <c r="AY69" t="s">
        <v>56</v>
      </c>
      <c r="AZ69" t="s">
        <v>54</v>
      </c>
      <c r="BA69" t="s">
        <v>583</v>
      </c>
      <c r="BK69" t="s">
        <v>54</v>
      </c>
    </row>
    <row r="70" spans="1:63" hidden="1" x14ac:dyDescent="0.3">
      <c r="A70" t="s">
        <v>788</v>
      </c>
      <c r="B70" t="s">
        <v>98</v>
      </c>
      <c r="C70">
        <v>99047</v>
      </c>
      <c r="D70">
        <v>7</v>
      </c>
      <c r="E70" t="s">
        <v>62</v>
      </c>
      <c r="F70">
        <v>102</v>
      </c>
      <c r="G70" t="s">
        <v>53</v>
      </c>
      <c r="H70">
        <v>6</v>
      </c>
      <c r="J70">
        <v>102</v>
      </c>
      <c r="K70" t="s">
        <v>52</v>
      </c>
      <c r="L70">
        <v>190</v>
      </c>
      <c r="M70" t="s">
        <v>889</v>
      </c>
      <c r="N70" t="s">
        <v>302</v>
      </c>
      <c r="O70" t="s">
        <v>302</v>
      </c>
      <c r="P70" t="s">
        <v>1071</v>
      </c>
      <c r="Q70">
        <v>-84.478099999999998</v>
      </c>
      <c r="R70">
        <v>45.628607000000002</v>
      </c>
      <c r="X70">
        <v>21.19</v>
      </c>
      <c r="Y70">
        <v>21.19</v>
      </c>
      <c r="Z70">
        <v>19.420000000000002</v>
      </c>
      <c r="AA70">
        <v>22.96</v>
      </c>
      <c r="AB70">
        <v>22.75</v>
      </c>
      <c r="AC70">
        <v>22.75</v>
      </c>
      <c r="AD70">
        <v>20.85</v>
      </c>
      <c r="AE70">
        <v>24.64</v>
      </c>
      <c r="AF70">
        <v>24.62</v>
      </c>
      <c r="AG70">
        <v>24.62</v>
      </c>
      <c r="AH70">
        <v>22.57</v>
      </c>
      <c r="AI70">
        <v>26.68</v>
      </c>
      <c r="AJ70">
        <v>34.61</v>
      </c>
      <c r="AK70">
        <v>34.61</v>
      </c>
      <c r="AL70">
        <v>28.12</v>
      </c>
      <c r="AM70">
        <v>41.09</v>
      </c>
      <c r="AO70" s="1"/>
      <c r="AP70" s="1"/>
      <c r="AQ70" t="s">
        <v>215</v>
      </c>
      <c r="AR70" t="s">
        <v>215</v>
      </c>
      <c r="AT70">
        <v>0.11689803201762899</v>
      </c>
      <c r="AU70" t="s">
        <v>1072</v>
      </c>
      <c r="AV70">
        <v>12.97</v>
      </c>
      <c r="AW70">
        <v>0.79459282383322705</v>
      </c>
      <c r="AX70">
        <v>0</v>
      </c>
      <c r="AY70" t="s">
        <v>56</v>
      </c>
      <c r="AZ70" t="s">
        <v>54</v>
      </c>
      <c r="BA70" t="s">
        <v>583</v>
      </c>
      <c r="BK70" t="s">
        <v>54</v>
      </c>
    </row>
    <row r="71" spans="1:63" hidden="1" x14ac:dyDescent="0.3">
      <c r="A71" t="s">
        <v>732</v>
      </c>
      <c r="B71" t="s">
        <v>98</v>
      </c>
      <c r="C71">
        <v>99061</v>
      </c>
      <c r="D71">
        <v>106</v>
      </c>
      <c r="E71" t="s">
        <v>63</v>
      </c>
      <c r="F71">
        <v>102</v>
      </c>
      <c r="G71" t="s">
        <v>53</v>
      </c>
      <c r="H71">
        <v>9</v>
      </c>
      <c r="J71">
        <v>102</v>
      </c>
      <c r="K71" t="s">
        <v>52</v>
      </c>
      <c r="L71">
        <v>20</v>
      </c>
      <c r="M71" t="s">
        <v>733</v>
      </c>
      <c r="N71" t="s">
        <v>300</v>
      </c>
      <c r="O71" t="s">
        <v>300</v>
      </c>
      <c r="P71" t="s">
        <v>1073</v>
      </c>
      <c r="Q71">
        <v>-84.482382000000001</v>
      </c>
      <c r="R71">
        <v>45.628340999999999</v>
      </c>
      <c r="S71">
        <v>41</v>
      </c>
      <c r="T71">
        <v>3</v>
      </c>
      <c r="U71" t="s">
        <v>389</v>
      </c>
      <c r="V71">
        <v>6</v>
      </c>
      <c r="W71">
        <v>0.80645161290322576</v>
      </c>
      <c r="X71">
        <v>81.59</v>
      </c>
      <c r="Y71">
        <v>20.397500000000001</v>
      </c>
      <c r="Z71">
        <v>76.36</v>
      </c>
      <c r="AA71">
        <v>86.83</v>
      </c>
      <c r="AB71">
        <v>74.27</v>
      </c>
      <c r="AC71">
        <v>18.567499999999999</v>
      </c>
      <c r="AD71">
        <v>62.11</v>
      </c>
      <c r="AE71">
        <v>86.42</v>
      </c>
      <c r="AF71">
        <v>80.14</v>
      </c>
      <c r="AG71">
        <v>20.035</v>
      </c>
      <c r="AH71">
        <v>66.849999999999994</v>
      </c>
      <c r="AI71">
        <v>93.44</v>
      </c>
      <c r="AJ71">
        <v>78.930000000000007</v>
      </c>
      <c r="AK71">
        <v>19.732500000000002</v>
      </c>
      <c r="AL71">
        <v>70.489999999999995</v>
      </c>
      <c r="AM71">
        <v>87.36</v>
      </c>
      <c r="AO71" s="1"/>
      <c r="AP71" s="1"/>
      <c r="AQ71" t="s">
        <v>215</v>
      </c>
      <c r="AR71" t="s">
        <v>215</v>
      </c>
      <c r="AT71">
        <v>0.19626037362068999</v>
      </c>
      <c r="AU71" t="s">
        <v>1074</v>
      </c>
      <c r="AV71">
        <v>20.23</v>
      </c>
      <c r="AW71">
        <v>1.18460331298411</v>
      </c>
      <c r="AX71">
        <v>0</v>
      </c>
      <c r="AY71" t="s">
        <v>56</v>
      </c>
      <c r="AZ71" t="s">
        <v>54</v>
      </c>
      <c r="BA71" t="s">
        <v>583</v>
      </c>
      <c r="BC71">
        <v>41</v>
      </c>
      <c r="BD71" t="s">
        <v>212</v>
      </c>
      <c r="BE71" t="s">
        <v>299</v>
      </c>
      <c r="BK71" t="s">
        <v>54</v>
      </c>
    </row>
    <row r="72" spans="1:63" hidden="1" x14ac:dyDescent="0.3">
      <c r="A72" t="s">
        <v>789</v>
      </c>
      <c r="B72" t="s">
        <v>98</v>
      </c>
      <c r="C72">
        <v>99178</v>
      </c>
      <c r="D72">
        <v>1</v>
      </c>
      <c r="E72" t="s">
        <v>62</v>
      </c>
      <c r="F72">
        <v>102</v>
      </c>
      <c r="G72" t="s">
        <v>53</v>
      </c>
      <c r="H72">
        <v>9</v>
      </c>
      <c r="J72">
        <v>102</v>
      </c>
      <c r="K72" t="s">
        <v>52</v>
      </c>
      <c r="L72">
        <v>25</v>
      </c>
      <c r="M72" t="s">
        <v>885</v>
      </c>
      <c r="N72" t="s">
        <v>323</v>
      </c>
      <c r="O72" t="s">
        <v>323</v>
      </c>
      <c r="P72" t="s">
        <v>1075</v>
      </c>
      <c r="Q72">
        <v>-84.479024999999993</v>
      </c>
      <c r="R72">
        <v>45.630277</v>
      </c>
      <c r="X72">
        <v>27.67</v>
      </c>
      <c r="Y72">
        <v>13.835000000000001</v>
      </c>
      <c r="Z72">
        <v>25.37</v>
      </c>
      <c r="AA72">
        <v>29.98</v>
      </c>
      <c r="AB72">
        <v>27.14</v>
      </c>
      <c r="AC72">
        <v>13.57</v>
      </c>
      <c r="AD72">
        <v>24.88</v>
      </c>
      <c r="AE72">
        <v>29.41</v>
      </c>
      <c r="AF72">
        <v>31.12</v>
      </c>
      <c r="AG72">
        <v>15.56</v>
      </c>
      <c r="AH72">
        <v>28.9</v>
      </c>
      <c r="AI72">
        <v>33.35</v>
      </c>
      <c r="AJ72">
        <v>26.68</v>
      </c>
      <c r="AK72">
        <v>13.34</v>
      </c>
      <c r="AL72">
        <v>24.45</v>
      </c>
      <c r="AM72">
        <v>28.9</v>
      </c>
      <c r="AO72" s="1"/>
      <c r="AP72" s="1"/>
      <c r="AQ72" t="s">
        <v>215</v>
      </c>
      <c r="AR72" t="s">
        <v>215</v>
      </c>
      <c r="AT72">
        <v>2.4654925455165002</v>
      </c>
      <c r="AU72" t="s">
        <v>1076</v>
      </c>
      <c r="AV72">
        <v>4.79</v>
      </c>
      <c r="AW72">
        <v>4.6160303223878101</v>
      </c>
      <c r="AX72">
        <v>0</v>
      </c>
      <c r="AY72" t="s">
        <v>56</v>
      </c>
      <c r="AZ72" t="s">
        <v>54</v>
      </c>
      <c r="BA72" t="s">
        <v>583</v>
      </c>
      <c r="BK72" t="s">
        <v>54</v>
      </c>
    </row>
    <row r="73" spans="1:63" hidden="1" x14ac:dyDescent="0.3">
      <c r="A73" t="s">
        <v>790</v>
      </c>
      <c r="B73" t="s">
        <v>98</v>
      </c>
      <c r="C73">
        <v>70876</v>
      </c>
      <c r="D73">
        <v>0</v>
      </c>
      <c r="E73" t="s">
        <v>62</v>
      </c>
      <c r="F73">
        <v>102</v>
      </c>
      <c r="G73" t="s">
        <v>53</v>
      </c>
      <c r="H73">
        <v>2</v>
      </c>
      <c r="J73">
        <v>102</v>
      </c>
      <c r="K73" t="s">
        <v>52</v>
      </c>
      <c r="L73">
        <v>5</v>
      </c>
      <c r="M73" t="s">
        <v>886</v>
      </c>
      <c r="N73" t="s">
        <v>302</v>
      </c>
      <c r="O73" t="s">
        <v>302</v>
      </c>
      <c r="P73" t="s">
        <v>1077</v>
      </c>
      <c r="Q73">
        <v>-84.463406000000006</v>
      </c>
      <c r="R73">
        <v>45.641244999999998</v>
      </c>
      <c r="X73">
        <v>14.86</v>
      </c>
      <c r="Y73">
        <v>14.86</v>
      </c>
      <c r="Z73">
        <v>13.62</v>
      </c>
      <c r="AA73">
        <v>16.09</v>
      </c>
      <c r="AB73">
        <v>14.96</v>
      </c>
      <c r="AC73">
        <v>14.96</v>
      </c>
      <c r="AD73">
        <v>13.71</v>
      </c>
      <c r="AE73">
        <v>16.21</v>
      </c>
      <c r="AF73">
        <v>14.96</v>
      </c>
      <c r="AG73">
        <v>14.96</v>
      </c>
      <c r="AH73">
        <v>13.71</v>
      </c>
      <c r="AI73">
        <v>16.21</v>
      </c>
      <c r="AJ73">
        <v>14.96</v>
      </c>
      <c r="AK73">
        <v>14.96</v>
      </c>
      <c r="AL73">
        <v>13.71</v>
      </c>
      <c r="AM73">
        <v>16.21</v>
      </c>
      <c r="AO73" s="1"/>
      <c r="AP73" s="1"/>
      <c r="AQ73" t="s">
        <v>215</v>
      </c>
      <c r="AR73" t="s">
        <v>215</v>
      </c>
      <c r="AT73">
        <v>24.684089725880099</v>
      </c>
      <c r="AU73" t="s">
        <v>1078</v>
      </c>
      <c r="AV73">
        <v>2.2799999999999998</v>
      </c>
      <c r="AW73">
        <v>23.596513131633401</v>
      </c>
      <c r="AX73">
        <v>0</v>
      </c>
      <c r="AY73" t="s">
        <v>56</v>
      </c>
      <c r="AZ73" t="s">
        <v>54</v>
      </c>
      <c r="BA73" t="s">
        <v>583</v>
      </c>
      <c r="BK73" t="s">
        <v>54</v>
      </c>
    </row>
    <row r="74" spans="1:63" hidden="1" x14ac:dyDescent="0.3">
      <c r="A74" t="s">
        <v>791</v>
      </c>
      <c r="B74" t="s">
        <v>98</v>
      </c>
      <c r="C74">
        <v>70883</v>
      </c>
      <c r="D74">
        <v>0</v>
      </c>
      <c r="E74" t="s">
        <v>62</v>
      </c>
      <c r="F74">
        <v>102</v>
      </c>
      <c r="G74" t="s">
        <v>53</v>
      </c>
      <c r="H74">
        <v>11</v>
      </c>
      <c r="J74">
        <v>102</v>
      </c>
      <c r="K74" t="s">
        <v>52</v>
      </c>
      <c r="L74">
        <v>160</v>
      </c>
      <c r="M74" t="s">
        <v>887</v>
      </c>
      <c r="N74" t="s">
        <v>323</v>
      </c>
      <c r="O74" t="s">
        <v>323</v>
      </c>
      <c r="P74" t="s">
        <v>1079</v>
      </c>
      <c r="Q74">
        <v>-84.477711999999997</v>
      </c>
      <c r="R74">
        <v>45.643870999999997</v>
      </c>
      <c r="X74">
        <v>23.55</v>
      </c>
      <c r="Y74">
        <v>11.775</v>
      </c>
      <c r="Z74">
        <v>8.83</v>
      </c>
      <c r="AA74">
        <v>38.26</v>
      </c>
      <c r="AB74">
        <v>33.72</v>
      </c>
      <c r="AC74">
        <v>16.86</v>
      </c>
      <c r="AD74">
        <v>30.91</v>
      </c>
      <c r="AE74">
        <v>36.53</v>
      </c>
      <c r="AF74">
        <v>39.340000000000003</v>
      </c>
      <c r="AG74">
        <v>19.670000000000002</v>
      </c>
      <c r="AH74">
        <v>36.53</v>
      </c>
      <c r="AI74">
        <v>42.15</v>
      </c>
      <c r="AJ74">
        <v>33.81</v>
      </c>
      <c r="AK74">
        <v>16.905000000000001</v>
      </c>
      <c r="AL74">
        <v>30.99</v>
      </c>
      <c r="AM74">
        <v>36.630000000000003</v>
      </c>
      <c r="AO74" s="1"/>
      <c r="AP74" s="1"/>
      <c r="AQ74" t="s">
        <v>215</v>
      </c>
      <c r="AR74" t="s">
        <v>215</v>
      </c>
      <c r="AT74">
        <v>0.99704312884082102</v>
      </c>
      <c r="AU74" t="s">
        <v>1080</v>
      </c>
      <c r="AV74">
        <v>7.03</v>
      </c>
      <c r="AW74">
        <v>2.3908752426505102</v>
      </c>
      <c r="AX74">
        <v>0</v>
      </c>
      <c r="AY74" t="s">
        <v>56</v>
      </c>
      <c r="AZ74" t="s">
        <v>54</v>
      </c>
      <c r="BA74" t="s">
        <v>583</v>
      </c>
      <c r="BK74" t="s">
        <v>54</v>
      </c>
    </row>
    <row r="75" spans="1:63" hidden="1" x14ac:dyDescent="0.3">
      <c r="A75" t="s">
        <v>792</v>
      </c>
      <c r="B75" t="s">
        <v>98</v>
      </c>
      <c r="C75">
        <v>99120</v>
      </c>
      <c r="D75">
        <v>3</v>
      </c>
      <c r="E75" t="s">
        <v>63</v>
      </c>
      <c r="F75">
        <v>102</v>
      </c>
      <c r="G75" t="s">
        <v>53</v>
      </c>
      <c r="H75">
        <v>4</v>
      </c>
      <c r="J75">
        <v>102</v>
      </c>
      <c r="K75" t="s">
        <v>52</v>
      </c>
      <c r="L75">
        <v>165</v>
      </c>
      <c r="M75" t="s">
        <v>888</v>
      </c>
      <c r="N75" t="s">
        <v>302</v>
      </c>
      <c r="O75" t="s">
        <v>302</v>
      </c>
      <c r="P75" t="s">
        <v>1081</v>
      </c>
      <c r="Q75">
        <v>-84.481110999999999</v>
      </c>
      <c r="R75">
        <v>45.639918000000002</v>
      </c>
      <c r="X75">
        <v>23.33</v>
      </c>
      <c r="Y75">
        <v>23.33</v>
      </c>
      <c r="Z75">
        <v>21.39</v>
      </c>
      <c r="AA75">
        <v>25.28</v>
      </c>
      <c r="AB75">
        <v>20.350000000000001</v>
      </c>
      <c r="AC75">
        <v>20.350000000000001</v>
      </c>
      <c r="AD75">
        <v>18.649999999999999</v>
      </c>
      <c r="AE75">
        <v>22.04</v>
      </c>
      <c r="AF75">
        <v>19.18</v>
      </c>
      <c r="AG75">
        <v>19.18</v>
      </c>
      <c r="AH75">
        <v>17.579999999999998</v>
      </c>
      <c r="AI75">
        <v>20.78</v>
      </c>
      <c r="AJ75">
        <v>26.97</v>
      </c>
      <c r="AK75">
        <v>26.97</v>
      </c>
      <c r="AL75">
        <v>21.91</v>
      </c>
      <c r="AM75">
        <v>32.03</v>
      </c>
      <c r="AO75" s="1"/>
      <c r="AP75" s="1"/>
      <c r="AQ75" t="s">
        <v>215</v>
      </c>
      <c r="AR75" t="s">
        <v>215</v>
      </c>
      <c r="AT75">
        <v>0.494973679864117</v>
      </c>
      <c r="AU75" t="s">
        <v>1082</v>
      </c>
      <c r="AV75">
        <v>11.88</v>
      </c>
      <c r="AW75">
        <v>1.3213806133717301</v>
      </c>
      <c r="AX75">
        <v>0</v>
      </c>
      <c r="AY75" t="s">
        <v>56</v>
      </c>
      <c r="AZ75" t="s">
        <v>54</v>
      </c>
      <c r="BA75" t="s">
        <v>583</v>
      </c>
      <c r="BK75" t="s">
        <v>54</v>
      </c>
    </row>
    <row r="76" spans="1:63" hidden="1" x14ac:dyDescent="0.3">
      <c r="A76" t="s">
        <v>914</v>
      </c>
      <c r="B76" t="s">
        <v>98</v>
      </c>
      <c r="C76">
        <v>73404</v>
      </c>
      <c r="D76">
        <v>3</v>
      </c>
      <c r="E76" t="s">
        <v>63</v>
      </c>
      <c r="F76">
        <v>102</v>
      </c>
      <c r="G76" t="s">
        <v>52</v>
      </c>
      <c r="H76">
        <v>7</v>
      </c>
      <c r="J76">
        <v>102</v>
      </c>
      <c r="K76" t="s">
        <v>60</v>
      </c>
      <c r="L76">
        <v>90</v>
      </c>
      <c r="M76" t="s">
        <v>915</v>
      </c>
      <c r="N76" t="s">
        <v>303</v>
      </c>
      <c r="O76" t="s">
        <v>303</v>
      </c>
      <c r="P76" t="s">
        <v>1083</v>
      </c>
      <c r="Q76">
        <v>-84.22842</v>
      </c>
      <c r="R76">
        <v>45.349038</v>
      </c>
      <c r="X76">
        <v>41.72</v>
      </c>
      <c r="Y76">
        <v>20.86</v>
      </c>
      <c r="Z76">
        <v>31.69</v>
      </c>
      <c r="AA76">
        <v>51.74</v>
      </c>
      <c r="AB76">
        <v>53.42</v>
      </c>
      <c r="AC76">
        <v>26.71</v>
      </c>
      <c r="AD76">
        <v>49.6</v>
      </c>
      <c r="AE76">
        <v>57.23</v>
      </c>
      <c r="AF76">
        <v>46.71</v>
      </c>
      <c r="AG76">
        <v>23.355</v>
      </c>
      <c r="AH76">
        <v>42.82</v>
      </c>
      <c r="AI76">
        <v>50.6</v>
      </c>
      <c r="AJ76">
        <v>56.27</v>
      </c>
      <c r="AK76">
        <v>28.135000000000002</v>
      </c>
      <c r="AL76">
        <v>52.25</v>
      </c>
      <c r="AM76">
        <v>60.29</v>
      </c>
      <c r="AO76" s="1"/>
      <c r="AP76" s="1"/>
      <c r="AQ76" t="s">
        <v>215</v>
      </c>
      <c r="AR76" t="s">
        <v>215</v>
      </c>
      <c r="AT76">
        <v>1.02986713485435</v>
      </c>
      <c r="AU76" t="s">
        <v>1084</v>
      </c>
      <c r="AV76">
        <v>4.28</v>
      </c>
      <c r="AW76">
        <v>3.6475911177694802</v>
      </c>
      <c r="AX76">
        <v>0</v>
      </c>
      <c r="AY76" t="s">
        <v>56</v>
      </c>
      <c r="AZ76" t="s">
        <v>54</v>
      </c>
      <c r="BA76" t="s">
        <v>583</v>
      </c>
      <c r="BK76" t="s">
        <v>54</v>
      </c>
    </row>
    <row r="77" spans="1:63" hidden="1" x14ac:dyDescent="0.3">
      <c r="A77" t="s">
        <v>640</v>
      </c>
      <c r="B77" t="s">
        <v>98</v>
      </c>
      <c r="C77">
        <v>71128</v>
      </c>
      <c r="D77">
        <v>0</v>
      </c>
      <c r="E77" t="s">
        <v>62</v>
      </c>
      <c r="F77">
        <v>102</v>
      </c>
      <c r="G77" t="s">
        <v>52</v>
      </c>
      <c r="H77">
        <v>6</v>
      </c>
      <c r="J77">
        <v>102</v>
      </c>
      <c r="K77" t="s">
        <v>60</v>
      </c>
      <c r="L77">
        <v>15</v>
      </c>
      <c r="M77" t="s">
        <v>642</v>
      </c>
      <c r="N77" t="s">
        <v>300</v>
      </c>
      <c r="O77" t="s">
        <v>300</v>
      </c>
      <c r="P77" t="s">
        <v>1085</v>
      </c>
      <c r="Q77">
        <v>-84.230514999999997</v>
      </c>
      <c r="R77">
        <v>45.356856000000001</v>
      </c>
      <c r="S77">
        <v>78</v>
      </c>
      <c r="T77">
        <v>4</v>
      </c>
      <c r="U77" t="s">
        <v>581</v>
      </c>
      <c r="V77">
        <v>30</v>
      </c>
      <c r="W77">
        <v>0.64102564102564108</v>
      </c>
      <c r="X77">
        <v>139.49</v>
      </c>
      <c r="Y77">
        <v>34.872500000000002</v>
      </c>
      <c r="Z77">
        <v>118.48</v>
      </c>
      <c r="AA77">
        <v>160.5</v>
      </c>
      <c r="AB77">
        <v>129.41999999999999</v>
      </c>
      <c r="AC77">
        <v>32.354999999999997</v>
      </c>
      <c r="AD77">
        <v>123.13</v>
      </c>
      <c r="AE77">
        <v>135.72</v>
      </c>
      <c r="AF77">
        <v>131.01</v>
      </c>
      <c r="AG77">
        <v>32.752499999999998</v>
      </c>
      <c r="AH77">
        <v>130.86000000000001</v>
      </c>
      <c r="AI77">
        <v>131.15</v>
      </c>
      <c r="AJ77">
        <v>131.1</v>
      </c>
      <c r="AK77">
        <v>32.774999999999999</v>
      </c>
      <c r="AL77">
        <v>131.1</v>
      </c>
      <c r="AM77">
        <v>131.1</v>
      </c>
      <c r="AO77" s="1"/>
      <c r="AP77" s="1"/>
      <c r="AQ77" t="s">
        <v>215</v>
      </c>
      <c r="AR77" t="s">
        <v>215</v>
      </c>
      <c r="AT77">
        <v>0.26422717332337903</v>
      </c>
      <c r="AU77" t="s">
        <v>1086</v>
      </c>
      <c r="AV77">
        <v>4.1399999999999997</v>
      </c>
      <c r="AW77">
        <v>0.55789609812200103</v>
      </c>
      <c r="AX77">
        <v>0</v>
      </c>
      <c r="AY77" t="s">
        <v>56</v>
      </c>
      <c r="AZ77" t="s">
        <v>54</v>
      </c>
      <c r="BA77" t="s">
        <v>583</v>
      </c>
      <c r="BC77">
        <v>78</v>
      </c>
      <c r="BD77" t="s">
        <v>432</v>
      </c>
      <c r="BE77" t="s">
        <v>298</v>
      </c>
      <c r="BJ77" t="s">
        <v>54</v>
      </c>
      <c r="BK77" t="s">
        <v>54</v>
      </c>
    </row>
    <row r="78" spans="1:63" hidden="1" x14ac:dyDescent="0.3">
      <c r="A78" t="s">
        <v>802</v>
      </c>
      <c r="B78" t="s">
        <v>98</v>
      </c>
      <c r="C78">
        <v>71131</v>
      </c>
      <c r="D78">
        <v>0</v>
      </c>
      <c r="E78" t="s">
        <v>63</v>
      </c>
      <c r="F78">
        <v>102</v>
      </c>
      <c r="G78" t="s">
        <v>52</v>
      </c>
      <c r="H78">
        <v>3</v>
      </c>
      <c r="J78">
        <v>102</v>
      </c>
      <c r="K78" t="s">
        <v>58</v>
      </c>
      <c r="L78">
        <v>10</v>
      </c>
      <c r="M78" t="s">
        <v>860</v>
      </c>
      <c r="N78" t="s">
        <v>302</v>
      </c>
      <c r="O78" t="s">
        <v>302</v>
      </c>
      <c r="P78" t="s">
        <v>1087</v>
      </c>
      <c r="Q78">
        <v>-84.061337699999996</v>
      </c>
      <c r="R78">
        <v>45.366102699999999</v>
      </c>
      <c r="X78">
        <v>13.96</v>
      </c>
      <c r="Y78">
        <v>13.96</v>
      </c>
      <c r="Z78">
        <v>12.8</v>
      </c>
      <c r="AA78">
        <v>15.13</v>
      </c>
      <c r="AB78">
        <v>14.04</v>
      </c>
      <c r="AC78">
        <v>14.04</v>
      </c>
      <c r="AD78">
        <v>12.87</v>
      </c>
      <c r="AE78">
        <v>15.22</v>
      </c>
      <c r="AF78">
        <v>18.73</v>
      </c>
      <c r="AG78">
        <v>18.73</v>
      </c>
      <c r="AH78">
        <v>15.22</v>
      </c>
      <c r="AI78">
        <v>22.24</v>
      </c>
      <c r="AJ78">
        <v>14.48</v>
      </c>
      <c r="AK78">
        <v>14.48</v>
      </c>
      <c r="AL78">
        <v>13.27</v>
      </c>
      <c r="AM78">
        <v>15.68</v>
      </c>
      <c r="AO78" s="1"/>
      <c r="AP78" s="1"/>
      <c r="AQ78" t="s">
        <v>215</v>
      </c>
      <c r="AR78" t="s">
        <v>215</v>
      </c>
      <c r="AT78">
        <v>2.9317919232324701</v>
      </c>
      <c r="AU78" t="s">
        <v>1088</v>
      </c>
      <c r="AV78">
        <v>3.53</v>
      </c>
      <c r="AW78">
        <v>4.1269494295120204</v>
      </c>
      <c r="AX78">
        <v>0</v>
      </c>
      <c r="AY78" t="s">
        <v>56</v>
      </c>
      <c r="AZ78" t="s">
        <v>54</v>
      </c>
      <c r="BA78" t="s">
        <v>583</v>
      </c>
      <c r="BK78" t="s">
        <v>54</v>
      </c>
    </row>
    <row r="79" spans="1:63" hidden="1" x14ac:dyDescent="0.3">
      <c r="A79" t="s">
        <v>643</v>
      </c>
      <c r="B79" t="s">
        <v>98</v>
      </c>
      <c r="C79">
        <v>71132</v>
      </c>
      <c r="D79">
        <v>0</v>
      </c>
      <c r="E79" t="s">
        <v>62</v>
      </c>
      <c r="F79">
        <v>102</v>
      </c>
      <c r="G79" t="s">
        <v>52</v>
      </c>
      <c r="H79">
        <v>1</v>
      </c>
      <c r="J79">
        <v>102</v>
      </c>
      <c r="K79" t="s">
        <v>60</v>
      </c>
      <c r="L79">
        <v>80</v>
      </c>
      <c r="M79" t="s">
        <v>644</v>
      </c>
      <c r="N79" t="s">
        <v>300</v>
      </c>
      <c r="O79" t="s">
        <v>300</v>
      </c>
      <c r="P79" t="s">
        <v>1089</v>
      </c>
      <c r="Q79">
        <v>-84.234335000000002</v>
      </c>
      <c r="R79">
        <v>45.353160000000003</v>
      </c>
      <c r="S79">
        <v>8</v>
      </c>
      <c r="X79">
        <v>75.489999999999995</v>
      </c>
      <c r="Y79">
        <v>18.872499999999999</v>
      </c>
      <c r="Z79">
        <v>58.27</v>
      </c>
      <c r="AA79">
        <v>92.7</v>
      </c>
      <c r="AB79">
        <v>62.69</v>
      </c>
      <c r="AC79">
        <v>15.672499999999999</v>
      </c>
      <c r="AD79">
        <v>62.69</v>
      </c>
      <c r="AE79">
        <v>62.69</v>
      </c>
      <c r="AF79">
        <v>65.290000000000006</v>
      </c>
      <c r="AG79">
        <v>16.322500000000002</v>
      </c>
      <c r="AH79">
        <v>63.69</v>
      </c>
      <c r="AI79">
        <v>66.88</v>
      </c>
      <c r="AJ79">
        <v>74.489999999999995</v>
      </c>
      <c r="AK79">
        <v>18.622499999999999</v>
      </c>
      <c r="AL79">
        <v>69.540000000000006</v>
      </c>
      <c r="AM79">
        <v>79.45</v>
      </c>
      <c r="AO79" s="1"/>
      <c r="AP79" s="1"/>
      <c r="AQ79" t="s">
        <v>215</v>
      </c>
      <c r="AR79" t="s">
        <v>215</v>
      </c>
      <c r="AT79">
        <v>58.218295756147</v>
      </c>
      <c r="AU79" t="s">
        <v>1090</v>
      </c>
      <c r="AV79">
        <v>6.54</v>
      </c>
      <c r="AW79">
        <v>64.861368015408502</v>
      </c>
      <c r="AX79">
        <v>0</v>
      </c>
      <c r="AY79" t="s">
        <v>56</v>
      </c>
      <c r="AZ79" t="s">
        <v>54</v>
      </c>
      <c r="BA79" t="s">
        <v>583</v>
      </c>
      <c r="BC79">
        <v>8</v>
      </c>
      <c r="BD79" t="s">
        <v>432</v>
      </c>
      <c r="BE79" t="s">
        <v>298</v>
      </c>
      <c r="BJ79" t="s">
        <v>54</v>
      </c>
      <c r="BK79" t="s">
        <v>54</v>
      </c>
    </row>
    <row r="80" spans="1:63" hidden="1" x14ac:dyDescent="0.3">
      <c r="A80" t="s">
        <v>738</v>
      </c>
      <c r="B80" t="s">
        <v>98</v>
      </c>
      <c r="C80">
        <v>99062</v>
      </c>
      <c r="D80">
        <v>96</v>
      </c>
      <c r="E80" t="s">
        <v>62</v>
      </c>
      <c r="F80">
        <v>102</v>
      </c>
      <c r="G80" t="s">
        <v>52</v>
      </c>
      <c r="H80">
        <v>7</v>
      </c>
      <c r="J80">
        <v>102</v>
      </c>
      <c r="K80" t="s">
        <v>60</v>
      </c>
      <c r="L80">
        <v>60</v>
      </c>
      <c r="M80" t="s">
        <v>739</v>
      </c>
      <c r="N80" t="s">
        <v>300</v>
      </c>
      <c r="O80" t="s">
        <v>300</v>
      </c>
      <c r="P80" t="s">
        <v>1091</v>
      </c>
      <c r="Q80">
        <v>-84.225686999999994</v>
      </c>
      <c r="R80">
        <v>45.356912000000001</v>
      </c>
      <c r="S80">
        <v>52</v>
      </c>
      <c r="T80">
        <v>3</v>
      </c>
      <c r="U80" t="s">
        <v>307</v>
      </c>
      <c r="V80">
        <v>14</v>
      </c>
      <c r="W80">
        <v>0.70731707317073167</v>
      </c>
      <c r="X80">
        <v>100.58</v>
      </c>
      <c r="Y80">
        <v>25.145</v>
      </c>
      <c r="Z80">
        <v>84.79</v>
      </c>
      <c r="AA80">
        <v>116.37</v>
      </c>
      <c r="AB80">
        <v>104.38</v>
      </c>
      <c r="AC80">
        <v>26.094999999999999</v>
      </c>
      <c r="AD80">
        <v>79.52</v>
      </c>
      <c r="AE80">
        <v>129.24</v>
      </c>
      <c r="AF80">
        <v>88.56</v>
      </c>
      <c r="AG80">
        <v>22.14</v>
      </c>
      <c r="AH80">
        <v>87.28</v>
      </c>
      <c r="AI80">
        <v>89.83</v>
      </c>
      <c r="AJ80">
        <v>87.73</v>
      </c>
      <c r="AK80">
        <v>21.932500000000001</v>
      </c>
      <c r="AL80">
        <v>87.73</v>
      </c>
      <c r="AM80">
        <v>87.73</v>
      </c>
      <c r="AO80" s="1"/>
      <c r="AP80" s="1"/>
      <c r="AQ80" t="s">
        <v>215</v>
      </c>
      <c r="AR80" t="s">
        <v>215</v>
      </c>
      <c r="AT80">
        <v>0.256058998017752</v>
      </c>
      <c r="AU80" t="s">
        <v>1092</v>
      </c>
      <c r="AV80">
        <v>4.0199999999999996</v>
      </c>
      <c r="AW80">
        <v>1.09258650057018</v>
      </c>
      <c r="AX80">
        <v>0</v>
      </c>
      <c r="AY80" t="s">
        <v>56</v>
      </c>
      <c r="AZ80" t="s">
        <v>54</v>
      </c>
      <c r="BA80" t="s">
        <v>583</v>
      </c>
      <c r="BC80">
        <v>52</v>
      </c>
      <c r="BD80" t="s">
        <v>432</v>
      </c>
      <c r="BE80" t="s">
        <v>298</v>
      </c>
      <c r="BJ80" t="s">
        <v>54</v>
      </c>
      <c r="BK80" t="s">
        <v>54</v>
      </c>
    </row>
    <row r="81" spans="1:63" hidden="1" x14ac:dyDescent="0.3">
      <c r="A81" t="s">
        <v>803</v>
      </c>
      <c r="B81" t="s">
        <v>98</v>
      </c>
      <c r="C81">
        <v>71136</v>
      </c>
      <c r="D81">
        <v>0</v>
      </c>
      <c r="E81" t="s">
        <v>63</v>
      </c>
      <c r="F81">
        <v>102</v>
      </c>
      <c r="G81" t="s">
        <v>52</v>
      </c>
      <c r="H81">
        <v>17</v>
      </c>
      <c r="J81">
        <v>102</v>
      </c>
      <c r="K81" t="s">
        <v>60</v>
      </c>
      <c r="L81">
        <v>75</v>
      </c>
      <c r="M81" t="s">
        <v>916</v>
      </c>
      <c r="N81" t="s">
        <v>302</v>
      </c>
      <c r="O81" t="s">
        <v>302</v>
      </c>
      <c r="P81" t="s">
        <v>1093</v>
      </c>
      <c r="Q81">
        <v>-84.229326599999993</v>
      </c>
      <c r="R81">
        <v>45.358266700000001</v>
      </c>
      <c r="X81">
        <v>12.63</v>
      </c>
      <c r="Y81">
        <v>12.63</v>
      </c>
      <c r="Z81">
        <v>11.58</v>
      </c>
      <c r="AA81">
        <v>13.68</v>
      </c>
      <c r="AB81">
        <v>12.7</v>
      </c>
      <c r="AC81">
        <v>12.7</v>
      </c>
      <c r="AD81">
        <v>11.64</v>
      </c>
      <c r="AE81">
        <v>13.76</v>
      </c>
      <c r="AF81">
        <v>12.7</v>
      </c>
      <c r="AG81">
        <v>12.7</v>
      </c>
      <c r="AH81">
        <v>11.64</v>
      </c>
      <c r="AI81">
        <v>13.76</v>
      </c>
      <c r="AJ81">
        <v>16.93</v>
      </c>
      <c r="AK81">
        <v>16.93</v>
      </c>
      <c r="AL81">
        <v>13.76</v>
      </c>
      <c r="AM81">
        <v>20.100000000000001</v>
      </c>
      <c r="AO81" s="1"/>
      <c r="AP81" s="1"/>
      <c r="AQ81" t="s">
        <v>215</v>
      </c>
      <c r="AR81" t="s">
        <v>215</v>
      </c>
      <c r="AT81">
        <v>0.16103912187834199</v>
      </c>
      <c r="AU81" t="s">
        <v>1094</v>
      </c>
      <c r="AV81">
        <v>0.52</v>
      </c>
      <c r="AW81">
        <v>0.48944743350148201</v>
      </c>
      <c r="AX81">
        <v>0</v>
      </c>
      <c r="AY81" t="s">
        <v>56</v>
      </c>
      <c r="AZ81" t="s">
        <v>54</v>
      </c>
      <c r="BA81" t="s">
        <v>583</v>
      </c>
      <c r="BK81" t="s">
        <v>54</v>
      </c>
    </row>
    <row r="82" spans="1:63" hidden="1" x14ac:dyDescent="0.3">
      <c r="A82" t="s">
        <v>804</v>
      </c>
      <c r="B82" t="s">
        <v>98</v>
      </c>
      <c r="C82">
        <v>99126</v>
      </c>
      <c r="D82">
        <v>3</v>
      </c>
      <c r="E82" t="s">
        <v>62</v>
      </c>
      <c r="F82">
        <v>102</v>
      </c>
      <c r="G82" t="s">
        <v>52</v>
      </c>
      <c r="H82">
        <v>10</v>
      </c>
      <c r="J82">
        <v>102</v>
      </c>
      <c r="K82" t="s">
        <v>53</v>
      </c>
      <c r="L82">
        <v>95</v>
      </c>
      <c r="M82" t="s">
        <v>863</v>
      </c>
      <c r="N82" t="s">
        <v>323</v>
      </c>
      <c r="O82" t="s">
        <v>323</v>
      </c>
      <c r="P82" t="s">
        <v>1095</v>
      </c>
      <c r="Q82">
        <v>-83.831066000000007</v>
      </c>
      <c r="R82">
        <v>45.411786999999997</v>
      </c>
      <c r="X82">
        <v>29.13</v>
      </c>
      <c r="Y82">
        <v>14.565</v>
      </c>
      <c r="Z82">
        <v>27.05</v>
      </c>
      <c r="AA82">
        <v>31.21</v>
      </c>
      <c r="AB82">
        <v>24.64</v>
      </c>
      <c r="AC82">
        <v>12.32</v>
      </c>
      <c r="AD82">
        <v>21.59</v>
      </c>
      <c r="AE82">
        <v>27.69</v>
      </c>
      <c r="AF82">
        <v>23.32</v>
      </c>
      <c r="AG82">
        <v>11.66</v>
      </c>
      <c r="AH82">
        <v>21.65</v>
      </c>
      <c r="AI82">
        <v>24.98</v>
      </c>
      <c r="AJ82">
        <v>23.32</v>
      </c>
      <c r="AK82">
        <v>11.66</v>
      </c>
      <c r="AL82">
        <v>21.65</v>
      </c>
      <c r="AM82">
        <v>24.98</v>
      </c>
      <c r="AO82" s="1"/>
      <c r="AP82" s="1"/>
      <c r="AQ82" t="s">
        <v>215</v>
      </c>
      <c r="AR82" t="s">
        <v>215</v>
      </c>
      <c r="AT82">
        <v>21.908653107453301</v>
      </c>
      <c r="AU82" t="s">
        <v>1096</v>
      </c>
      <c r="AV82">
        <v>2.96</v>
      </c>
      <c r="AW82">
        <v>23.523628972470799</v>
      </c>
      <c r="AX82">
        <v>0</v>
      </c>
      <c r="AY82" t="s">
        <v>56</v>
      </c>
      <c r="AZ82" t="s">
        <v>54</v>
      </c>
      <c r="BA82" t="s">
        <v>583</v>
      </c>
      <c r="BK82" t="s">
        <v>54</v>
      </c>
    </row>
    <row r="83" spans="1:63" hidden="1" x14ac:dyDescent="0.3">
      <c r="A83" t="s">
        <v>865</v>
      </c>
      <c r="B83" t="s">
        <v>98</v>
      </c>
      <c r="C83">
        <v>73404</v>
      </c>
      <c r="D83">
        <v>2</v>
      </c>
      <c r="E83" t="s">
        <v>64</v>
      </c>
      <c r="F83">
        <v>102</v>
      </c>
      <c r="G83" t="s">
        <v>52</v>
      </c>
      <c r="H83">
        <v>14</v>
      </c>
      <c r="J83">
        <v>102</v>
      </c>
      <c r="K83" t="s">
        <v>53</v>
      </c>
      <c r="L83">
        <v>110</v>
      </c>
      <c r="M83" t="s">
        <v>866</v>
      </c>
      <c r="N83" t="s">
        <v>303</v>
      </c>
      <c r="O83" t="s">
        <v>303</v>
      </c>
      <c r="P83" t="s">
        <v>1097</v>
      </c>
      <c r="Q83">
        <v>-83.826890000000006</v>
      </c>
      <c r="R83">
        <v>45.411073000000002</v>
      </c>
      <c r="X83">
        <v>53.69</v>
      </c>
      <c r="Y83">
        <v>26.844999999999999</v>
      </c>
      <c r="Z83">
        <v>36.840000000000003</v>
      </c>
      <c r="AA83">
        <v>70.55</v>
      </c>
      <c r="AB83">
        <v>53.26</v>
      </c>
      <c r="AC83">
        <v>26.63</v>
      </c>
      <c r="AD83">
        <v>34.17</v>
      </c>
      <c r="AE83">
        <v>72.34</v>
      </c>
      <c r="AF83">
        <v>40.380000000000003</v>
      </c>
      <c r="AG83">
        <v>20.190000000000001</v>
      </c>
      <c r="AH83">
        <v>26.36</v>
      </c>
      <c r="AI83">
        <v>54.4</v>
      </c>
      <c r="AJ83">
        <v>25.15</v>
      </c>
      <c r="AK83">
        <v>12.574999999999999</v>
      </c>
      <c r="AL83">
        <v>23.36</v>
      </c>
      <c r="AM83">
        <v>26.95</v>
      </c>
      <c r="AO83" s="1"/>
      <c r="AP83" s="1"/>
      <c r="AQ83" t="s">
        <v>215</v>
      </c>
      <c r="AR83" t="s">
        <v>215</v>
      </c>
      <c r="AT83">
        <v>0.13951906704141201</v>
      </c>
      <c r="AU83" t="s">
        <v>1098</v>
      </c>
      <c r="AV83">
        <v>10.6</v>
      </c>
      <c r="AW83">
        <v>0.41844411753117999</v>
      </c>
      <c r="AX83">
        <v>0</v>
      </c>
      <c r="AY83" t="s">
        <v>56</v>
      </c>
      <c r="AZ83" t="s">
        <v>54</v>
      </c>
      <c r="BA83" t="s">
        <v>583</v>
      </c>
      <c r="BK83" t="s">
        <v>54</v>
      </c>
    </row>
    <row r="84" spans="1:63" hidden="1" x14ac:dyDescent="0.3">
      <c r="A84" t="s">
        <v>645</v>
      </c>
      <c r="B84" t="s">
        <v>98</v>
      </c>
      <c r="C84">
        <v>71145</v>
      </c>
      <c r="D84">
        <v>0</v>
      </c>
      <c r="E84" t="s">
        <v>62</v>
      </c>
      <c r="F84">
        <v>102</v>
      </c>
      <c r="G84" t="s">
        <v>53</v>
      </c>
      <c r="H84">
        <v>30</v>
      </c>
      <c r="J84">
        <v>102</v>
      </c>
      <c r="K84" t="s">
        <v>52</v>
      </c>
      <c r="L84">
        <v>205</v>
      </c>
      <c r="M84" t="s">
        <v>646</v>
      </c>
      <c r="N84" t="s">
        <v>300</v>
      </c>
      <c r="O84" t="s">
        <v>300</v>
      </c>
      <c r="P84" t="s">
        <v>1099</v>
      </c>
      <c r="Q84">
        <v>-83.888644999999997</v>
      </c>
      <c r="R84">
        <v>45.467345000000002</v>
      </c>
      <c r="S84">
        <v>44</v>
      </c>
      <c r="T84">
        <v>2</v>
      </c>
      <c r="U84" t="s">
        <v>310</v>
      </c>
      <c r="V84">
        <v>21</v>
      </c>
      <c r="W84">
        <v>0.54545454545454541</v>
      </c>
      <c r="X84">
        <v>87.05</v>
      </c>
      <c r="Y84">
        <v>21.762499999999999</v>
      </c>
      <c r="Z84">
        <v>82.08</v>
      </c>
      <c r="AA84">
        <v>92.01</v>
      </c>
      <c r="AB84">
        <v>67.19</v>
      </c>
      <c r="AC84">
        <v>16.797499999999999</v>
      </c>
      <c r="AD84">
        <v>60.52</v>
      </c>
      <c r="AE84">
        <v>73.86</v>
      </c>
      <c r="AF84">
        <v>78.83</v>
      </c>
      <c r="AG84">
        <v>19.7075</v>
      </c>
      <c r="AH84">
        <v>72.150000000000006</v>
      </c>
      <c r="AI84">
        <v>85.5</v>
      </c>
      <c r="AJ84">
        <v>83.15</v>
      </c>
      <c r="AK84">
        <v>20.787500000000001</v>
      </c>
      <c r="AL84">
        <v>75.260000000000005</v>
      </c>
      <c r="AM84">
        <v>91.05</v>
      </c>
      <c r="AO84" s="1"/>
      <c r="AP84" s="1"/>
      <c r="AQ84" t="s">
        <v>215</v>
      </c>
      <c r="AR84" t="s">
        <v>215</v>
      </c>
      <c r="AT84">
        <v>35.345022493014703</v>
      </c>
      <c r="AU84" t="s">
        <v>1100</v>
      </c>
      <c r="AV84">
        <v>7.6</v>
      </c>
      <c r="AW84">
        <v>35.755703730508699</v>
      </c>
      <c r="AX84">
        <v>0</v>
      </c>
      <c r="AY84" t="s">
        <v>56</v>
      </c>
      <c r="AZ84" t="s">
        <v>54</v>
      </c>
      <c r="BA84" t="s">
        <v>583</v>
      </c>
      <c r="BC84">
        <v>44</v>
      </c>
      <c r="BD84" t="s">
        <v>212</v>
      </c>
      <c r="BE84" t="s">
        <v>299</v>
      </c>
      <c r="BK84" t="s">
        <v>54</v>
      </c>
    </row>
    <row r="85" spans="1:63" hidden="1" x14ac:dyDescent="0.3">
      <c r="A85" t="s">
        <v>617</v>
      </c>
      <c r="B85" t="s">
        <v>98</v>
      </c>
      <c r="C85">
        <v>71146</v>
      </c>
      <c r="D85">
        <v>0</v>
      </c>
      <c r="E85" t="s">
        <v>62</v>
      </c>
      <c r="F85">
        <v>102</v>
      </c>
      <c r="G85" t="s">
        <v>52</v>
      </c>
      <c r="H85">
        <v>12</v>
      </c>
      <c r="J85">
        <v>102</v>
      </c>
      <c r="K85" t="s">
        <v>53</v>
      </c>
      <c r="L85">
        <v>90</v>
      </c>
      <c r="M85" t="s">
        <v>618</v>
      </c>
      <c r="N85" t="s">
        <v>300</v>
      </c>
      <c r="O85" t="s">
        <v>300</v>
      </c>
      <c r="P85" t="s">
        <v>1101</v>
      </c>
      <c r="Q85">
        <v>-83.827957999999995</v>
      </c>
      <c r="R85">
        <v>45.413195999999999</v>
      </c>
      <c r="S85">
        <v>35</v>
      </c>
      <c r="T85">
        <v>3</v>
      </c>
      <c r="U85" t="s">
        <v>315</v>
      </c>
      <c r="V85">
        <v>1</v>
      </c>
      <c r="W85">
        <v>0.95918367346938771</v>
      </c>
      <c r="X85">
        <v>39.409999999999997</v>
      </c>
      <c r="Y85">
        <v>9.8524999999999991</v>
      </c>
      <c r="Z85">
        <v>33.58</v>
      </c>
      <c r="AA85">
        <v>45.23</v>
      </c>
      <c r="AB85">
        <v>48.3</v>
      </c>
      <c r="AC85">
        <v>12.074999999999999</v>
      </c>
      <c r="AD85">
        <v>41.27</v>
      </c>
      <c r="AE85">
        <v>55.34</v>
      </c>
      <c r="AF85">
        <v>52.34</v>
      </c>
      <c r="AG85">
        <v>13.085000000000001</v>
      </c>
      <c r="AH85">
        <v>46.34</v>
      </c>
      <c r="AI85">
        <v>58.34</v>
      </c>
      <c r="AJ85">
        <v>46.28</v>
      </c>
      <c r="AK85">
        <v>11.57</v>
      </c>
      <c r="AL85">
        <v>37.5</v>
      </c>
      <c r="AM85">
        <v>55.07</v>
      </c>
      <c r="AO85" s="1"/>
      <c r="AP85" s="1"/>
      <c r="AQ85" t="s">
        <v>215</v>
      </c>
      <c r="AR85" t="s">
        <v>215</v>
      </c>
      <c r="AT85">
        <v>8.3801353810921797E-2</v>
      </c>
      <c r="AU85" t="s">
        <v>1102</v>
      </c>
      <c r="AV85">
        <v>3.92</v>
      </c>
      <c r="AW85">
        <v>0.141094515100121</v>
      </c>
      <c r="AX85">
        <v>0</v>
      </c>
      <c r="AY85" t="s">
        <v>56</v>
      </c>
      <c r="AZ85" t="s">
        <v>54</v>
      </c>
      <c r="BA85" t="s">
        <v>583</v>
      </c>
      <c r="BC85">
        <v>35</v>
      </c>
      <c r="BD85" t="s">
        <v>434</v>
      </c>
      <c r="BE85" t="s">
        <v>303</v>
      </c>
      <c r="BF85" t="s">
        <v>60</v>
      </c>
      <c r="BI85" t="s">
        <v>54</v>
      </c>
      <c r="BK85" t="s">
        <v>54</v>
      </c>
    </row>
    <row r="86" spans="1:63" hidden="1" x14ac:dyDescent="0.3">
      <c r="A86" t="s">
        <v>805</v>
      </c>
      <c r="B86" t="s">
        <v>98</v>
      </c>
      <c r="C86">
        <v>71148</v>
      </c>
      <c r="D86">
        <v>0</v>
      </c>
      <c r="E86" t="s">
        <v>62</v>
      </c>
      <c r="F86">
        <v>102</v>
      </c>
      <c r="G86" t="s">
        <v>52</v>
      </c>
      <c r="H86">
        <v>23</v>
      </c>
      <c r="J86">
        <v>102</v>
      </c>
      <c r="K86" t="s">
        <v>53</v>
      </c>
      <c r="L86">
        <v>165</v>
      </c>
      <c r="M86" t="s">
        <v>867</v>
      </c>
      <c r="N86" t="s">
        <v>323</v>
      </c>
      <c r="O86" t="s">
        <v>323</v>
      </c>
      <c r="P86" t="s">
        <v>1103</v>
      </c>
      <c r="Q86">
        <v>-83.825186090000003</v>
      </c>
      <c r="R86">
        <v>45.425340220000002</v>
      </c>
      <c r="X86">
        <v>32.82</v>
      </c>
      <c r="Y86">
        <v>16.41</v>
      </c>
      <c r="Z86">
        <v>22.22</v>
      </c>
      <c r="AA86">
        <v>43.41</v>
      </c>
      <c r="AB86">
        <v>33.880000000000003</v>
      </c>
      <c r="AC86">
        <v>16.940000000000001</v>
      </c>
      <c r="AD86">
        <v>26.76</v>
      </c>
      <c r="AE86">
        <v>41.01</v>
      </c>
      <c r="AF86">
        <v>41.15</v>
      </c>
      <c r="AG86">
        <v>20.574999999999999</v>
      </c>
      <c r="AH86">
        <v>34.5</v>
      </c>
      <c r="AI86">
        <v>47.8</v>
      </c>
      <c r="AJ86">
        <v>32.1</v>
      </c>
      <c r="AK86">
        <v>16.05</v>
      </c>
      <c r="AL86">
        <v>22.78</v>
      </c>
      <c r="AM86">
        <v>41.42</v>
      </c>
      <c r="AO86" s="1"/>
      <c r="AP86" s="1"/>
      <c r="AQ86" t="s">
        <v>215</v>
      </c>
      <c r="AR86" t="s">
        <v>215</v>
      </c>
      <c r="AT86">
        <v>0.78227104849372797</v>
      </c>
      <c r="AU86" t="s">
        <v>1104</v>
      </c>
      <c r="AV86">
        <v>1.9</v>
      </c>
      <c r="AW86">
        <v>2.0785676985979098</v>
      </c>
      <c r="AX86">
        <v>0</v>
      </c>
      <c r="AY86" t="s">
        <v>56</v>
      </c>
      <c r="AZ86" t="s">
        <v>54</v>
      </c>
      <c r="BA86" t="s">
        <v>583</v>
      </c>
      <c r="BK86" t="s">
        <v>54</v>
      </c>
    </row>
    <row r="87" spans="1:63" hidden="1" x14ac:dyDescent="0.3">
      <c r="A87" t="s">
        <v>840</v>
      </c>
      <c r="B87" t="s">
        <v>98</v>
      </c>
      <c r="C87">
        <v>71149</v>
      </c>
      <c r="D87">
        <v>0</v>
      </c>
      <c r="E87" t="s">
        <v>63</v>
      </c>
      <c r="F87">
        <v>102</v>
      </c>
      <c r="G87" t="s">
        <v>60</v>
      </c>
      <c r="H87">
        <v>13</v>
      </c>
      <c r="J87">
        <v>102</v>
      </c>
      <c r="K87" t="s">
        <v>59</v>
      </c>
      <c r="L87">
        <v>200</v>
      </c>
      <c r="M87" t="s">
        <v>905</v>
      </c>
      <c r="N87" t="s">
        <v>298</v>
      </c>
      <c r="O87" t="s">
        <v>298</v>
      </c>
      <c r="P87" t="s">
        <v>1105</v>
      </c>
      <c r="Q87">
        <v>-83.783114999999995</v>
      </c>
      <c r="R87">
        <v>45.369473999999997</v>
      </c>
      <c r="X87">
        <v>13.7</v>
      </c>
      <c r="Y87">
        <v>13.7</v>
      </c>
      <c r="Z87">
        <v>11.14</v>
      </c>
      <c r="AA87">
        <v>16.27</v>
      </c>
      <c r="AB87">
        <v>10.57</v>
      </c>
      <c r="AC87">
        <v>10.57</v>
      </c>
      <c r="AD87">
        <v>9.69</v>
      </c>
      <c r="AE87">
        <v>11.45</v>
      </c>
      <c r="AF87">
        <v>10.98</v>
      </c>
      <c r="AG87">
        <v>10.98</v>
      </c>
      <c r="AH87">
        <v>10.06</v>
      </c>
      <c r="AI87">
        <v>11.89</v>
      </c>
      <c r="AJ87">
        <v>10.98</v>
      </c>
      <c r="AK87">
        <v>10.98</v>
      </c>
      <c r="AL87">
        <v>10.06</v>
      </c>
      <c r="AM87">
        <v>11.89</v>
      </c>
      <c r="AO87" s="1"/>
      <c r="AP87" s="1"/>
      <c r="AQ87" t="s">
        <v>215</v>
      </c>
      <c r="AR87" t="s">
        <v>215</v>
      </c>
      <c r="AT87">
        <v>9.7071852403011096</v>
      </c>
      <c r="AU87" t="s">
        <v>1106</v>
      </c>
      <c r="AV87">
        <v>1.1499999999999999</v>
      </c>
      <c r="AW87">
        <v>9.8303344920277596</v>
      </c>
      <c r="AX87">
        <v>0</v>
      </c>
      <c r="AY87" t="s">
        <v>56</v>
      </c>
      <c r="AZ87" t="s">
        <v>54</v>
      </c>
      <c r="BA87" t="s">
        <v>583</v>
      </c>
      <c r="BK87" t="s">
        <v>54</v>
      </c>
    </row>
    <row r="88" spans="1:63" hidden="1" x14ac:dyDescent="0.3">
      <c r="A88" t="s">
        <v>806</v>
      </c>
      <c r="B88" t="s">
        <v>98</v>
      </c>
      <c r="C88">
        <v>99047</v>
      </c>
      <c r="D88">
        <v>8</v>
      </c>
      <c r="E88" t="s">
        <v>62</v>
      </c>
      <c r="F88">
        <v>102</v>
      </c>
      <c r="G88" t="s">
        <v>52</v>
      </c>
      <c r="H88">
        <v>25</v>
      </c>
      <c r="J88">
        <v>102</v>
      </c>
      <c r="K88" t="s">
        <v>53</v>
      </c>
      <c r="L88">
        <v>140</v>
      </c>
      <c r="M88" t="s">
        <v>868</v>
      </c>
      <c r="N88" t="s">
        <v>302</v>
      </c>
      <c r="O88" t="s">
        <v>302</v>
      </c>
      <c r="P88" t="s">
        <v>1107</v>
      </c>
      <c r="Q88">
        <v>-83.820820999999995</v>
      </c>
      <c r="R88">
        <v>45.424323999999999</v>
      </c>
      <c r="X88">
        <v>36.18</v>
      </c>
      <c r="Y88">
        <v>36.18</v>
      </c>
      <c r="Z88">
        <v>33.17</v>
      </c>
      <c r="AA88">
        <v>39.200000000000003</v>
      </c>
      <c r="AB88">
        <v>36.74</v>
      </c>
      <c r="AC88">
        <v>36.74</v>
      </c>
      <c r="AD88">
        <v>33.68</v>
      </c>
      <c r="AE88">
        <v>39.799999999999997</v>
      </c>
      <c r="AF88">
        <v>38.29</v>
      </c>
      <c r="AG88">
        <v>38.29</v>
      </c>
      <c r="AH88">
        <v>35.1</v>
      </c>
      <c r="AI88">
        <v>41.48</v>
      </c>
      <c r="AJ88">
        <v>54.07</v>
      </c>
      <c r="AK88">
        <v>54.07</v>
      </c>
      <c r="AL88">
        <v>43.93</v>
      </c>
      <c r="AM88">
        <v>64.209999999999994</v>
      </c>
      <c r="AO88" s="1"/>
      <c r="AP88" s="1"/>
      <c r="AQ88" t="s">
        <v>215</v>
      </c>
      <c r="AR88" t="s">
        <v>215</v>
      </c>
      <c r="AT88">
        <v>7.2489511498248102E-2</v>
      </c>
      <c r="AU88" t="s">
        <v>1108</v>
      </c>
      <c r="AV88">
        <v>13.17</v>
      </c>
      <c r="AW88">
        <v>0.16138567030429801</v>
      </c>
      <c r="AX88">
        <v>0</v>
      </c>
      <c r="AY88" t="s">
        <v>56</v>
      </c>
      <c r="AZ88" t="s">
        <v>54</v>
      </c>
      <c r="BA88" t="s">
        <v>583</v>
      </c>
      <c r="BK88" t="s">
        <v>54</v>
      </c>
    </row>
    <row r="89" spans="1:63" hidden="1" x14ac:dyDescent="0.3">
      <c r="A89" t="s">
        <v>619</v>
      </c>
      <c r="B89" t="s">
        <v>98</v>
      </c>
      <c r="C89">
        <v>99061</v>
      </c>
      <c r="D89">
        <v>112</v>
      </c>
      <c r="E89" t="s">
        <v>57</v>
      </c>
      <c r="F89">
        <v>102</v>
      </c>
      <c r="G89" t="s">
        <v>52</v>
      </c>
      <c r="H89">
        <v>19</v>
      </c>
      <c r="J89">
        <v>102</v>
      </c>
      <c r="K89" t="s">
        <v>53</v>
      </c>
      <c r="L89">
        <v>75</v>
      </c>
      <c r="M89" t="s">
        <v>620</v>
      </c>
      <c r="N89" t="s">
        <v>300</v>
      </c>
      <c r="O89" t="s">
        <v>300</v>
      </c>
      <c r="P89" t="s">
        <v>954</v>
      </c>
      <c r="Q89">
        <v>-83.825068000000002</v>
      </c>
      <c r="R89">
        <v>45.412883000000001</v>
      </c>
      <c r="S89">
        <v>29</v>
      </c>
      <c r="T89">
        <v>3</v>
      </c>
      <c r="U89" t="s">
        <v>362</v>
      </c>
      <c r="V89">
        <v>1</v>
      </c>
      <c r="W89">
        <v>0.95</v>
      </c>
      <c r="X89">
        <v>77.180000000000007</v>
      </c>
      <c r="Y89">
        <v>19.295000000000002</v>
      </c>
      <c r="Z89">
        <v>69.069999999999993</v>
      </c>
      <c r="AA89">
        <v>85.29</v>
      </c>
      <c r="AB89">
        <v>68.23</v>
      </c>
      <c r="AC89">
        <v>17.057500000000001</v>
      </c>
      <c r="AD89">
        <v>45</v>
      </c>
      <c r="AE89">
        <v>91.47</v>
      </c>
      <c r="AF89">
        <v>78.069999999999993</v>
      </c>
      <c r="AG89">
        <v>19.517499999999998</v>
      </c>
      <c r="AH89">
        <v>61.78</v>
      </c>
      <c r="AI89">
        <v>94.37</v>
      </c>
      <c r="AJ89">
        <v>103.18</v>
      </c>
      <c r="AK89">
        <v>25.795000000000002</v>
      </c>
      <c r="AL89">
        <v>68.13</v>
      </c>
      <c r="AM89">
        <v>138.22</v>
      </c>
      <c r="AO89" s="1"/>
      <c r="AP89" s="1"/>
      <c r="AQ89" t="s">
        <v>215</v>
      </c>
      <c r="AR89" t="s">
        <v>215</v>
      </c>
      <c r="AT89">
        <v>0.26841110104659599</v>
      </c>
      <c r="AU89" t="s">
        <v>1109</v>
      </c>
      <c r="AV89">
        <v>22.75</v>
      </c>
      <c r="AW89">
        <v>1.0526338424533599</v>
      </c>
      <c r="AX89">
        <v>0</v>
      </c>
      <c r="AY89" t="s">
        <v>56</v>
      </c>
      <c r="AZ89" t="s">
        <v>54</v>
      </c>
      <c r="BA89" t="s">
        <v>583</v>
      </c>
      <c r="BC89">
        <v>29</v>
      </c>
      <c r="BD89" t="s">
        <v>434</v>
      </c>
      <c r="BE89" t="s">
        <v>303</v>
      </c>
      <c r="BF89" t="s">
        <v>60</v>
      </c>
      <c r="BI89" t="s">
        <v>54</v>
      </c>
      <c r="BK89" t="s">
        <v>54</v>
      </c>
    </row>
    <row r="90" spans="1:63" hidden="1" x14ac:dyDescent="0.3">
      <c r="A90" t="s">
        <v>621</v>
      </c>
      <c r="B90" t="s">
        <v>98</v>
      </c>
      <c r="C90">
        <v>71159</v>
      </c>
      <c r="D90">
        <v>0</v>
      </c>
      <c r="E90" t="s">
        <v>62</v>
      </c>
      <c r="F90">
        <v>102</v>
      </c>
      <c r="G90" t="s">
        <v>52</v>
      </c>
      <c r="H90">
        <v>21</v>
      </c>
      <c r="J90">
        <v>102</v>
      </c>
      <c r="K90" t="s">
        <v>53</v>
      </c>
      <c r="L90">
        <v>125</v>
      </c>
      <c r="M90" t="s">
        <v>622</v>
      </c>
      <c r="N90" t="s">
        <v>300</v>
      </c>
      <c r="O90" t="s">
        <v>300</v>
      </c>
      <c r="P90" t="s">
        <v>1110</v>
      </c>
      <c r="Q90">
        <v>-83.831487999999993</v>
      </c>
      <c r="R90">
        <v>45.420216000000003</v>
      </c>
      <c r="S90">
        <v>122</v>
      </c>
      <c r="T90">
        <v>6</v>
      </c>
      <c r="U90" t="s">
        <v>558</v>
      </c>
      <c r="V90">
        <v>21</v>
      </c>
      <c r="W90">
        <v>0.81967213114754101</v>
      </c>
      <c r="X90">
        <v>165.67</v>
      </c>
      <c r="Y90">
        <v>41.417499999999997</v>
      </c>
      <c r="Z90">
        <v>122.9</v>
      </c>
      <c r="AA90">
        <v>208.43</v>
      </c>
      <c r="AB90">
        <v>171.53</v>
      </c>
      <c r="AC90">
        <v>42.8825</v>
      </c>
      <c r="AD90">
        <v>114.85</v>
      </c>
      <c r="AE90">
        <v>228.2</v>
      </c>
      <c r="AF90">
        <v>196.11</v>
      </c>
      <c r="AG90">
        <v>49.027500000000003</v>
      </c>
      <c r="AH90">
        <v>155.11000000000001</v>
      </c>
      <c r="AI90">
        <v>237.11</v>
      </c>
      <c r="AJ90">
        <v>220.39</v>
      </c>
      <c r="AK90">
        <v>55.097499999999997</v>
      </c>
      <c r="AL90">
        <v>174.41</v>
      </c>
      <c r="AM90">
        <v>266.36</v>
      </c>
      <c r="AO90" s="1"/>
      <c r="AP90" s="1"/>
      <c r="AQ90" t="s">
        <v>215</v>
      </c>
      <c r="AR90" t="s">
        <v>215</v>
      </c>
      <c r="AT90">
        <v>0.191631293155648</v>
      </c>
      <c r="AU90" t="s">
        <v>1111</v>
      </c>
      <c r="AV90">
        <v>9.15</v>
      </c>
      <c r="AW90">
        <v>0.35590861923992601</v>
      </c>
      <c r="AX90">
        <v>0</v>
      </c>
      <c r="AY90" t="s">
        <v>56</v>
      </c>
      <c r="AZ90" t="s">
        <v>54</v>
      </c>
      <c r="BA90" t="s">
        <v>583</v>
      </c>
      <c r="BC90">
        <v>122</v>
      </c>
      <c r="BD90" t="s">
        <v>434</v>
      </c>
      <c r="BE90" t="s">
        <v>303</v>
      </c>
      <c r="BF90" t="s">
        <v>60</v>
      </c>
      <c r="BI90" t="s">
        <v>54</v>
      </c>
      <c r="BK90" t="s">
        <v>54</v>
      </c>
    </row>
    <row r="91" spans="1:63" hidden="1" x14ac:dyDescent="0.3">
      <c r="A91" t="s">
        <v>871</v>
      </c>
      <c r="B91" t="s">
        <v>98</v>
      </c>
      <c r="C91">
        <v>71160</v>
      </c>
      <c r="D91">
        <v>0</v>
      </c>
      <c r="E91" t="s">
        <v>57</v>
      </c>
      <c r="F91">
        <v>102</v>
      </c>
      <c r="G91" t="s">
        <v>60</v>
      </c>
      <c r="H91">
        <v>11</v>
      </c>
      <c r="J91">
        <v>102</v>
      </c>
      <c r="K91" t="s">
        <v>53</v>
      </c>
      <c r="L91">
        <v>60</v>
      </c>
      <c r="M91" t="s">
        <v>872</v>
      </c>
      <c r="N91" t="s">
        <v>303</v>
      </c>
      <c r="O91" t="s">
        <v>303</v>
      </c>
      <c r="P91" t="s">
        <v>1112</v>
      </c>
      <c r="Q91">
        <v>-83.814533499999996</v>
      </c>
      <c r="R91">
        <v>45.409994500000003</v>
      </c>
      <c r="X91">
        <v>54.92</v>
      </c>
      <c r="Y91">
        <v>27.46</v>
      </c>
      <c r="Z91">
        <v>50.05</v>
      </c>
      <c r="AA91">
        <v>59.79</v>
      </c>
      <c r="AB91">
        <v>61.75</v>
      </c>
      <c r="AC91">
        <v>30.875</v>
      </c>
      <c r="AD91">
        <v>54.85</v>
      </c>
      <c r="AE91">
        <v>68.64</v>
      </c>
      <c r="AF91">
        <v>57.6</v>
      </c>
      <c r="AG91">
        <v>28.8</v>
      </c>
      <c r="AH91">
        <v>52.8</v>
      </c>
      <c r="AI91">
        <v>62.4</v>
      </c>
      <c r="AJ91">
        <v>65.5</v>
      </c>
      <c r="AK91">
        <v>32.75</v>
      </c>
      <c r="AL91">
        <v>59.41</v>
      </c>
      <c r="AM91">
        <v>71.58</v>
      </c>
      <c r="AO91" s="1"/>
      <c r="AP91" s="1"/>
      <c r="AQ91" t="s">
        <v>215</v>
      </c>
      <c r="AR91" t="s">
        <v>215</v>
      </c>
      <c r="AT91">
        <v>1.8696801637312399</v>
      </c>
      <c r="AU91" t="s">
        <v>1113</v>
      </c>
      <c r="AV91">
        <v>5.13</v>
      </c>
      <c r="AW91">
        <v>7.5243135038763302</v>
      </c>
      <c r="AX91">
        <v>0</v>
      </c>
      <c r="AY91" t="s">
        <v>56</v>
      </c>
      <c r="AZ91" t="s">
        <v>54</v>
      </c>
      <c r="BA91" t="s">
        <v>583</v>
      </c>
      <c r="BK91" t="s">
        <v>54</v>
      </c>
    </row>
    <row r="92" spans="1:63" hidden="1" x14ac:dyDescent="0.3">
      <c r="A92" t="s">
        <v>623</v>
      </c>
      <c r="B92" t="s">
        <v>98</v>
      </c>
      <c r="C92">
        <v>71161</v>
      </c>
      <c r="D92">
        <v>0</v>
      </c>
      <c r="E92" t="s">
        <v>62</v>
      </c>
      <c r="F92">
        <v>102</v>
      </c>
      <c r="G92" t="s">
        <v>52</v>
      </c>
      <c r="H92">
        <v>27</v>
      </c>
      <c r="J92">
        <v>102</v>
      </c>
      <c r="K92" t="s">
        <v>53</v>
      </c>
      <c r="L92">
        <v>145</v>
      </c>
      <c r="M92" t="s">
        <v>624</v>
      </c>
      <c r="N92" t="s">
        <v>300</v>
      </c>
      <c r="O92" t="s">
        <v>300</v>
      </c>
      <c r="P92" t="s">
        <v>1114</v>
      </c>
      <c r="Q92">
        <v>-83.819706999999994</v>
      </c>
      <c r="R92">
        <v>45.422753999999998</v>
      </c>
      <c r="S92">
        <v>2</v>
      </c>
      <c r="X92">
        <v>125.91</v>
      </c>
      <c r="Y92">
        <v>31.477499999999999</v>
      </c>
      <c r="Z92">
        <v>110.7</v>
      </c>
      <c r="AA92">
        <v>141.12</v>
      </c>
      <c r="AB92">
        <v>129.32</v>
      </c>
      <c r="AC92">
        <v>32.33</v>
      </c>
      <c r="AD92">
        <v>117.74</v>
      </c>
      <c r="AE92">
        <v>140.91</v>
      </c>
      <c r="AF92">
        <v>163</v>
      </c>
      <c r="AG92">
        <v>40.75</v>
      </c>
      <c r="AH92">
        <v>136.79</v>
      </c>
      <c r="AI92">
        <v>189.2</v>
      </c>
      <c r="AJ92">
        <v>197.56</v>
      </c>
      <c r="AK92">
        <v>49.39</v>
      </c>
      <c r="AL92">
        <v>170.22</v>
      </c>
      <c r="AM92">
        <v>224.9</v>
      </c>
      <c r="AO92" s="1"/>
      <c r="AP92" s="1"/>
      <c r="AQ92" t="s">
        <v>215</v>
      </c>
      <c r="AR92" t="s">
        <v>215</v>
      </c>
      <c r="AT92">
        <v>4.3244614817051101E-2</v>
      </c>
      <c r="AU92" t="s">
        <v>1115</v>
      </c>
      <c r="AV92">
        <v>12.73</v>
      </c>
      <c r="AW92">
        <v>0.212141454219818</v>
      </c>
      <c r="AX92">
        <v>0</v>
      </c>
      <c r="AY92" t="s">
        <v>56</v>
      </c>
      <c r="AZ92" t="s">
        <v>54</v>
      </c>
      <c r="BA92" t="s">
        <v>583</v>
      </c>
      <c r="BC92">
        <v>2</v>
      </c>
      <c r="BD92" t="s">
        <v>434</v>
      </c>
      <c r="BE92" t="s">
        <v>303</v>
      </c>
      <c r="BF92" t="s">
        <v>60</v>
      </c>
      <c r="BI92" t="s">
        <v>54</v>
      </c>
      <c r="BK92" t="s">
        <v>54</v>
      </c>
    </row>
    <row r="93" spans="1:63" hidden="1" x14ac:dyDescent="0.3">
      <c r="A93" t="s">
        <v>625</v>
      </c>
      <c r="B93" t="s">
        <v>98</v>
      </c>
      <c r="C93">
        <v>71163</v>
      </c>
      <c r="D93">
        <v>0</v>
      </c>
      <c r="E93" t="s">
        <v>57</v>
      </c>
      <c r="F93">
        <v>102</v>
      </c>
      <c r="G93" t="s">
        <v>52</v>
      </c>
      <c r="H93">
        <v>21</v>
      </c>
      <c r="J93">
        <v>102</v>
      </c>
      <c r="K93" t="s">
        <v>53</v>
      </c>
      <c r="L93">
        <v>85</v>
      </c>
      <c r="M93" t="s">
        <v>626</v>
      </c>
      <c r="N93" t="s">
        <v>300</v>
      </c>
      <c r="O93" t="s">
        <v>300</v>
      </c>
      <c r="P93" t="s">
        <v>1116</v>
      </c>
      <c r="Q93">
        <v>-83.826581000000004</v>
      </c>
      <c r="R93">
        <v>45.413888999999998</v>
      </c>
      <c r="S93">
        <v>22</v>
      </c>
      <c r="T93">
        <v>1</v>
      </c>
      <c r="U93" t="s">
        <v>205</v>
      </c>
      <c r="V93">
        <v>11</v>
      </c>
      <c r="W93">
        <v>0.45454545454545453</v>
      </c>
      <c r="X93">
        <v>58.28</v>
      </c>
      <c r="Y93">
        <v>14.57</v>
      </c>
      <c r="Z93">
        <v>52.59</v>
      </c>
      <c r="AA93">
        <v>63.98</v>
      </c>
      <c r="AB93">
        <v>58.76</v>
      </c>
      <c r="AC93">
        <v>14.69</v>
      </c>
      <c r="AD93">
        <v>51.68</v>
      </c>
      <c r="AE93">
        <v>65.84</v>
      </c>
      <c r="AF93">
        <v>61.03</v>
      </c>
      <c r="AG93">
        <v>15.2575</v>
      </c>
      <c r="AH93">
        <v>53.91</v>
      </c>
      <c r="AI93">
        <v>68.150000000000006</v>
      </c>
      <c r="AJ93">
        <v>62.08</v>
      </c>
      <c r="AK93">
        <v>15.52</v>
      </c>
      <c r="AL93">
        <v>57.64</v>
      </c>
      <c r="AM93">
        <v>66.510000000000005</v>
      </c>
      <c r="AO93" s="1"/>
      <c r="AP93" s="1"/>
      <c r="AQ93" t="s">
        <v>215</v>
      </c>
      <c r="AR93" t="s">
        <v>215</v>
      </c>
      <c r="AT93">
        <v>0.11218424484639899</v>
      </c>
      <c r="AU93" t="s">
        <v>1117</v>
      </c>
      <c r="AV93">
        <v>2.82</v>
      </c>
      <c r="AW93">
        <v>0.75345359742641405</v>
      </c>
      <c r="AX93">
        <v>0</v>
      </c>
      <c r="AY93" t="s">
        <v>56</v>
      </c>
      <c r="AZ93" t="s">
        <v>54</v>
      </c>
      <c r="BA93" t="s">
        <v>583</v>
      </c>
      <c r="BC93">
        <v>22</v>
      </c>
      <c r="BD93" t="s">
        <v>434</v>
      </c>
      <c r="BE93" t="s">
        <v>303</v>
      </c>
      <c r="BF93" t="s">
        <v>60</v>
      </c>
      <c r="BI93" t="s">
        <v>54</v>
      </c>
      <c r="BK93" t="s">
        <v>54</v>
      </c>
    </row>
    <row r="94" spans="1:63" hidden="1" x14ac:dyDescent="0.3">
      <c r="A94" t="s">
        <v>876</v>
      </c>
      <c r="B94" t="s">
        <v>98</v>
      </c>
      <c r="C94">
        <v>71251</v>
      </c>
      <c r="D94">
        <v>0</v>
      </c>
      <c r="E94" t="s">
        <v>57</v>
      </c>
      <c r="F94">
        <v>102</v>
      </c>
      <c r="G94" t="s">
        <v>60</v>
      </c>
      <c r="H94">
        <v>7</v>
      </c>
      <c r="J94">
        <v>102</v>
      </c>
      <c r="K94" t="s">
        <v>53</v>
      </c>
      <c r="L94">
        <v>195</v>
      </c>
      <c r="M94" t="s">
        <v>877</v>
      </c>
      <c r="N94" t="s">
        <v>303</v>
      </c>
      <c r="O94" t="s">
        <v>303</v>
      </c>
      <c r="P94" t="s">
        <v>1118</v>
      </c>
      <c r="Q94">
        <v>-83.698689799999997</v>
      </c>
      <c r="R94">
        <v>45.2639402</v>
      </c>
      <c r="V94">
        <v>0</v>
      </c>
      <c r="AO94" s="1"/>
      <c r="AP94" s="1"/>
      <c r="AQ94" t="s">
        <v>215</v>
      </c>
      <c r="AR94" t="s">
        <v>215</v>
      </c>
      <c r="AT94">
        <v>0.21623780585518601</v>
      </c>
      <c r="AU94" t="s">
        <v>1119</v>
      </c>
      <c r="AW94">
        <v>0.38505906797945499</v>
      </c>
      <c r="AX94">
        <v>0</v>
      </c>
      <c r="AY94" t="s">
        <v>56</v>
      </c>
      <c r="AZ94" t="s">
        <v>54</v>
      </c>
      <c r="BA94" t="s">
        <v>583</v>
      </c>
      <c r="BK94" t="s">
        <v>54</v>
      </c>
    </row>
    <row r="95" spans="1:63" hidden="1" x14ac:dyDescent="0.3">
      <c r="A95" t="s">
        <v>841</v>
      </c>
      <c r="B95" t="s">
        <v>98</v>
      </c>
      <c r="C95">
        <v>99047</v>
      </c>
      <c r="D95">
        <v>9</v>
      </c>
      <c r="E95" t="s">
        <v>63</v>
      </c>
      <c r="F95">
        <v>102</v>
      </c>
      <c r="G95" t="s">
        <v>60</v>
      </c>
      <c r="H95">
        <v>6</v>
      </c>
      <c r="J95">
        <v>102</v>
      </c>
      <c r="K95" t="s">
        <v>53</v>
      </c>
      <c r="L95">
        <v>175</v>
      </c>
      <c r="M95" t="s">
        <v>878</v>
      </c>
      <c r="N95" t="s">
        <v>302</v>
      </c>
      <c r="O95" t="s">
        <v>302</v>
      </c>
      <c r="P95" t="s">
        <v>1120</v>
      </c>
      <c r="Q95">
        <v>-83.698129449999996</v>
      </c>
      <c r="R95">
        <v>45.198295569999999</v>
      </c>
      <c r="X95">
        <v>28.14</v>
      </c>
      <c r="Y95">
        <v>28.14</v>
      </c>
      <c r="Z95">
        <v>25.8</v>
      </c>
      <c r="AA95">
        <v>30.49</v>
      </c>
      <c r="AB95">
        <v>28.6</v>
      </c>
      <c r="AC95">
        <v>28.6</v>
      </c>
      <c r="AD95">
        <v>26.21</v>
      </c>
      <c r="AE95">
        <v>30.98</v>
      </c>
      <c r="AF95">
        <v>29.28</v>
      </c>
      <c r="AG95">
        <v>29.28</v>
      </c>
      <c r="AH95">
        <v>26.84</v>
      </c>
      <c r="AI95">
        <v>31.72</v>
      </c>
      <c r="AJ95">
        <v>40.82</v>
      </c>
      <c r="AK95">
        <v>40.82</v>
      </c>
      <c r="AL95">
        <v>33.17</v>
      </c>
      <c r="AM95">
        <v>48.48</v>
      </c>
      <c r="AO95" s="1"/>
      <c r="AP95" s="1"/>
      <c r="AQ95" t="s">
        <v>215</v>
      </c>
      <c r="AR95" t="s">
        <v>215</v>
      </c>
      <c r="AT95">
        <v>18.230957953262099</v>
      </c>
      <c r="AU95" t="s">
        <v>1121</v>
      </c>
      <c r="AV95">
        <v>10.92</v>
      </c>
      <c r="AW95">
        <v>18.8108089230955</v>
      </c>
      <c r="AX95">
        <v>0</v>
      </c>
      <c r="AY95" t="s">
        <v>56</v>
      </c>
      <c r="AZ95" t="s">
        <v>54</v>
      </c>
      <c r="BA95" t="s">
        <v>583</v>
      </c>
      <c r="BK95" t="s">
        <v>54</v>
      </c>
    </row>
    <row r="96" spans="1:63" hidden="1" x14ac:dyDescent="0.3">
      <c r="A96" t="s">
        <v>647</v>
      </c>
      <c r="B96" t="s">
        <v>98</v>
      </c>
      <c r="C96">
        <v>71255</v>
      </c>
      <c r="D96">
        <v>0</v>
      </c>
      <c r="E96" t="s">
        <v>63</v>
      </c>
      <c r="F96">
        <v>102</v>
      </c>
      <c r="G96" t="s">
        <v>60</v>
      </c>
      <c r="H96">
        <v>8</v>
      </c>
      <c r="J96">
        <v>102</v>
      </c>
      <c r="K96" t="s">
        <v>53</v>
      </c>
      <c r="L96">
        <v>190</v>
      </c>
      <c r="M96" t="s">
        <v>648</v>
      </c>
      <c r="N96" t="s">
        <v>298</v>
      </c>
      <c r="O96" t="s">
        <v>298</v>
      </c>
      <c r="P96" t="s">
        <v>1122</v>
      </c>
      <c r="Q96">
        <v>-83.700910030000003</v>
      </c>
      <c r="R96">
        <v>45.26221469</v>
      </c>
      <c r="S96">
        <v>2</v>
      </c>
      <c r="X96">
        <v>21.66</v>
      </c>
      <c r="Y96">
        <v>21.66</v>
      </c>
      <c r="Z96">
        <v>16.59</v>
      </c>
      <c r="AA96">
        <v>26.72</v>
      </c>
      <c r="AB96">
        <v>18.600000000000001</v>
      </c>
      <c r="AC96">
        <v>18.600000000000001</v>
      </c>
      <c r="AD96">
        <v>17.05</v>
      </c>
      <c r="AE96">
        <v>20.149999999999999</v>
      </c>
      <c r="AF96">
        <v>18.600000000000001</v>
      </c>
      <c r="AG96">
        <v>18.600000000000001</v>
      </c>
      <c r="AH96">
        <v>17.05</v>
      </c>
      <c r="AI96">
        <v>20.149999999999999</v>
      </c>
      <c r="AJ96">
        <v>25.09</v>
      </c>
      <c r="AK96">
        <v>25.09</v>
      </c>
      <c r="AL96">
        <v>20.38</v>
      </c>
      <c r="AM96">
        <v>29.79</v>
      </c>
      <c r="AO96" s="1"/>
      <c r="AP96" s="1"/>
      <c r="AQ96" t="s">
        <v>215</v>
      </c>
      <c r="AR96" t="s">
        <v>215</v>
      </c>
      <c r="AT96">
        <v>0.14676353422368199</v>
      </c>
      <c r="AU96" t="s">
        <v>1123</v>
      </c>
      <c r="AV96">
        <v>9.32</v>
      </c>
      <c r="AW96">
        <v>0.37048159725964103</v>
      </c>
      <c r="AX96">
        <v>0</v>
      </c>
      <c r="AY96" t="s">
        <v>56</v>
      </c>
      <c r="AZ96" t="s">
        <v>54</v>
      </c>
      <c r="BA96" t="s">
        <v>583</v>
      </c>
      <c r="BC96">
        <v>2</v>
      </c>
      <c r="BK96" t="s">
        <v>54</v>
      </c>
    </row>
    <row r="97" spans="1:63" hidden="1" x14ac:dyDescent="0.3">
      <c r="A97" t="s">
        <v>649</v>
      </c>
      <c r="B97" t="s">
        <v>98</v>
      </c>
      <c r="C97">
        <v>71366</v>
      </c>
      <c r="D97">
        <v>0</v>
      </c>
      <c r="E97" t="s">
        <v>57</v>
      </c>
      <c r="F97">
        <v>102</v>
      </c>
      <c r="G97" t="s">
        <v>53</v>
      </c>
      <c r="H97">
        <v>20</v>
      </c>
      <c r="J97">
        <v>102</v>
      </c>
      <c r="K97" t="s">
        <v>52</v>
      </c>
      <c r="L97">
        <v>70</v>
      </c>
      <c r="M97" t="s">
        <v>650</v>
      </c>
      <c r="N97" t="s">
        <v>303</v>
      </c>
      <c r="O97" t="s">
        <v>303</v>
      </c>
      <c r="P97" t="s">
        <v>1124</v>
      </c>
      <c r="Q97">
        <v>-84.726800999999995</v>
      </c>
      <c r="R97">
        <v>45.781267</v>
      </c>
      <c r="S97">
        <v>2</v>
      </c>
      <c r="X97">
        <v>44.9</v>
      </c>
      <c r="Y97">
        <v>22.45</v>
      </c>
      <c r="Z97">
        <v>41.15</v>
      </c>
      <c r="AA97">
        <v>48.64</v>
      </c>
      <c r="AB97">
        <v>47.06</v>
      </c>
      <c r="AC97">
        <v>23.53</v>
      </c>
      <c r="AD97">
        <v>33.76</v>
      </c>
      <c r="AE97">
        <v>60.36</v>
      </c>
      <c r="AF97">
        <v>56.06</v>
      </c>
      <c r="AG97">
        <v>28.03</v>
      </c>
      <c r="AH97">
        <v>51.39</v>
      </c>
      <c r="AI97">
        <v>60.74</v>
      </c>
      <c r="AJ97">
        <v>74.58</v>
      </c>
      <c r="AK97">
        <v>37.29</v>
      </c>
      <c r="AL97">
        <v>57.4</v>
      </c>
      <c r="AM97">
        <v>91.76</v>
      </c>
      <c r="AO97" s="1"/>
      <c r="AP97" s="1"/>
      <c r="AQ97" t="s">
        <v>215</v>
      </c>
      <c r="AR97" t="s">
        <v>215</v>
      </c>
      <c r="AT97">
        <v>7.8163012259703402E-2</v>
      </c>
      <c r="AU97" t="s">
        <v>1125</v>
      </c>
      <c r="AV97">
        <v>12.43</v>
      </c>
      <c r="AW97">
        <v>1.08193488232791</v>
      </c>
      <c r="AX97">
        <v>0</v>
      </c>
      <c r="AY97" t="s">
        <v>56</v>
      </c>
      <c r="AZ97" t="s">
        <v>54</v>
      </c>
      <c r="BA97" t="s">
        <v>583</v>
      </c>
      <c r="BC97">
        <v>2</v>
      </c>
      <c r="BK97" t="s">
        <v>54</v>
      </c>
    </row>
    <row r="98" spans="1:63" hidden="1" x14ac:dyDescent="0.3">
      <c r="A98" t="s">
        <v>842</v>
      </c>
      <c r="B98" t="s">
        <v>98</v>
      </c>
      <c r="C98">
        <v>99192</v>
      </c>
      <c r="D98">
        <v>3</v>
      </c>
      <c r="E98" t="s">
        <v>64</v>
      </c>
      <c r="F98">
        <v>102</v>
      </c>
      <c r="G98" t="s">
        <v>60</v>
      </c>
      <c r="H98">
        <v>1</v>
      </c>
      <c r="J98">
        <v>102</v>
      </c>
      <c r="K98" t="s">
        <v>53</v>
      </c>
      <c r="L98">
        <v>10</v>
      </c>
      <c r="M98" t="s">
        <v>881</v>
      </c>
      <c r="N98" t="s">
        <v>299</v>
      </c>
      <c r="O98" t="s">
        <v>299</v>
      </c>
      <c r="P98" t="s">
        <v>1126</v>
      </c>
      <c r="Q98">
        <v>-83.416960000000003</v>
      </c>
      <c r="R98">
        <v>45.071606000000003</v>
      </c>
      <c r="X98">
        <v>44.65</v>
      </c>
      <c r="Y98">
        <v>44.65</v>
      </c>
      <c r="Z98">
        <v>36.56</v>
      </c>
      <c r="AA98">
        <v>52.74</v>
      </c>
      <c r="AB98">
        <v>54.05</v>
      </c>
      <c r="AC98">
        <v>54.05</v>
      </c>
      <c r="AD98">
        <v>43.92</v>
      </c>
      <c r="AE98">
        <v>64.19</v>
      </c>
      <c r="AF98">
        <v>47.4</v>
      </c>
      <c r="AG98">
        <v>47.4</v>
      </c>
      <c r="AH98">
        <v>36.25</v>
      </c>
      <c r="AI98">
        <v>58.54</v>
      </c>
      <c r="AJ98">
        <v>51</v>
      </c>
      <c r="AK98">
        <v>51</v>
      </c>
      <c r="AL98">
        <v>42.35</v>
      </c>
      <c r="AM98">
        <v>59.65</v>
      </c>
      <c r="AO98" s="1"/>
      <c r="AP98" s="1"/>
      <c r="AQ98" t="s">
        <v>215</v>
      </c>
      <c r="AR98" t="s">
        <v>215</v>
      </c>
      <c r="AT98">
        <v>0.11922345504703</v>
      </c>
      <c r="AU98" t="s">
        <v>1127</v>
      </c>
      <c r="AV98">
        <v>0.2</v>
      </c>
      <c r="AW98">
        <v>0.45811186544597099</v>
      </c>
      <c r="AX98">
        <v>0</v>
      </c>
      <c r="AY98" t="s">
        <v>56</v>
      </c>
      <c r="AZ98" t="s">
        <v>54</v>
      </c>
      <c r="BA98" t="s">
        <v>583</v>
      </c>
      <c r="BK98" t="s">
        <v>54</v>
      </c>
    </row>
    <row r="99" spans="1:63" hidden="1" x14ac:dyDescent="0.3">
      <c r="A99" t="s">
        <v>843</v>
      </c>
      <c r="B99" t="s">
        <v>98</v>
      </c>
      <c r="C99">
        <v>71399</v>
      </c>
      <c r="D99">
        <v>0</v>
      </c>
      <c r="E99" t="s">
        <v>64</v>
      </c>
      <c r="F99">
        <v>102</v>
      </c>
      <c r="G99" t="s">
        <v>60</v>
      </c>
      <c r="H99">
        <v>6</v>
      </c>
      <c r="J99">
        <v>102</v>
      </c>
      <c r="K99" t="s">
        <v>59</v>
      </c>
      <c r="L99">
        <v>205</v>
      </c>
      <c r="M99" t="s">
        <v>760</v>
      </c>
      <c r="N99" t="s">
        <v>300</v>
      </c>
      <c r="O99" t="s">
        <v>300</v>
      </c>
      <c r="P99" t="s">
        <v>1128</v>
      </c>
      <c r="Q99">
        <v>-83.434629000000001</v>
      </c>
      <c r="R99">
        <v>45.193750000000001</v>
      </c>
      <c r="X99">
        <v>78.23</v>
      </c>
      <c r="Y99">
        <v>19.557500000000001</v>
      </c>
      <c r="Z99">
        <v>65.73</v>
      </c>
      <c r="AA99">
        <v>90.73</v>
      </c>
      <c r="AB99">
        <v>86.94</v>
      </c>
      <c r="AC99">
        <v>21.734999999999999</v>
      </c>
      <c r="AD99">
        <v>62.31</v>
      </c>
      <c r="AE99">
        <v>111.56</v>
      </c>
      <c r="AF99">
        <v>65.760000000000005</v>
      </c>
      <c r="AG99">
        <v>16.440000000000001</v>
      </c>
      <c r="AH99">
        <v>55.65</v>
      </c>
      <c r="AI99">
        <v>75.88</v>
      </c>
      <c r="AJ99">
        <v>82.96</v>
      </c>
      <c r="AK99">
        <v>20.74</v>
      </c>
      <c r="AL99">
        <v>65.33</v>
      </c>
      <c r="AM99">
        <v>100.58</v>
      </c>
      <c r="AO99" s="1"/>
      <c r="AP99" s="1"/>
      <c r="AQ99" t="s">
        <v>215</v>
      </c>
      <c r="AR99" t="s">
        <v>215</v>
      </c>
      <c r="AT99">
        <v>2.8131659885845299</v>
      </c>
      <c r="AU99" t="s">
        <v>1129</v>
      </c>
      <c r="AV99">
        <v>5.93</v>
      </c>
      <c r="AW99">
        <v>3.0721184629946898</v>
      </c>
      <c r="AX99">
        <v>0</v>
      </c>
      <c r="AY99" t="s">
        <v>56</v>
      </c>
      <c r="AZ99" t="s">
        <v>54</v>
      </c>
      <c r="BA99" t="s">
        <v>583</v>
      </c>
      <c r="BD99" t="s">
        <v>434</v>
      </c>
      <c r="BE99" t="s">
        <v>303</v>
      </c>
      <c r="BF99" t="s">
        <v>53</v>
      </c>
      <c r="BI99" t="s">
        <v>54</v>
      </c>
      <c r="BK99" t="s">
        <v>54</v>
      </c>
    </row>
    <row r="100" spans="1:63" hidden="1" x14ac:dyDescent="0.3">
      <c r="A100" t="s">
        <v>651</v>
      </c>
      <c r="B100" t="s">
        <v>98</v>
      </c>
      <c r="C100">
        <v>71415</v>
      </c>
      <c r="D100">
        <v>0</v>
      </c>
      <c r="E100" t="s">
        <v>57</v>
      </c>
      <c r="F100">
        <v>102</v>
      </c>
      <c r="G100" t="s">
        <v>60</v>
      </c>
      <c r="H100">
        <v>10</v>
      </c>
      <c r="J100">
        <v>102</v>
      </c>
      <c r="K100" t="s">
        <v>53</v>
      </c>
      <c r="L100">
        <v>50</v>
      </c>
      <c r="M100" t="s">
        <v>652</v>
      </c>
      <c r="N100" t="s">
        <v>303</v>
      </c>
      <c r="O100" t="s">
        <v>303</v>
      </c>
      <c r="P100" t="s">
        <v>1130</v>
      </c>
      <c r="Q100">
        <v>-83.786929000000001</v>
      </c>
      <c r="R100">
        <v>45.413891999999997</v>
      </c>
      <c r="S100">
        <v>8</v>
      </c>
      <c r="X100">
        <v>191.3</v>
      </c>
      <c r="Y100">
        <v>95.65</v>
      </c>
      <c r="Z100">
        <v>175.36</v>
      </c>
      <c r="AA100">
        <v>207.25</v>
      </c>
      <c r="AB100">
        <v>230.92</v>
      </c>
      <c r="AC100">
        <v>115.46</v>
      </c>
      <c r="AD100">
        <v>214.43</v>
      </c>
      <c r="AE100">
        <v>247.42</v>
      </c>
      <c r="AF100">
        <v>197.94</v>
      </c>
      <c r="AG100">
        <v>98.97</v>
      </c>
      <c r="AH100">
        <v>181.44</v>
      </c>
      <c r="AI100">
        <v>214.43</v>
      </c>
      <c r="AJ100">
        <v>231.42</v>
      </c>
      <c r="AK100">
        <v>115.71</v>
      </c>
      <c r="AL100">
        <v>214.89</v>
      </c>
      <c r="AM100">
        <v>247.95</v>
      </c>
      <c r="AO100" s="1"/>
      <c r="AP100" s="1"/>
      <c r="AQ100" t="s">
        <v>215</v>
      </c>
      <c r="AR100" t="s">
        <v>215</v>
      </c>
      <c r="AT100">
        <v>14.272509612867101</v>
      </c>
      <c r="AU100" t="s">
        <v>1131</v>
      </c>
      <c r="AV100">
        <v>16.64</v>
      </c>
      <c r="AW100">
        <v>18.677392635494499</v>
      </c>
      <c r="AX100">
        <v>0</v>
      </c>
      <c r="AY100" t="s">
        <v>56</v>
      </c>
      <c r="AZ100" t="s">
        <v>54</v>
      </c>
      <c r="BA100" t="s">
        <v>583</v>
      </c>
      <c r="BC100">
        <v>8</v>
      </c>
      <c r="BK100" t="s">
        <v>54</v>
      </c>
    </row>
    <row r="101" spans="1:63" hidden="1" x14ac:dyDescent="0.3">
      <c r="A101" t="s">
        <v>807</v>
      </c>
      <c r="B101" t="s">
        <v>98</v>
      </c>
      <c r="C101">
        <v>99212</v>
      </c>
      <c r="D101">
        <v>0</v>
      </c>
      <c r="E101" t="s">
        <v>62</v>
      </c>
      <c r="F101">
        <v>102</v>
      </c>
      <c r="G101" t="s">
        <v>52</v>
      </c>
      <c r="H101">
        <v>19</v>
      </c>
      <c r="J101">
        <v>102</v>
      </c>
      <c r="K101" t="s">
        <v>53</v>
      </c>
      <c r="L101">
        <v>115</v>
      </c>
      <c r="M101" t="s">
        <v>862</v>
      </c>
      <c r="N101" t="s">
        <v>323</v>
      </c>
      <c r="O101" t="s">
        <v>323</v>
      </c>
      <c r="P101" t="s">
        <v>1132</v>
      </c>
      <c r="Q101">
        <v>-83.825540000000004</v>
      </c>
      <c r="R101">
        <v>45.410057999999999</v>
      </c>
      <c r="X101">
        <v>34.119999999999997</v>
      </c>
      <c r="Y101">
        <v>17.059999999999999</v>
      </c>
      <c r="Z101">
        <v>31.68</v>
      </c>
      <c r="AA101">
        <v>36.549999999999997</v>
      </c>
      <c r="AB101">
        <v>29.15</v>
      </c>
      <c r="AC101">
        <v>14.574999999999999</v>
      </c>
      <c r="AD101">
        <v>26.72</v>
      </c>
      <c r="AE101">
        <v>31.58</v>
      </c>
      <c r="AF101">
        <v>34.020000000000003</v>
      </c>
      <c r="AG101">
        <v>17.010000000000002</v>
      </c>
      <c r="AH101">
        <v>31.59</v>
      </c>
      <c r="AI101">
        <v>36.450000000000003</v>
      </c>
      <c r="AJ101">
        <v>34.020000000000003</v>
      </c>
      <c r="AK101">
        <v>17.010000000000002</v>
      </c>
      <c r="AL101">
        <v>31.59</v>
      </c>
      <c r="AM101">
        <v>36.450000000000003</v>
      </c>
      <c r="AO101" s="1"/>
      <c r="AP101" s="1"/>
      <c r="AQ101" t="s">
        <v>215</v>
      </c>
      <c r="AR101" t="s">
        <v>215</v>
      </c>
      <c r="AT101">
        <v>0.127742584517546</v>
      </c>
      <c r="AU101" t="s">
        <v>1133</v>
      </c>
      <c r="AV101">
        <v>7.68</v>
      </c>
      <c r="AW101">
        <v>0.26602722331881501</v>
      </c>
      <c r="AX101">
        <v>0</v>
      </c>
      <c r="AY101" t="s">
        <v>56</v>
      </c>
      <c r="AZ101" t="s">
        <v>54</v>
      </c>
      <c r="BA101" t="s">
        <v>583</v>
      </c>
      <c r="BK101" t="s">
        <v>54</v>
      </c>
    </row>
    <row r="102" spans="1:63" hidden="1" x14ac:dyDescent="0.3">
      <c r="A102" t="s">
        <v>808</v>
      </c>
      <c r="B102" t="s">
        <v>98</v>
      </c>
      <c r="C102">
        <v>99212</v>
      </c>
      <c r="D102">
        <v>3</v>
      </c>
      <c r="E102" t="s">
        <v>63</v>
      </c>
      <c r="F102">
        <v>102</v>
      </c>
      <c r="G102" t="s">
        <v>52</v>
      </c>
      <c r="H102">
        <v>15</v>
      </c>
      <c r="J102">
        <v>102</v>
      </c>
      <c r="K102" t="s">
        <v>60</v>
      </c>
      <c r="L102">
        <v>55</v>
      </c>
      <c r="M102" t="s">
        <v>908</v>
      </c>
      <c r="N102" t="s">
        <v>323</v>
      </c>
      <c r="O102" t="s">
        <v>323</v>
      </c>
      <c r="P102" t="s">
        <v>1134</v>
      </c>
      <c r="Q102">
        <v>-84.230923000000004</v>
      </c>
      <c r="R102">
        <v>45.355924000000002</v>
      </c>
      <c r="X102">
        <v>31.27</v>
      </c>
      <c r="Y102">
        <v>15.635</v>
      </c>
      <c r="Z102">
        <v>29.03</v>
      </c>
      <c r="AA102">
        <v>33.5</v>
      </c>
      <c r="AB102">
        <v>26.55</v>
      </c>
      <c r="AC102">
        <v>13.275</v>
      </c>
      <c r="AD102">
        <v>24.34</v>
      </c>
      <c r="AE102">
        <v>28.76</v>
      </c>
      <c r="AF102">
        <v>30.98</v>
      </c>
      <c r="AG102">
        <v>15.49</v>
      </c>
      <c r="AH102">
        <v>28.76</v>
      </c>
      <c r="AI102">
        <v>33.19</v>
      </c>
      <c r="AJ102">
        <v>26.62</v>
      </c>
      <c r="AK102">
        <v>13.31</v>
      </c>
      <c r="AL102">
        <v>24.4</v>
      </c>
      <c r="AM102">
        <v>28.84</v>
      </c>
      <c r="AO102" s="1"/>
      <c r="AP102" s="1"/>
      <c r="AQ102" t="s">
        <v>215</v>
      </c>
      <c r="AR102" t="s">
        <v>215</v>
      </c>
      <c r="AT102">
        <v>0.21634243483055701</v>
      </c>
      <c r="AU102" t="s">
        <v>1135</v>
      </c>
      <c r="AV102">
        <v>5.72</v>
      </c>
      <c r="AW102">
        <v>0.46212662197649501</v>
      </c>
      <c r="AX102">
        <v>0</v>
      </c>
      <c r="AY102" t="s">
        <v>56</v>
      </c>
      <c r="AZ102" t="s">
        <v>54</v>
      </c>
      <c r="BA102" t="s">
        <v>583</v>
      </c>
      <c r="BK102" t="s">
        <v>54</v>
      </c>
    </row>
    <row r="103" spans="1:63" hidden="1" x14ac:dyDescent="0.3">
      <c r="A103" t="s">
        <v>851</v>
      </c>
      <c r="B103" t="s">
        <v>98</v>
      </c>
      <c r="C103">
        <v>73047</v>
      </c>
      <c r="D103">
        <v>0</v>
      </c>
      <c r="E103" t="s">
        <v>57</v>
      </c>
      <c r="F103">
        <v>102</v>
      </c>
      <c r="G103" t="s">
        <v>53</v>
      </c>
      <c r="H103">
        <v>1</v>
      </c>
      <c r="J103">
        <v>102</v>
      </c>
      <c r="K103" t="s">
        <v>59</v>
      </c>
      <c r="L103">
        <v>5</v>
      </c>
      <c r="M103" t="s">
        <v>852</v>
      </c>
      <c r="N103" t="s">
        <v>300</v>
      </c>
      <c r="O103" t="s">
        <v>300</v>
      </c>
      <c r="P103" t="s">
        <v>1136</v>
      </c>
      <c r="Q103">
        <v>-84.440824899999996</v>
      </c>
      <c r="R103">
        <v>45.651285999999999</v>
      </c>
      <c r="AB103">
        <v>123.81</v>
      </c>
      <c r="AC103">
        <v>30.952500000000001</v>
      </c>
      <c r="AD103">
        <v>38.69</v>
      </c>
      <c r="AE103">
        <v>208.94</v>
      </c>
      <c r="AF103">
        <v>245.78</v>
      </c>
      <c r="AG103">
        <v>61.445</v>
      </c>
      <c r="AH103">
        <v>191.01</v>
      </c>
      <c r="AI103">
        <v>300.55</v>
      </c>
      <c r="AJ103">
        <v>0</v>
      </c>
      <c r="AK103">
        <v>0</v>
      </c>
      <c r="AL103">
        <v>0</v>
      </c>
      <c r="AM103">
        <v>0</v>
      </c>
      <c r="AO103" s="1"/>
      <c r="AP103" s="1"/>
      <c r="AQ103" t="s">
        <v>215</v>
      </c>
      <c r="AR103" t="s">
        <v>215</v>
      </c>
      <c r="AT103">
        <v>78.837788139955805</v>
      </c>
      <c r="AU103" t="s">
        <v>1137</v>
      </c>
      <c r="AW103">
        <v>82.235789908096194</v>
      </c>
      <c r="AX103">
        <v>0</v>
      </c>
      <c r="AY103" t="s">
        <v>56</v>
      </c>
      <c r="AZ103" t="s">
        <v>54</v>
      </c>
      <c r="BA103" t="s">
        <v>583</v>
      </c>
      <c r="BD103" t="s">
        <v>432</v>
      </c>
      <c r="BE103" t="s">
        <v>298</v>
      </c>
      <c r="BH103" t="s">
        <v>1138</v>
      </c>
      <c r="BJ103" t="s">
        <v>54</v>
      </c>
      <c r="BK103" t="s">
        <v>54</v>
      </c>
    </row>
    <row r="104" spans="1:63" hidden="1" x14ac:dyDescent="0.3">
      <c r="A104" t="s">
        <v>906</v>
      </c>
      <c r="B104" t="s">
        <v>98</v>
      </c>
      <c r="C104">
        <v>73404</v>
      </c>
      <c r="D104">
        <v>1</v>
      </c>
      <c r="E104" t="s">
        <v>57</v>
      </c>
      <c r="F104">
        <v>102</v>
      </c>
      <c r="G104" t="s">
        <v>52</v>
      </c>
      <c r="H104">
        <v>10</v>
      </c>
      <c r="J104">
        <v>102</v>
      </c>
      <c r="K104" t="s">
        <v>60</v>
      </c>
      <c r="L104">
        <v>25</v>
      </c>
      <c r="M104" t="s">
        <v>907</v>
      </c>
      <c r="N104" t="s">
        <v>303</v>
      </c>
      <c r="O104" t="s">
        <v>303</v>
      </c>
      <c r="P104" t="s">
        <v>1139</v>
      </c>
      <c r="Q104">
        <v>-84.241833</v>
      </c>
      <c r="R104">
        <v>45.354315999999997</v>
      </c>
      <c r="X104">
        <v>105.91</v>
      </c>
      <c r="Y104">
        <v>52.954999999999998</v>
      </c>
      <c r="Z104">
        <v>47.08</v>
      </c>
      <c r="AA104">
        <v>164.74</v>
      </c>
      <c r="AB104">
        <v>123.47</v>
      </c>
      <c r="AC104">
        <v>61.734999999999999</v>
      </c>
      <c r="AD104">
        <v>60.73</v>
      </c>
      <c r="AE104">
        <v>186.21</v>
      </c>
      <c r="AF104">
        <v>82.72</v>
      </c>
      <c r="AG104">
        <v>41.36</v>
      </c>
      <c r="AH104">
        <v>49.25</v>
      </c>
      <c r="AI104">
        <v>116.2</v>
      </c>
      <c r="AJ104">
        <v>90.32</v>
      </c>
      <c r="AK104">
        <v>45.16</v>
      </c>
      <c r="AL104">
        <v>83.87</v>
      </c>
      <c r="AM104">
        <v>96.77</v>
      </c>
      <c r="AO104" s="1"/>
      <c r="AP104" s="1"/>
      <c r="AQ104" t="s">
        <v>215</v>
      </c>
      <c r="AR104" t="s">
        <v>215</v>
      </c>
      <c r="AT104">
        <v>0</v>
      </c>
      <c r="AU104" t="s">
        <v>1140</v>
      </c>
      <c r="AV104">
        <v>1.97</v>
      </c>
      <c r="AW104">
        <v>0</v>
      </c>
      <c r="AX104">
        <v>0</v>
      </c>
      <c r="AY104" t="s">
        <v>56</v>
      </c>
      <c r="AZ104" t="s">
        <v>54</v>
      </c>
      <c r="BA104" t="s">
        <v>583</v>
      </c>
      <c r="BK104" t="s">
        <v>54</v>
      </c>
    </row>
    <row r="105" spans="1:63" hidden="1" x14ac:dyDescent="0.3">
      <c r="A105" t="s">
        <v>809</v>
      </c>
      <c r="B105" t="s">
        <v>98</v>
      </c>
      <c r="C105">
        <v>73190</v>
      </c>
      <c r="D105">
        <v>0</v>
      </c>
      <c r="E105" t="s">
        <v>62</v>
      </c>
      <c r="F105">
        <v>102</v>
      </c>
      <c r="G105" t="s">
        <v>52</v>
      </c>
      <c r="H105">
        <v>22</v>
      </c>
      <c r="J105">
        <v>102</v>
      </c>
      <c r="K105" t="s">
        <v>53</v>
      </c>
      <c r="L105">
        <v>130</v>
      </c>
      <c r="M105" t="s">
        <v>755</v>
      </c>
      <c r="N105" t="s">
        <v>300</v>
      </c>
      <c r="O105" t="s">
        <v>300</v>
      </c>
      <c r="P105" t="s">
        <v>1141</v>
      </c>
      <c r="Q105">
        <v>-83.835275999999993</v>
      </c>
      <c r="R105">
        <v>45.422106999999997</v>
      </c>
      <c r="X105">
        <v>45.53</v>
      </c>
      <c r="Y105">
        <v>11.3825</v>
      </c>
      <c r="Z105">
        <v>44.2</v>
      </c>
      <c r="AA105">
        <v>46.86</v>
      </c>
      <c r="AB105">
        <v>49.44</v>
      </c>
      <c r="AC105">
        <v>12.36</v>
      </c>
      <c r="AD105">
        <v>48.09</v>
      </c>
      <c r="AE105">
        <v>50.78</v>
      </c>
      <c r="AF105">
        <v>50.53</v>
      </c>
      <c r="AG105">
        <v>12.6325</v>
      </c>
      <c r="AH105">
        <v>50.53</v>
      </c>
      <c r="AI105">
        <v>50.53</v>
      </c>
      <c r="AJ105">
        <v>54.42</v>
      </c>
      <c r="AK105">
        <v>13.605</v>
      </c>
      <c r="AL105">
        <v>50.53</v>
      </c>
      <c r="AM105">
        <v>58.3</v>
      </c>
      <c r="AO105" s="1"/>
      <c r="AP105" s="1"/>
      <c r="AQ105" t="s">
        <v>215</v>
      </c>
      <c r="AR105" t="s">
        <v>215</v>
      </c>
      <c r="AT105">
        <v>0.28632966358205802</v>
      </c>
      <c r="AU105" t="s">
        <v>1142</v>
      </c>
      <c r="AV105">
        <v>3.65</v>
      </c>
      <c r="AW105">
        <v>1.16132822260261</v>
      </c>
      <c r="AX105">
        <v>0</v>
      </c>
      <c r="AY105" t="s">
        <v>56</v>
      </c>
      <c r="AZ105" t="s">
        <v>54</v>
      </c>
      <c r="BA105" t="s">
        <v>583</v>
      </c>
      <c r="BD105" t="s">
        <v>434</v>
      </c>
      <c r="BE105" t="s">
        <v>303</v>
      </c>
      <c r="BF105" t="s">
        <v>60</v>
      </c>
      <c r="BI105" t="s">
        <v>54</v>
      </c>
      <c r="BK105" t="s">
        <v>54</v>
      </c>
    </row>
    <row r="106" spans="1:63" hidden="1" x14ac:dyDescent="0.3">
      <c r="A106" t="s">
        <v>712</v>
      </c>
      <c r="B106" t="s">
        <v>98</v>
      </c>
      <c r="C106">
        <v>99031</v>
      </c>
      <c r="D106">
        <v>91</v>
      </c>
      <c r="E106" t="s">
        <v>63</v>
      </c>
      <c r="F106">
        <v>102</v>
      </c>
      <c r="G106" t="s">
        <v>53</v>
      </c>
      <c r="H106">
        <v>8</v>
      </c>
      <c r="J106">
        <v>102</v>
      </c>
      <c r="K106" t="s">
        <v>52</v>
      </c>
      <c r="L106">
        <v>10</v>
      </c>
      <c r="M106" t="s">
        <v>713</v>
      </c>
      <c r="N106" t="s">
        <v>300</v>
      </c>
      <c r="O106" t="s">
        <v>300</v>
      </c>
      <c r="P106" t="s">
        <v>1143</v>
      </c>
      <c r="Q106">
        <v>-84.479725000000002</v>
      </c>
      <c r="R106">
        <v>45.629212000000003</v>
      </c>
      <c r="S106">
        <v>2</v>
      </c>
      <c r="X106">
        <v>55.19</v>
      </c>
      <c r="Y106">
        <v>13.797499999999999</v>
      </c>
      <c r="Z106">
        <v>32.369999999999997</v>
      </c>
      <c r="AA106">
        <v>78.010000000000005</v>
      </c>
      <c r="AB106">
        <v>57.47</v>
      </c>
      <c r="AC106">
        <v>14.3675</v>
      </c>
      <c r="AD106">
        <v>22.61</v>
      </c>
      <c r="AE106">
        <v>92.33</v>
      </c>
      <c r="AF106">
        <v>60.68</v>
      </c>
      <c r="AG106">
        <v>15.17</v>
      </c>
      <c r="AH106">
        <v>31.37</v>
      </c>
      <c r="AI106">
        <v>89.98</v>
      </c>
      <c r="AJ106">
        <v>87.3</v>
      </c>
      <c r="AK106">
        <v>21.824999999999999</v>
      </c>
      <c r="AL106">
        <v>52.42</v>
      </c>
      <c r="AM106">
        <v>122.18</v>
      </c>
      <c r="AO106" s="1"/>
      <c r="AP106" s="1"/>
      <c r="AQ106" t="s">
        <v>215</v>
      </c>
      <c r="AR106" t="s">
        <v>215</v>
      </c>
      <c r="AT106">
        <v>2.115552195961</v>
      </c>
      <c r="AU106" t="s">
        <v>1144</v>
      </c>
      <c r="AV106">
        <v>7.06</v>
      </c>
      <c r="AW106">
        <v>3.24035592377186</v>
      </c>
      <c r="AX106">
        <v>0</v>
      </c>
      <c r="AY106" t="s">
        <v>56</v>
      </c>
      <c r="AZ106" t="s">
        <v>54</v>
      </c>
      <c r="BA106" t="s">
        <v>583</v>
      </c>
      <c r="BC106">
        <v>2</v>
      </c>
      <c r="BD106" t="s">
        <v>212</v>
      </c>
      <c r="BE106" t="s">
        <v>299</v>
      </c>
      <c r="BK106" t="s">
        <v>54</v>
      </c>
    </row>
    <row r="107" spans="1:63" hidden="1" x14ac:dyDescent="0.3">
      <c r="A107" t="s">
        <v>627</v>
      </c>
      <c r="B107" t="s">
        <v>98</v>
      </c>
      <c r="C107">
        <v>99031</v>
      </c>
      <c r="D107">
        <v>92</v>
      </c>
      <c r="E107" t="s">
        <v>57</v>
      </c>
      <c r="F107">
        <v>102</v>
      </c>
      <c r="G107" t="s">
        <v>52</v>
      </c>
      <c r="H107">
        <v>18</v>
      </c>
      <c r="J107">
        <v>102</v>
      </c>
      <c r="K107" t="s">
        <v>53</v>
      </c>
      <c r="L107">
        <v>105</v>
      </c>
      <c r="M107" t="s">
        <v>628</v>
      </c>
      <c r="N107" t="s">
        <v>300</v>
      </c>
      <c r="O107" t="s">
        <v>300</v>
      </c>
      <c r="P107" t="s">
        <v>1145</v>
      </c>
      <c r="Q107">
        <v>-83.827251000000004</v>
      </c>
      <c r="R107">
        <v>45.412317000000002</v>
      </c>
      <c r="S107">
        <v>4</v>
      </c>
      <c r="X107">
        <v>128.53</v>
      </c>
      <c r="Y107">
        <v>32.1325</v>
      </c>
      <c r="Z107">
        <v>88.07</v>
      </c>
      <c r="AA107">
        <v>168.98</v>
      </c>
      <c r="AB107">
        <v>154.69</v>
      </c>
      <c r="AC107">
        <v>38.672499999999999</v>
      </c>
      <c r="AD107">
        <v>115.96</v>
      </c>
      <c r="AE107">
        <v>193.43</v>
      </c>
      <c r="AF107">
        <v>158.63999999999999</v>
      </c>
      <c r="AG107">
        <v>39.659999999999997</v>
      </c>
      <c r="AH107">
        <v>122.51</v>
      </c>
      <c r="AI107">
        <v>194.78</v>
      </c>
      <c r="AJ107">
        <v>158.03</v>
      </c>
      <c r="AK107">
        <v>39.5075</v>
      </c>
      <c r="AL107">
        <v>117.87</v>
      </c>
      <c r="AM107">
        <v>198.2</v>
      </c>
      <c r="AO107" s="1"/>
      <c r="AP107" s="1"/>
      <c r="AQ107" t="s">
        <v>215</v>
      </c>
      <c r="AR107" t="s">
        <v>215</v>
      </c>
      <c r="AT107">
        <v>1.02171072700523E-2</v>
      </c>
      <c r="AU107" t="s">
        <v>1146</v>
      </c>
      <c r="AV107">
        <v>13.18</v>
      </c>
      <c r="AW107">
        <v>2.8186213225126301E-2</v>
      </c>
      <c r="AX107">
        <v>0</v>
      </c>
      <c r="AY107" t="s">
        <v>56</v>
      </c>
      <c r="AZ107" t="s">
        <v>54</v>
      </c>
      <c r="BA107" t="s">
        <v>583</v>
      </c>
      <c r="BC107">
        <v>4</v>
      </c>
      <c r="BD107" t="s">
        <v>434</v>
      </c>
      <c r="BE107" t="s">
        <v>303</v>
      </c>
      <c r="BF107" t="s">
        <v>60</v>
      </c>
      <c r="BI107" t="s">
        <v>54</v>
      </c>
      <c r="BK107" t="s">
        <v>54</v>
      </c>
    </row>
    <row r="108" spans="1:63" hidden="1" x14ac:dyDescent="0.3">
      <c r="A108" t="s">
        <v>793</v>
      </c>
      <c r="B108" t="s">
        <v>98</v>
      </c>
      <c r="C108">
        <v>73260</v>
      </c>
      <c r="D108">
        <v>0</v>
      </c>
      <c r="E108" t="s">
        <v>63</v>
      </c>
      <c r="F108">
        <v>102</v>
      </c>
      <c r="G108" t="s">
        <v>53</v>
      </c>
      <c r="H108">
        <v>11</v>
      </c>
      <c r="J108">
        <v>102</v>
      </c>
      <c r="K108" t="s">
        <v>52</v>
      </c>
      <c r="L108">
        <v>175</v>
      </c>
      <c r="M108" t="s">
        <v>899</v>
      </c>
      <c r="N108" t="s">
        <v>323</v>
      </c>
      <c r="O108" t="s">
        <v>323</v>
      </c>
      <c r="P108" t="s">
        <v>1147</v>
      </c>
      <c r="Q108">
        <v>-84.486233999999996</v>
      </c>
      <c r="R108">
        <v>45.629578000000002</v>
      </c>
      <c r="X108">
        <v>23.31</v>
      </c>
      <c r="Y108">
        <v>11.654999999999999</v>
      </c>
      <c r="Z108">
        <v>21.34</v>
      </c>
      <c r="AA108">
        <v>25.28</v>
      </c>
      <c r="AB108">
        <v>22.71</v>
      </c>
      <c r="AC108">
        <v>11.355</v>
      </c>
      <c r="AD108">
        <v>20.82</v>
      </c>
      <c r="AE108">
        <v>24.6</v>
      </c>
      <c r="AF108">
        <v>26.9</v>
      </c>
      <c r="AG108">
        <v>13.45</v>
      </c>
      <c r="AH108">
        <v>24.98</v>
      </c>
      <c r="AI108">
        <v>28.82</v>
      </c>
      <c r="AJ108">
        <v>23.07</v>
      </c>
      <c r="AK108">
        <v>11.535</v>
      </c>
      <c r="AL108">
        <v>21.15</v>
      </c>
      <c r="AM108">
        <v>24.99</v>
      </c>
      <c r="AO108" s="1"/>
      <c r="AP108" s="1"/>
      <c r="AQ108" t="s">
        <v>215</v>
      </c>
      <c r="AR108" t="s">
        <v>215</v>
      </c>
      <c r="AT108">
        <v>0.78089326222079003</v>
      </c>
      <c r="AU108" t="s">
        <v>1148</v>
      </c>
      <c r="AV108">
        <v>8.0399999999999991</v>
      </c>
      <c r="AW108">
        <v>2.8700683172792201</v>
      </c>
      <c r="AX108">
        <v>0</v>
      </c>
      <c r="AY108" t="s">
        <v>56</v>
      </c>
      <c r="AZ108" t="s">
        <v>54</v>
      </c>
      <c r="BA108" t="s">
        <v>583</v>
      </c>
      <c r="BK108" t="s">
        <v>54</v>
      </c>
    </row>
    <row r="109" spans="1:63" hidden="1" x14ac:dyDescent="0.3">
      <c r="A109" t="s">
        <v>655</v>
      </c>
      <c r="B109" t="s">
        <v>98</v>
      </c>
      <c r="C109">
        <v>73262</v>
      </c>
      <c r="D109">
        <v>0</v>
      </c>
      <c r="E109" t="s">
        <v>63</v>
      </c>
      <c r="F109">
        <v>102</v>
      </c>
      <c r="G109" t="s">
        <v>53</v>
      </c>
      <c r="H109">
        <v>29</v>
      </c>
      <c r="J109">
        <v>102</v>
      </c>
      <c r="K109" t="s">
        <v>52</v>
      </c>
      <c r="L109">
        <v>200</v>
      </c>
      <c r="M109" t="s">
        <v>656</v>
      </c>
      <c r="N109" t="s">
        <v>300</v>
      </c>
      <c r="O109" t="s">
        <v>300</v>
      </c>
      <c r="P109" t="s">
        <v>1149</v>
      </c>
      <c r="Q109">
        <v>-84.097240999999997</v>
      </c>
      <c r="R109">
        <v>45.494593000000002</v>
      </c>
      <c r="S109">
        <v>15</v>
      </c>
      <c r="T109">
        <v>1</v>
      </c>
      <c r="U109" t="s">
        <v>313</v>
      </c>
      <c r="V109">
        <v>7</v>
      </c>
      <c r="W109">
        <v>0.63636363636363635</v>
      </c>
      <c r="AB109">
        <v>96.23</v>
      </c>
      <c r="AC109">
        <v>24.057500000000001</v>
      </c>
      <c r="AD109">
        <v>-6.47</v>
      </c>
      <c r="AE109">
        <v>198.93</v>
      </c>
      <c r="AF109">
        <v>241.9</v>
      </c>
      <c r="AG109">
        <v>60.475000000000001</v>
      </c>
      <c r="AH109">
        <v>199.97</v>
      </c>
      <c r="AI109">
        <v>283.83999999999997</v>
      </c>
      <c r="AJ109">
        <v>206.44</v>
      </c>
      <c r="AK109">
        <v>51.61</v>
      </c>
      <c r="AL109">
        <v>173.62</v>
      </c>
      <c r="AM109">
        <v>239.25</v>
      </c>
      <c r="AO109" s="1"/>
      <c r="AP109" s="1"/>
      <c r="AQ109" t="s">
        <v>215</v>
      </c>
      <c r="AR109" t="s">
        <v>215</v>
      </c>
      <c r="AT109">
        <v>25.3058426313195</v>
      </c>
      <c r="AU109" t="s">
        <v>1150</v>
      </c>
      <c r="AW109">
        <v>25.452702557668101</v>
      </c>
      <c r="AX109">
        <v>0</v>
      </c>
      <c r="AY109" t="s">
        <v>56</v>
      </c>
      <c r="AZ109" t="s">
        <v>54</v>
      </c>
      <c r="BA109" t="s">
        <v>583</v>
      </c>
      <c r="BC109">
        <v>15</v>
      </c>
      <c r="BD109" t="s">
        <v>212</v>
      </c>
      <c r="BE109" t="s">
        <v>299</v>
      </c>
      <c r="BK109" t="s">
        <v>54</v>
      </c>
    </row>
    <row r="110" spans="1:63" hidden="1" x14ac:dyDescent="0.3">
      <c r="A110" t="s">
        <v>794</v>
      </c>
      <c r="B110" t="s">
        <v>98</v>
      </c>
      <c r="C110">
        <v>73264</v>
      </c>
      <c r="D110">
        <v>0</v>
      </c>
      <c r="E110" t="s">
        <v>62</v>
      </c>
      <c r="F110">
        <v>102</v>
      </c>
      <c r="G110" t="s">
        <v>53</v>
      </c>
      <c r="H110">
        <v>8</v>
      </c>
      <c r="J110">
        <v>102</v>
      </c>
      <c r="K110" t="s">
        <v>58</v>
      </c>
      <c r="L110">
        <v>185</v>
      </c>
      <c r="M110" t="s">
        <v>859</v>
      </c>
      <c r="N110" t="s">
        <v>323</v>
      </c>
      <c r="O110" t="s">
        <v>323</v>
      </c>
      <c r="P110" t="s">
        <v>1151</v>
      </c>
      <c r="Q110">
        <v>-84.473716999999994</v>
      </c>
      <c r="R110">
        <v>45.596049000000001</v>
      </c>
      <c r="X110">
        <v>25.14</v>
      </c>
      <c r="Y110">
        <v>12.57</v>
      </c>
      <c r="Z110">
        <v>23.05</v>
      </c>
      <c r="AA110">
        <v>27.24</v>
      </c>
      <c r="AB110">
        <v>95.54</v>
      </c>
      <c r="AC110">
        <v>47.77</v>
      </c>
      <c r="AD110">
        <v>43.99</v>
      </c>
      <c r="AE110">
        <v>147.09</v>
      </c>
      <c r="AF110">
        <v>164.28</v>
      </c>
      <c r="AG110">
        <v>82.14</v>
      </c>
      <c r="AH110">
        <v>114.6</v>
      </c>
      <c r="AI110">
        <v>213.97</v>
      </c>
      <c r="AJ110">
        <v>78.72</v>
      </c>
      <c r="AK110">
        <v>39.36</v>
      </c>
      <c r="AL110">
        <v>58.91</v>
      </c>
      <c r="AM110">
        <v>98.52</v>
      </c>
      <c r="AO110" s="1"/>
      <c r="AP110" s="1"/>
      <c r="AQ110" t="s">
        <v>215</v>
      </c>
      <c r="AR110" t="s">
        <v>215</v>
      </c>
      <c r="AT110">
        <v>0.31016287191677999</v>
      </c>
      <c r="AU110" t="s">
        <v>1152</v>
      </c>
      <c r="AV110">
        <v>14.2</v>
      </c>
      <c r="AW110">
        <v>0.78385861963033698</v>
      </c>
      <c r="AX110">
        <v>0</v>
      </c>
      <c r="AY110" t="s">
        <v>56</v>
      </c>
      <c r="AZ110" t="s">
        <v>54</v>
      </c>
      <c r="BA110" t="s">
        <v>583</v>
      </c>
      <c r="BK110" t="s">
        <v>54</v>
      </c>
    </row>
    <row r="111" spans="1:63" hidden="1" x14ac:dyDescent="0.3">
      <c r="A111" t="s">
        <v>595</v>
      </c>
      <c r="B111" t="s">
        <v>98</v>
      </c>
      <c r="C111">
        <v>73289</v>
      </c>
      <c r="D111">
        <v>0</v>
      </c>
      <c r="E111" t="s">
        <v>63</v>
      </c>
      <c r="F111">
        <v>102</v>
      </c>
      <c r="G111" t="s">
        <v>60</v>
      </c>
      <c r="H111">
        <v>19</v>
      </c>
      <c r="J111">
        <v>102</v>
      </c>
      <c r="K111" t="s">
        <v>53</v>
      </c>
      <c r="L111">
        <v>30</v>
      </c>
      <c r="M111" t="s">
        <v>596</v>
      </c>
      <c r="N111" t="s">
        <v>300</v>
      </c>
      <c r="O111" t="s">
        <v>300</v>
      </c>
      <c r="P111" t="s">
        <v>1153</v>
      </c>
      <c r="Q111">
        <v>-83.440226999999993</v>
      </c>
      <c r="R111">
        <v>45.137020999999997</v>
      </c>
      <c r="S111">
        <v>25</v>
      </c>
      <c r="T111">
        <v>1</v>
      </c>
      <c r="U111" t="s">
        <v>316</v>
      </c>
      <c r="V111">
        <v>12</v>
      </c>
      <c r="W111">
        <v>0.52</v>
      </c>
      <c r="X111">
        <v>73.67</v>
      </c>
      <c r="Y111">
        <v>18.4175</v>
      </c>
      <c r="Z111">
        <v>73.3</v>
      </c>
      <c r="AA111">
        <v>74.03</v>
      </c>
      <c r="AB111">
        <v>55.53</v>
      </c>
      <c r="AC111">
        <v>13.8825</v>
      </c>
      <c r="AD111">
        <v>44.54</v>
      </c>
      <c r="AE111">
        <v>66.53</v>
      </c>
      <c r="AF111">
        <v>46.3</v>
      </c>
      <c r="AG111">
        <v>11.574999999999999</v>
      </c>
      <c r="AH111">
        <v>39.17</v>
      </c>
      <c r="AI111">
        <v>53.42</v>
      </c>
      <c r="AJ111">
        <v>55.85</v>
      </c>
      <c r="AK111">
        <v>13.9625</v>
      </c>
      <c r="AL111">
        <v>39.590000000000003</v>
      </c>
      <c r="AM111">
        <v>72.11</v>
      </c>
      <c r="AO111" s="1"/>
      <c r="AP111" s="1"/>
      <c r="AQ111" t="s">
        <v>215</v>
      </c>
      <c r="AR111" t="s">
        <v>215</v>
      </c>
      <c r="AT111">
        <v>4.48169197228935</v>
      </c>
      <c r="AU111" t="s">
        <v>1154</v>
      </c>
      <c r="AV111">
        <v>7.32</v>
      </c>
      <c r="AW111">
        <v>4.8951971828937504</v>
      </c>
      <c r="AX111">
        <v>0</v>
      </c>
      <c r="AY111" t="s">
        <v>56</v>
      </c>
      <c r="AZ111" t="s">
        <v>54</v>
      </c>
      <c r="BA111" t="s">
        <v>583</v>
      </c>
      <c r="BC111">
        <v>25</v>
      </c>
      <c r="BD111" t="s">
        <v>435</v>
      </c>
      <c r="BE111" t="s">
        <v>301</v>
      </c>
      <c r="BF111" t="s">
        <v>58</v>
      </c>
      <c r="BG111" t="s">
        <v>54</v>
      </c>
      <c r="BK111" t="s">
        <v>54</v>
      </c>
    </row>
    <row r="112" spans="1:63" hidden="1" x14ac:dyDescent="0.3">
      <c r="A112" t="s">
        <v>609</v>
      </c>
      <c r="B112" t="s">
        <v>98</v>
      </c>
      <c r="C112">
        <v>99031</v>
      </c>
      <c r="D112">
        <v>104</v>
      </c>
      <c r="E112" t="s">
        <v>57</v>
      </c>
      <c r="F112">
        <v>102</v>
      </c>
      <c r="G112" t="s">
        <v>60</v>
      </c>
      <c r="H112">
        <v>9</v>
      </c>
      <c r="J112">
        <v>102</v>
      </c>
      <c r="K112" t="s">
        <v>53</v>
      </c>
      <c r="L112">
        <v>180</v>
      </c>
      <c r="M112" t="s">
        <v>610</v>
      </c>
      <c r="N112" t="s">
        <v>300</v>
      </c>
      <c r="O112" t="s">
        <v>300</v>
      </c>
      <c r="P112" t="s">
        <v>1155</v>
      </c>
      <c r="Q112">
        <v>-83.699364000000003</v>
      </c>
      <c r="R112">
        <v>45.266696000000003</v>
      </c>
      <c r="S112">
        <v>2</v>
      </c>
      <c r="X112">
        <v>94.16</v>
      </c>
      <c r="Y112">
        <v>23.54</v>
      </c>
      <c r="Z112">
        <v>66.790000000000006</v>
      </c>
      <c r="AA112">
        <v>121.53</v>
      </c>
      <c r="AB112">
        <v>126.07</v>
      </c>
      <c r="AC112">
        <v>31.517499999999998</v>
      </c>
      <c r="AD112">
        <v>58.28</v>
      </c>
      <c r="AE112">
        <v>193.86</v>
      </c>
      <c r="AF112">
        <v>100.35</v>
      </c>
      <c r="AG112">
        <v>25.087499999999999</v>
      </c>
      <c r="AH112">
        <v>66.989999999999995</v>
      </c>
      <c r="AI112">
        <v>133.71</v>
      </c>
      <c r="AJ112">
        <v>106.24</v>
      </c>
      <c r="AK112">
        <v>26.56</v>
      </c>
      <c r="AL112">
        <v>56.47</v>
      </c>
      <c r="AM112">
        <v>156.02000000000001</v>
      </c>
      <c r="AO112" s="1"/>
      <c r="AP112" s="1"/>
      <c r="AQ112" t="s">
        <v>215</v>
      </c>
      <c r="AR112" t="s">
        <v>215</v>
      </c>
      <c r="AT112">
        <v>0.186346752847348</v>
      </c>
      <c r="AU112" t="s">
        <v>1156</v>
      </c>
      <c r="AV112">
        <v>10.53</v>
      </c>
      <c r="AW112">
        <v>0.31945156492292898</v>
      </c>
      <c r="AX112">
        <v>0</v>
      </c>
      <c r="AY112" t="s">
        <v>56</v>
      </c>
      <c r="AZ112" t="s">
        <v>54</v>
      </c>
      <c r="BA112" t="s">
        <v>583</v>
      </c>
      <c r="BC112">
        <v>2</v>
      </c>
      <c r="BD112" t="s">
        <v>435</v>
      </c>
      <c r="BE112" t="s">
        <v>301</v>
      </c>
      <c r="BF112" t="s">
        <v>58</v>
      </c>
      <c r="BG112" t="s">
        <v>54</v>
      </c>
      <c r="BK112" t="s">
        <v>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E75F-951E-4393-9397-796FAD677207}">
  <sheetPr codeName="Sheet30"/>
  <dimension ref="A1:B1"/>
  <sheetViews>
    <sheetView workbookViewId="0">
      <selection activeCell="A2" sqref="A2:A10"/>
    </sheetView>
  </sheetViews>
  <sheetFormatPr defaultRowHeight="14.4" x14ac:dyDescent="0.3"/>
  <cols>
    <col min="1" max="1" width="16.21875" bestFit="1" customWidth="1"/>
    <col min="2" max="2" width="22.5546875" bestFit="1" customWidth="1"/>
  </cols>
  <sheetData>
    <row r="1" spans="1:2" x14ac:dyDescent="0.3">
      <c r="A1" t="s">
        <v>379</v>
      </c>
      <c r="B1" t="s">
        <v>43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EA531-FD33-42F6-A026-C65E1967AD0B}">
  <sheetPr codeName="Sheet28">
    <pageSetUpPr fitToPage="1"/>
  </sheetPr>
  <dimension ref="A4:M233"/>
  <sheetViews>
    <sheetView zoomScaleNormal="100" workbookViewId="0">
      <selection activeCell="E9" sqref="E9"/>
    </sheetView>
  </sheetViews>
  <sheetFormatPr defaultRowHeight="14.4" x14ac:dyDescent="0.3"/>
  <cols>
    <col min="1" max="1" width="10.21875" style="9" bestFit="1" customWidth="1"/>
    <col min="2" max="2" width="9.5546875" style="9" customWidth="1"/>
    <col min="3" max="3" width="7.6640625" style="7" customWidth="1"/>
    <col min="4" max="4" width="8.6640625" style="7" customWidth="1"/>
    <col min="5" max="5" width="31.77734375" style="7" customWidth="1"/>
    <col min="6" max="6" width="10.109375" customWidth="1"/>
    <col min="7" max="7" width="50.5546875" style="7" customWidth="1"/>
    <col min="8" max="8" width="9.109375" customWidth="1"/>
    <col min="9" max="9" width="10.88671875" style="7" customWidth="1"/>
    <col min="10" max="10" width="10.6640625" style="7" customWidth="1"/>
    <col min="11" max="11" width="9.77734375" style="7" customWidth="1"/>
    <col min="12" max="12" width="11" style="30" customWidth="1"/>
    <col min="13" max="13" width="9.5546875" style="7" customWidth="1"/>
  </cols>
  <sheetData>
    <row r="4" spans="1:13" s="4" customFormat="1" ht="59.4" customHeight="1" x14ac:dyDescent="0.3">
      <c r="A4" s="4" t="s">
        <v>272</v>
      </c>
      <c r="B4" s="4" t="s">
        <v>273</v>
      </c>
      <c r="C4" s="4" t="s">
        <v>382</v>
      </c>
      <c r="D4" s="4" t="s">
        <v>5</v>
      </c>
      <c r="E4" s="4" t="s">
        <v>10</v>
      </c>
      <c r="F4" s="4" t="s">
        <v>13</v>
      </c>
      <c r="G4" s="4" t="s">
        <v>11</v>
      </c>
      <c r="H4" s="4" t="s">
        <v>294</v>
      </c>
      <c r="I4" s="4" t="s">
        <v>279</v>
      </c>
      <c r="J4" s="27" t="s">
        <v>280</v>
      </c>
      <c r="K4" s="4" t="s">
        <v>39</v>
      </c>
    </row>
    <row r="5" spans="1:13" x14ac:dyDescent="0.3">
      <c r="A5" s="9">
        <v>73613</v>
      </c>
      <c r="B5" s="9">
        <v>0</v>
      </c>
      <c r="C5" s="7" t="s">
        <v>1967</v>
      </c>
      <c r="D5" s="7" t="s">
        <v>60</v>
      </c>
      <c r="E5" t="s">
        <v>2051</v>
      </c>
      <c r="F5" s="7" t="s">
        <v>297</v>
      </c>
      <c r="G5" t="s">
        <v>2950</v>
      </c>
      <c r="H5" s="7"/>
      <c r="J5" s="30"/>
      <c r="L5"/>
      <c r="M5"/>
    </row>
    <row r="6" spans="1:13" x14ac:dyDescent="0.3">
      <c r="A6" s="9">
        <v>71231</v>
      </c>
      <c r="B6" s="9">
        <v>0</v>
      </c>
      <c r="C6" s="7" t="s">
        <v>1967</v>
      </c>
      <c r="D6" s="7" t="s">
        <v>52</v>
      </c>
      <c r="E6" t="s">
        <v>2019</v>
      </c>
      <c r="F6" s="7" t="s">
        <v>323</v>
      </c>
      <c r="G6" t="s">
        <v>2945</v>
      </c>
      <c r="H6" s="7">
        <v>5.7</v>
      </c>
      <c r="J6" s="30"/>
      <c r="L6"/>
      <c r="M6"/>
    </row>
    <row r="7" spans="1:13" x14ac:dyDescent="0.3">
      <c r="A7" s="9">
        <v>73607</v>
      </c>
      <c r="B7" s="9">
        <v>0</v>
      </c>
      <c r="C7" s="7" t="s">
        <v>1967</v>
      </c>
      <c r="D7" s="7" t="s">
        <v>60</v>
      </c>
      <c r="E7" t="s">
        <v>2048</v>
      </c>
      <c r="F7" s="7" t="s">
        <v>297</v>
      </c>
      <c r="G7" t="s">
        <v>2949</v>
      </c>
      <c r="H7" s="7"/>
      <c r="J7" s="30"/>
      <c r="L7"/>
      <c r="M7"/>
    </row>
    <row r="8" spans="1:13" x14ac:dyDescent="0.3">
      <c r="A8" s="9">
        <v>71198</v>
      </c>
      <c r="B8" s="9">
        <v>0</v>
      </c>
      <c r="C8" s="7" t="s">
        <v>1967</v>
      </c>
      <c r="D8" s="7" t="s">
        <v>52</v>
      </c>
      <c r="E8" t="s">
        <v>1989</v>
      </c>
      <c r="F8" s="7" t="s">
        <v>302</v>
      </c>
      <c r="G8" t="s">
        <v>2946</v>
      </c>
      <c r="H8" s="7">
        <v>7.45</v>
      </c>
      <c r="J8" s="30"/>
      <c r="L8"/>
      <c r="M8"/>
    </row>
    <row r="9" spans="1:13" x14ac:dyDescent="0.3">
      <c r="A9" s="9">
        <v>99152</v>
      </c>
      <c r="B9" s="9">
        <v>8</v>
      </c>
      <c r="C9" s="7" t="s">
        <v>1967</v>
      </c>
      <c r="D9" s="7" t="s">
        <v>60</v>
      </c>
      <c r="E9" t="s">
        <v>2074</v>
      </c>
      <c r="F9" s="7" t="s">
        <v>301</v>
      </c>
      <c r="G9" t="s">
        <v>2948</v>
      </c>
      <c r="H9" s="7">
        <v>12.27</v>
      </c>
      <c r="J9" s="30"/>
      <c r="L9"/>
      <c r="M9"/>
    </row>
    <row r="10" spans="1:13" x14ac:dyDescent="0.3">
      <c r="A10" s="9">
        <v>70588</v>
      </c>
      <c r="B10" s="9">
        <v>0</v>
      </c>
      <c r="C10" s="7" t="s">
        <v>1967</v>
      </c>
      <c r="D10" s="7" t="s">
        <v>60</v>
      </c>
      <c r="E10" t="s">
        <v>1978</v>
      </c>
      <c r="F10" s="7" t="s">
        <v>300</v>
      </c>
      <c r="G10" t="s">
        <v>2953</v>
      </c>
      <c r="H10" s="7">
        <v>3.2</v>
      </c>
      <c r="I10" s="7">
        <v>14</v>
      </c>
      <c r="J10" s="30">
        <v>0.75862068965517238</v>
      </c>
      <c r="L10"/>
      <c r="M10"/>
    </row>
    <row r="11" spans="1:13" x14ac:dyDescent="0.3">
      <c r="A11" s="9">
        <v>71199</v>
      </c>
      <c r="B11" s="9">
        <v>0</v>
      </c>
      <c r="C11" s="7" t="s">
        <v>1967</v>
      </c>
      <c r="D11" s="7" t="s">
        <v>52</v>
      </c>
      <c r="E11" t="s">
        <v>1992</v>
      </c>
      <c r="F11" s="7" t="s">
        <v>303</v>
      </c>
      <c r="G11" t="s">
        <v>2951</v>
      </c>
      <c r="H11" s="7">
        <v>26.36</v>
      </c>
      <c r="J11" s="30"/>
      <c r="L11"/>
      <c r="M11"/>
    </row>
    <row r="12" spans="1:13" x14ac:dyDescent="0.3">
      <c r="A12" s="9">
        <v>70518</v>
      </c>
      <c r="B12" s="9">
        <v>0</v>
      </c>
      <c r="C12" s="7" t="s">
        <v>1967</v>
      </c>
      <c r="D12" s="7" t="s">
        <v>60</v>
      </c>
      <c r="E12" t="s">
        <v>1973</v>
      </c>
      <c r="F12" s="7" t="s">
        <v>300</v>
      </c>
      <c r="G12" t="s">
        <v>2952</v>
      </c>
      <c r="H12" s="7">
        <v>20.7</v>
      </c>
      <c r="I12" s="7">
        <v>9</v>
      </c>
      <c r="J12" s="30">
        <v>0.93181818181818177</v>
      </c>
      <c r="L12"/>
      <c r="M12"/>
    </row>
    <row r="13" spans="1:13" x14ac:dyDescent="0.3">
      <c r="A13" s="9">
        <v>99053</v>
      </c>
      <c r="B13" s="9">
        <v>17</v>
      </c>
      <c r="C13" s="7" t="s">
        <v>2079</v>
      </c>
      <c r="D13" s="7" t="s">
        <v>59</v>
      </c>
      <c r="E13" t="s">
        <v>2159</v>
      </c>
      <c r="F13" s="7" t="s">
        <v>298</v>
      </c>
      <c r="G13" t="s">
        <v>2964</v>
      </c>
      <c r="H13" s="7"/>
      <c r="J13" s="30"/>
      <c r="L13"/>
      <c r="M13"/>
    </row>
    <row r="14" spans="1:13" x14ac:dyDescent="0.3">
      <c r="A14" s="9">
        <v>71194</v>
      </c>
      <c r="B14" s="9">
        <v>0</v>
      </c>
      <c r="C14" s="7" t="s">
        <v>2079</v>
      </c>
      <c r="D14" s="7" t="s">
        <v>52</v>
      </c>
      <c r="E14" t="s">
        <v>2129</v>
      </c>
      <c r="F14" s="7" t="s">
        <v>302</v>
      </c>
      <c r="G14" t="s">
        <v>2972</v>
      </c>
      <c r="H14" s="7">
        <v>8.23</v>
      </c>
      <c r="J14" s="30"/>
      <c r="L14"/>
      <c r="M14"/>
    </row>
    <row r="15" spans="1:13" x14ac:dyDescent="0.3">
      <c r="A15" s="9">
        <v>73063</v>
      </c>
      <c r="B15" s="9">
        <v>3</v>
      </c>
      <c r="C15" s="7" t="s">
        <v>2079</v>
      </c>
      <c r="D15" s="7" t="s">
        <v>52</v>
      </c>
      <c r="E15" t="s">
        <v>2131</v>
      </c>
      <c r="F15" s="7" t="s">
        <v>303</v>
      </c>
      <c r="G15" t="s">
        <v>2974</v>
      </c>
      <c r="H15" s="7">
        <v>8.2200000000000006</v>
      </c>
      <c r="J15" s="30"/>
      <c r="L15"/>
      <c r="M15"/>
    </row>
    <row r="16" spans="1:13" x14ac:dyDescent="0.3">
      <c r="A16" s="9">
        <v>99062</v>
      </c>
      <c r="B16" s="9">
        <v>121</v>
      </c>
      <c r="C16" s="7" t="s">
        <v>2079</v>
      </c>
      <c r="D16" s="7" t="s">
        <v>52</v>
      </c>
      <c r="E16" t="s">
        <v>2162</v>
      </c>
      <c r="F16" s="7" t="s">
        <v>300</v>
      </c>
      <c r="G16" t="s">
        <v>2975</v>
      </c>
      <c r="H16" s="7">
        <v>11.69</v>
      </c>
      <c r="I16" s="7">
        <v>22</v>
      </c>
      <c r="J16" s="30">
        <v>0.79</v>
      </c>
      <c r="L16"/>
      <c r="M16"/>
    </row>
    <row r="17" spans="1:13" x14ac:dyDescent="0.3">
      <c r="A17" s="9">
        <v>71183</v>
      </c>
      <c r="B17" s="9">
        <v>0</v>
      </c>
      <c r="C17" s="7" t="s">
        <v>2079</v>
      </c>
      <c r="D17" s="7" t="s">
        <v>52</v>
      </c>
      <c r="E17" t="s">
        <v>2123</v>
      </c>
      <c r="F17" s="7" t="s">
        <v>300</v>
      </c>
      <c r="G17" t="s">
        <v>2976</v>
      </c>
      <c r="H17" s="7">
        <v>9.77</v>
      </c>
      <c r="J17" s="30"/>
      <c r="L17"/>
      <c r="M17"/>
    </row>
    <row r="18" spans="1:13" x14ac:dyDescent="0.3">
      <c r="A18" s="9">
        <v>73602</v>
      </c>
      <c r="B18" s="9">
        <v>0</v>
      </c>
      <c r="C18" s="7" t="s">
        <v>2079</v>
      </c>
      <c r="D18" s="7" t="s">
        <v>52</v>
      </c>
      <c r="E18" t="s">
        <v>2151</v>
      </c>
      <c r="F18" s="7" t="s">
        <v>323</v>
      </c>
      <c r="G18" t="s">
        <v>2962</v>
      </c>
      <c r="H18" s="7"/>
      <c r="J18" s="30"/>
      <c r="L18"/>
      <c r="M18"/>
    </row>
    <row r="19" spans="1:13" x14ac:dyDescent="0.3">
      <c r="A19" s="9">
        <v>71182</v>
      </c>
      <c r="B19" s="9">
        <v>0</v>
      </c>
      <c r="C19" s="7" t="s">
        <v>2079</v>
      </c>
      <c r="D19" s="7" t="s">
        <v>52</v>
      </c>
      <c r="E19" t="s">
        <v>2120</v>
      </c>
      <c r="F19" s="7" t="s">
        <v>323</v>
      </c>
      <c r="G19" t="s">
        <v>2977</v>
      </c>
      <c r="H19" s="7">
        <v>8.92</v>
      </c>
      <c r="J19" s="30"/>
      <c r="L19"/>
      <c r="M19"/>
    </row>
    <row r="20" spans="1:13" x14ac:dyDescent="0.3">
      <c r="A20" s="9">
        <v>73431</v>
      </c>
      <c r="B20" s="9">
        <v>6</v>
      </c>
      <c r="C20" s="7" t="s">
        <v>2079</v>
      </c>
      <c r="D20" s="7" t="s">
        <v>52</v>
      </c>
      <c r="E20" t="s">
        <v>2145</v>
      </c>
      <c r="F20" s="7" t="s">
        <v>298</v>
      </c>
      <c r="G20" t="s">
        <v>2957</v>
      </c>
      <c r="H20" s="7">
        <v>4.95</v>
      </c>
      <c r="J20" s="30"/>
      <c r="L20"/>
      <c r="M20"/>
    </row>
    <row r="21" spans="1:13" x14ac:dyDescent="0.3">
      <c r="A21" s="9">
        <v>71174</v>
      </c>
      <c r="B21" s="9">
        <v>0</v>
      </c>
      <c r="C21" s="7" t="s">
        <v>2079</v>
      </c>
      <c r="D21" s="7" t="s">
        <v>52</v>
      </c>
      <c r="E21" t="s">
        <v>2111</v>
      </c>
      <c r="F21" s="7" t="s">
        <v>323</v>
      </c>
      <c r="G21" t="s">
        <v>2982</v>
      </c>
      <c r="H21" s="7">
        <v>11.11</v>
      </c>
      <c r="J21" s="30"/>
      <c r="L21"/>
      <c r="M21"/>
    </row>
    <row r="22" spans="1:13" x14ac:dyDescent="0.3">
      <c r="A22" s="9">
        <v>99047</v>
      </c>
      <c r="B22" s="9">
        <v>3</v>
      </c>
      <c r="C22" s="7" t="s">
        <v>2079</v>
      </c>
      <c r="D22" s="7" t="s">
        <v>60</v>
      </c>
      <c r="E22" t="s">
        <v>2155</v>
      </c>
      <c r="F22" s="7" t="s">
        <v>303</v>
      </c>
      <c r="G22" t="s">
        <v>2981</v>
      </c>
      <c r="H22" s="7">
        <v>20.399999999999999</v>
      </c>
      <c r="J22" s="30"/>
      <c r="L22"/>
      <c r="M22"/>
    </row>
    <row r="23" spans="1:13" x14ac:dyDescent="0.3">
      <c r="A23" s="9">
        <v>70801</v>
      </c>
      <c r="B23" s="9">
        <v>0</v>
      </c>
      <c r="C23" s="7" t="s">
        <v>2079</v>
      </c>
      <c r="D23" s="7" t="s">
        <v>52</v>
      </c>
      <c r="E23" t="s">
        <v>2108</v>
      </c>
      <c r="F23" s="7" t="s">
        <v>297</v>
      </c>
      <c r="G23" t="s">
        <v>2973</v>
      </c>
      <c r="H23" s="7">
        <v>10.050000000000001</v>
      </c>
      <c r="J23" s="30"/>
      <c r="L23"/>
      <c r="M23"/>
    </row>
    <row r="24" spans="1:13" x14ac:dyDescent="0.3">
      <c r="A24" s="9">
        <v>70800</v>
      </c>
      <c r="B24" s="9">
        <v>0</v>
      </c>
      <c r="C24" s="7" t="s">
        <v>2079</v>
      </c>
      <c r="D24" s="7" t="s">
        <v>52</v>
      </c>
      <c r="E24" t="s">
        <v>2106</v>
      </c>
      <c r="F24" s="7" t="s">
        <v>298</v>
      </c>
      <c r="G24" t="s">
        <v>2971</v>
      </c>
      <c r="H24" s="7">
        <v>5.18</v>
      </c>
      <c r="J24" s="30"/>
      <c r="L24"/>
      <c r="M24"/>
    </row>
    <row r="25" spans="1:13" x14ac:dyDescent="0.3">
      <c r="A25" s="9">
        <v>73063</v>
      </c>
      <c r="B25" s="9">
        <v>11</v>
      </c>
      <c r="C25" s="7" t="s">
        <v>2079</v>
      </c>
      <c r="D25" s="7" t="s">
        <v>60</v>
      </c>
      <c r="E25" t="s">
        <v>2133</v>
      </c>
      <c r="F25" s="7" t="s">
        <v>303</v>
      </c>
      <c r="G25" t="s">
        <v>2963</v>
      </c>
      <c r="H25" s="7"/>
      <c r="J25" s="30"/>
      <c r="L25"/>
      <c r="M25"/>
    </row>
    <row r="26" spans="1:13" x14ac:dyDescent="0.3">
      <c r="A26" s="9">
        <v>70740</v>
      </c>
      <c r="B26" s="9">
        <v>0</v>
      </c>
      <c r="C26" s="7" t="s">
        <v>2079</v>
      </c>
      <c r="D26" s="7" t="s">
        <v>59</v>
      </c>
      <c r="E26" t="s">
        <v>2099</v>
      </c>
      <c r="F26" s="7" t="s">
        <v>300</v>
      </c>
      <c r="G26" t="s">
        <v>2959</v>
      </c>
      <c r="H26" s="7">
        <v>6.1</v>
      </c>
      <c r="J26" s="30"/>
      <c r="L26"/>
      <c r="M26"/>
    </row>
    <row r="27" spans="1:13" x14ac:dyDescent="0.3">
      <c r="A27" s="9">
        <v>70502</v>
      </c>
      <c r="B27" s="9">
        <v>0</v>
      </c>
      <c r="C27" s="7" t="s">
        <v>2079</v>
      </c>
      <c r="D27" s="7" t="s">
        <v>59</v>
      </c>
      <c r="E27" t="s">
        <v>2084</v>
      </c>
      <c r="F27" s="7" t="s">
        <v>323</v>
      </c>
      <c r="G27" t="s">
        <v>2958</v>
      </c>
      <c r="H27" s="7">
        <v>8.26</v>
      </c>
      <c r="J27" s="30"/>
      <c r="L27"/>
      <c r="M27"/>
    </row>
    <row r="28" spans="1:13" x14ac:dyDescent="0.3">
      <c r="A28" s="9">
        <v>70707</v>
      </c>
      <c r="B28" s="9">
        <v>0</v>
      </c>
      <c r="C28" s="7" t="s">
        <v>2079</v>
      </c>
      <c r="D28" s="7" t="s">
        <v>60</v>
      </c>
      <c r="E28" t="s">
        <v>2096</v>
      </c>
      <c r="F28" s="7" t="s">
        <v>303</v>
      </c>
      <c r="G28" t="s">
        <v>2954</v>
      </c>
      <c r="H28" s="7">
        <v>14.59</v>
      </c>
      <c r="J28" s="30"/>
      <c r="L28"/>
      <c r="M28"/>
    </row>
    <row r="29" spans="1:13" x14ac:dyDescent="0.3">
      <c r="A29" s="9">
        <v>70666</v>
      </c>
      <c r="B29" s="9">
        <v>0</v>
      </c>
      <c r="C29" s="7" t="s">
        <v>2079</v>
      </c>
      <c r="D29" s="7" t="s">
        <v>59</v>
      </c>
      <c r="E29" t="s">
        <v>2093</v>
      </c>
      <c r="F29" s="7" t="s">
        <v>323</v>
      </c>
      <c r="G29" t="s">
        <v>2955</v>
      </c>
      <c r="H29" s="7">
        <v>9.41</v>
      </c>
      <c r="J29" s="30"/>
      <c r="L29"/>
      <c r="M29"/>
    </row>
    <row r="30" spans="1:13" x14ac:dyDescent="0.3">
      <c r="A30" s="9">
        <v>70634</v>
      </c>
      <c r="B30" s="9">
        <v>0</v>
      </c>
      <c r="C30" s="7" t="s">
        <v>2079</v>
      </c>
      <c r="D30" s="7" t="s">
        <v>59</v>
      </c>
      <c r="E30" t="s">
        <v>2090</v>
      </c>
      <c r="F30" s="7" t="s">
        <v>300</v>
      </c>
      <c r="G30" t="s">
        <v>2956</v>
      </c>
      <c r="H30" s="7">
        <v>11.64</v>
      </c>
      <c r="I30" s="7">
        <v>37</v>
      </c>
      <c r="J30" s="30">
        <v>0.54430379746835444</v>
      </c>
      <c r="L30"/>
      <c r="M30"/>
    </row>
    <row r="31" spans="1:13" x14ac:dyDescent="0.3">
      <c r="A31" s="9">
        <v>70486</v>
      </c>
      <c r="B31" s="9">
        <v>0</v>
      </c>
      <c r="C31" s="7" t="s">
        <v>2079</v>
      </c>
      <c r="D31" s="7" t="s">
        <v>52</v>
      </c>
      <c r="E31" t="s">
        <v>2081</v>
      </c>
      <c r="F31" s="7" t="s">
        <v>300</v>
      </c>
      <c r="G31" t="s">
        <v>2960</v>
      </c>
      <c r="H31" s="7">
        <v>12.77</v>
      </c>
      <c r="I31" s="7">
        <v>37</v>
      </c>
      <c r="J31" s="30">
        <v>0.83098591549295775</v>
      </c>
      <c r="L31"/>
      <c r="M31"/>
    </row>
    <row r="32" spans="1:13" x14ac:dyDescent="0.3">
      <c r="A32" s="9">
        <v>70799</v>
      </c>
      <c r="B32" s="9">
        <v>0</v>
      </c>
      <c r="C32" s="7" t="s">
        <v>2079</v>
      </c>
      <c r="D32" s="7" t="s">
        <v>52</v>
      </c>
      <c r="E32" t="s">
        <v>2102</v>
      </c>
      <c r="F32" s="7" t="s">
        <v>298</v>
      </c>
      <c r="G32" t="s">
        <v>2971</v>
      </c>
      <c r="H32" s="7">
        <v>4.97</v>
      </c>
      <c r="J32" s="30"/>
      <c r="L32"/>
      <c r="M32"/>
    </row>
    <row r="33" spans="1:13" x14ac:dyDescent="0.3">
      <c r="A33" s="9">
        <v>70603</v>
      </c>
      <c r="B33" s="9">
        <v>0</v>
      </c>
      <c r="C33" s="7" t="s">
        <v>2079</v>
      </c>
      <c r="D33" s="7" t="s">
        <v>60</v>
      </c>
      <c r="E33" t="s">
        <v>2087</v>
      </c>
      <c r="F33" s="7" t="s">
        <v>323</v>
      </c>
      <c r="G33" t="s">
        <v>2966</v>
      </c>
      <c r="H33" s="7">
        <v>6.24</v>
      </c>
      <c r="J33" s="30"/>
      <c r="L33"/>
      <c r="M33"/>
    </row>
    <row r="34" spans="1:13" x14ac:dyDescent="0.3">
      <c r="A34" s="9">
        <v>99161</v>
      </c>
      <c r="B34" s="9">
        <v>121</v>
      </c>
      <c r="C34" s="7" t="s">
        <v>2079</v>
      </c>
      <c r="D34" s="7" t="s">
        <v>52</v>
      </c>
      <c r="E34" t="s">
        <v>2968</v>
      </c>
      <c r="F34" s="7" t="s">
        <v>300</v>
      </c>
      <c r="G34" t="s">
        <v>2969</v>
      </c>
      <c r="H34" s="7"/>
      <c r="I34" s="7">
        <v>0</v>
      </c>
      <c r="J34" s="30"/>
      <c r="L34"/>
      <c r="M34"/>
    </row>
    <row r="35" spans="1:13" x14ac:dyDescent="0.3">
      <c r="A35" s="9">
        <v>73314</v>
      </c>
      <c r="B35" s="9">
        <v>0</v>
      </c>
      <c r="C35" s="7" t="s">
        <v>2079</v>
      </c>
      <c r="D35" s="7" t="s">
        <v>52</v>
      </c>
      <c r="E35" t="s">
        <v>2139</v>
      </c>
      <c r="F35" s="7" t="s">
        <v>300</v>
      </c>
      <c r="G35" t="s">
        <v>2967</v>
      </c>
      <c r="H35" s="7">
        <v>7.91</v>
      </c>
      <c r="J35" s="30"/>
      <c r="L35"/>
      <c r="M35"/>
    </row>
    <row r="36" spans="1:13" x14ac:dyDescent="0.3">
      <c r="A36" s="9">
        <v>99152</v>
      </c>
      <c r="B36" s="9">
        <v>6</v>
      </c>
      <c r="C36" s="7" t="s">
        <v>2079</v>
      </c>
      <c r="D36" s="7" t="s">
        <v>60</v>
      </c>
      <c r="E36" t="s">
        <v>2165</v>
      </c>
      <c r="F36" s="7" t="s">
        <v>299</v>
      </c>
      <c r="G36" t="s">
        <v>2965</v>
      </c>
      <c r="H36" s="7">
        <v>52.28</v>
      </c>
      <c r="J36" s="30"/>
      <c r="L36"/>
      <c r="M36"/>
    </row>
    <row r="37" spans="1:13" x14ac:dyDescent="0.3">
      <c r="A37" s="9">
        <v>73457</v>
      </c>
      <c r="B37" s="9">
        <v>0</v>
      </c>
      <c r="C37" s="7" t="s">
        <v>2079</v>
      </c>
      <c r="D37" s="7" t="s">
        <v>52</v>
      </c>
      <c r="E37" t="s">
        <v>2148</v>
      </c>
      <c r="F37" s="7" t="s">
        <v>300</v>
      </c>
      <c r="G37" t="s">
        <v>2978</v>
      </c>
      <c r="H37" s="7">
        <v>11.99</v>
      </c>
      <c r="I37" s="7">
        <v>8</v>
      </c>
      <c r="J37" s="30">
        <v>0.78378378378378377</v>
      </c>
      <c r="L37"/>
      <c r="M37"/>
    </row>
    <row r="38" spans="1:13" x14ac:dyDescent="0.3">
      <c r="A38" s="9">
        <v>99161</v>
      </c>
      <c r="B38" s="9">
        <v>113</v>
      </c>
      <c r="C38" s="7" t="s">
        <v>2167</v>
      </c>
      <c r="D38" s="7" t="s">
        <v>58</v>
      </c>
      <c r="E38" t="s">
        <v>2250</v>
      </c>
      <c r="F38" s="7" t="s">
        <v>300</v>
      </c>
      <c r="G38" t="s">
        <v>3000</v>
      </c>
      <c r="H38" s="7"/>
      <c r="J38" s="30"/>
      <c r="L38"/>
      <c r="M38"/>
    </row>
    <row r="39" spans="1:13" x14ac:dyDescent="0.3">
      <c r="A39" s="9">
        <v>73383</v>
      </c>
      <c r="B39" s="9">
        <v>0</v>
      </c>
      <c r="C39" s="7" t="s">
        <v>2167</v>
      </c>
      <c r="D39" s="7" t="s">
        <v>58</v>
      </c>
      <c r="E39" t="s">
        <v>2221</v>
      </c>
      <c r="F39" s="7" t="s">
        <v>302</v>
      </c>
      <c r="G39" t="s">
        <v>3001</v>
      </c>
      <c r="H39" s="7">
        <v>3.28</v>
      </c>
      <c r="J39" s="30"/>
      <c r="L39"/>
      <c r="M39"/>
    </row>
    <row r="40" spans="1:13" x14ac:dyDescent="0.3">
      <c r="A40" s="9">
        <v>73327</v>
      </c>
      <c r="B40" s="9">
        <v>0</v>
      </c>
      <c r="C40" s="7" t="s">
        <v>2167</v>
      </c>
      <c r="D40" s="7" t="s">
        <v>53</v>
      </c>
      <c r="E40" t="s">
        <v>2218</v>
      </c>
      <c r="F40" s="7" t="s">
        <v>323</v>
      </c>
      <c r="G40" t="s">
        <v>2999</v>
      </c>
      <c r="H40" s="7">
        <v>22.42</v>
      </c>
      <c r="J40" s="30"/>
      <c r="L40"/>
      <c r="M40"/>
    </row>
    <row r="41" spans="1:13" x14ac:dyDescent="0.3">
      <c r="A41" s="9">
        <v>73311</v>
      </c>
      <c r="B41" s="9">
        <v>0</v>
      </c>
      <c r="C41" s="7" t="s">
        <v>2167</v>
      </c>
      <c r="D41" s="7" t="s">
        <v>58</v>
      </c>
      <c r="E41" t="s">
        <v>2215</v>
      </c>
      <c r="F41" s="7" t="s">
        <v>303</v>
      </c>
      <c r="G41" t="s">
        <v>2997</v>
      </c>
      <c r="H41" s="7">
        <v>12.16</v>
      </c>
      <c r="J41" s="30"/>
      <c r="L41"/>
      <c r="M41"/>
    </row>
    <row r="42" spans="1:13" x14ac:dyDescent="0.3">
      <c r="A42" s="9">
        <v>70966</v>
      </c>
      <c r="B42" s="9">
        <v>1</v>
      </c>
      <c r="C42" s="7" t="s">
        <v>2167</v>
      </c>
      <c r="D42" s="7" t="s">
        <v>53</v>
      </c>
      <c r="E42" t="s">
        <v>2169</v>
      </c>
      <c r="F42" s="7" t="s">
        <v>300</v>
      </c>
      <c r="G42" t="s">
        <v>2986</v>
      </c>
      <c r="H42" s="7">
        <v>11.31</v>
      </c>
      <c r="I42" s="7">
        <v>29</v>
      </c>
      <c r="J42" s="30">
        <v>0.7734375</v>
      </c>
      <c r="L42"/>
      <c r="M42"/>
    </row>
    <row r="43" spans="1:13" x14ac:dyDescent="0.3">
      <c r="A43" s="9">
        <v>99061</v>
      </c>
      <c r="B43" s="9">
        <v>113</v>
      </c>
      <c r="C43" s="7" t="s">
        <v>2167</v>
      </c>
      <c r="D43" s="7" t="s">
        <v>58</v>
      </c>
      <c r="E43" t="s">
        <v>2248</v>
      </c>
      <c r="F43" s="7" t="s">
        <v>300</v>
      </c>
      <c r="G43" t="s">
        <v>2994</v>
      </c>
      <c r="H43" s="7">
        <v>35.99</v>
      </c>
      <c r="I43" s="7">
        <v>17</v>
      </c>
      <c r="J43" s="30">
        <v>0.83333333333333337</v>
      </c>
      <c r="L43"/>
      <c r="M43"/>
    </row>
    <row r="44" spans="1:13" x14ac:dyDescent="0.3">
      <c r="A44" s="9">
        <v>73563</v>
      </c>
      <c r="B44" s="9">
        <v>0</v>
      </c>
      <c r="C44" s="7" t="s">
        <v>2167</v>
      </c>
      <c r="D44" s="7" t="s">
        <v>53</v>
      </c>
      <c r="E44" t="s">
        <v>2239</v>
      </c>
      <c r="F44" s="7" t="s">
        <v>300</v>
      </c>
      <c r="G44" t="s">
        <v>2991</v>
      </c>
      <c r="H44" s="7"/>
      <c r="I44" s="7">
        <v>5</v>
      </c>
      <c r="J44" s="30">
        <v>0.94318181818181823</v>
      </c>
      <c r="L44"/>
      <c r="M44"/>
    </row>
    <row r="45" spans="1:13" x14ac:dyDescent="0.3">
      <c r="A45" s="9">
        <v>70773</v>
      </c>
      <c r="B45" s="9">
        <v>0</v>
      </c>
      <c r="C45" s="7" t="s">
        <v>2167</v>
      </c>
      <c r="D45" s="7" t="s">
        <v>53</v>
      </c>
      <c r="E45" t="s">
        <v>2172</v>
      </c>
      <c r="F45" s="7" t="s">
        <v>297</v>
      </c>
      <c r="G45" t="s">
        <v>2984</v>
      </c>
      <c r="H45" s="7"/>
      <c r="J45" s="30"/>
      <c r="L45"/>
      <c r="M45"/>
    </row>
    <row r="46" spans="1:13" x14ac:dyDescent="0.3">
      <c r="A46" s="9">
        <v>73559</v>
      </c>
      <c r="B46" s="9">
        <v>0</v>
      </c>
      <c r="C46" s="7" t="s">
        <v>2167</v>
      </c>
      <c r="D46" s="7" t="s">
        <v>58</v>
      </c>
      <c r="E46" t="s">
        <v>870</v>
      </c>
      <c r="F46" s="7" t="s">
        <v>298</v>
      </c>
      <c r="G46" t="s">
        <v>2993</v>
      </c>
      <c r="H46" s="7">
        <v>8.18</v>
      </c>
      <c r="J46" s="30"/>
      <c r="L46"/>
      <c r="M46"/>
    </row>
    <row r="47" spans="1:13" x14ac:dyDescent="0.3">
      <c r="A47" s="9">
        <v>70803</v>
      </c>
      <c r="B47" s="9">
        <v>0</v>
      </c>
      <c r="C47" s="7" t="s">
        <v>2167</v>
      </c>
      <c r="D47" s="7" t="s">
        <v>58</v>
      </c>
      <c r="E47" t="s">
        <v>2175</v>
      </c>
      <c r="F47" s="7" t="s">
        <v>303</v>
      </c>
      <c r="G47" t="s">
        <v>2989</v>
      </c>
      <c r="H47" s="7">
        <v>14.48</v>
      </c>
      <c r="J47" s="30"/>
      <c r="L47"/>
      <c r="M47"/>
    </row>
    <row r="48" spans="1:13" x14ac:dyDescent="0.3">
      <c r="A48" s="9">
        <v>70805</v>
      </c>
      <c r="B48" s="9">
        <v>0</v>
      </c>
      <c r="C48" s="7" t="s">
        <v>2167</v>
      </c>
      <c r="D48" s="7" t="s">
        <v>58</v>
      </c>
      <c r="E48" t="s">
        <v>2178</v>
      </c>
      <c r="F48" s="7" t="s">
        <v>300</v>
      </c>
      <c r="G48" t="s">
        <v>2987</v>
      </c>
      <c r="H48" s="7">
        <v>5.27</v>
      </c>
      <c r="J48" s="30"/>
      <c r="L48"/>
      <c r="M48"/>
    </row>
    <row r="49" spans="1:13" x14ac:dyDescent="0.3">
      <c r="A49" s="9">
        <v>73533</v>
      </c>
      <c r="B49" s="9">
        <v>0</v>
      </c>
      <c r="C49" s="7" t="s">
        <v>2167</v>
      </c>
      <c r="D49" s="7" t="s">
        <v>58</v>
      </c>
      <c r="E49" t="s">
        <v>2232</v>
      </c>
      <c r="F49" s="7" t="s">
        <v>323</v>
      </c>
      <c r="G49" t="s">
        <v>2995</v>
      </c>
      <c r="H49" s="7">
        <v>5.87</v>
      </c>
      <c r="J49" s="30"/>
      <c r="L49"/>
      <c r="M49"/>
    </row>
    <row r="50" spans="1:13" x14ac:dyDescent="0.3">
      <c r="A50" s="9">
        <v>73532</v>
      </c>
      <c r="B50" s="9">
        <v>0</v>
      </c>
      <c r="C50" s="7" t="s">
        <v>2167</v>
      </c>
      <c r="D50" s="7" t="s">
        <v>53</v>
      </c>
      <c r="E50" t="s">
        <v>2229</v>
      </c>
      <c r="F50" s="7" t="s">
        <v>303</v>
      </c>
      <c r="G50" t="s">
        <v>2998</v>
      </c>
      <c r="H50" s="7">
        <v>4.9400000000000004</v>
      </c>
      <c r="J50" s="30"/>
      <c r="L50"/>
      <c r="M50"/>
    </row>
    <row r="51" spans="1:13" x14ac:dyDescent="0.3">
      <c r="A51" s="9">
        <v>71206</v>
      </c>
      <c r="B51" s="9">
        <v>0</v>
      </c>
      <c r="C51" s="7" t="s">
        <v>2167</v>
      </c>
      <c r="D51" s="7" t="s">
        <v>58</v>
      </c>
      <c r="E51" t="s">
        <v>2191</v>
      </c>
      <c r="F51" s="7" t="s">
        <v>297</v>
      </c>
      <c r="G51" t="s">
        <v>2992</v>
      </c>
      <c r="H51" s="7">
        <v>6.07</v>
      </c>
      <c r="J51" s="30"/>
      <c r="L51"/>
      <c r="M51"/>
    </row>
    <row r="52" spans="1:13" x14ac:dyDescent="0.3">
      <c r="A52" s="9">
        <v>71218</v>
      </c>
      <c r="B52" s="9">
        <v>0</v>
      </c>
      <c r="C52" s="7" t="s">
        <v>2167</v>
      </c>
      <c r="D52" s="7" t="s">
        <v>58</v>
      </c>
      <c r="E52" t="s">
        <v>2200</v>
      </c>
      <c r="F52" s="7" t="s">
        <v>300</v>
      </c>
      <c r="G52" t="s">
        <v>2985</v>
      </c>
      <c r="H52" s="7">
        <v>22.33</v>
      </c>
      <c r="J52" s="30"/>
      <c r="L52"/>
      <c r="M52"/>
    </row>
    <row r="53" spans="1:13" x14ac:dyDescent="0.3">
      <c r="A53" s="9">
        <v>71238</v>
      </c>
      <c r="B53" s="9">
        <v>0</v>
      </c>
      <c r="C53" s="7" t="s">
        <v>2167</v>
      </c>
      <c r="D53" s="7" t="s">
        <v>58</v>
      </c>
      <c r="E53" t="s">
        <v>2207</v>
      </c>
      <c r="F53" s="7" t="s">
        <v>298</v>
      </c>
      <c r="G53" t="s">
        <v>2988</v>
      </c>
      <c r="H53" s="7">
        <v>1.9</v>
      </c>
      <c r="J53" s="30"/>
      <c r="L53"/>
      <c r="M53"/>
    </row>
    <row r="54" spans="1:13" x14ac:dyDescent="0.3">
      <c r="A54" s="9">
        <v>99052</v>
      </c>
      <c r="B54" s="9">
        <v>4</v>
      </c>
      <c r="C54" s="7" t="s">
        <v>2251</v>
      </c>
      <c r="D54" s="7" t="s">
        <v>53</v>
      </c>
      <c r="E54" t="s">
        <v>2333</v>
      </c>
      <c r="F54" s="7" t="s">
        <v>303</v>
      </c>
      <c r="G54" t="s">
        <v>3009</v>
      </c>
      <c r="H54" s="7">
        <v>2.76</v>
      </c>
      <c r="J54" s="30"/>
      <c r="L54"/>
      <c r="M54"/>
    </row>
    <row r="55" spans="1:13" x14ac:dyDescent="0.3">
      <c r="A55" s="9">
        <v>99031</v>
      </c>
      <c r="B55" s="9">
        <v>57</v>
      </c>
      <c r="C55" s="7" t="s">
        <v>2251</v>
      </c>
      <c r="D55" s="7" t="s">
        <v>53</v>
      </c>
      <c r="E55" t="s">
        <v>2326</v>
      </c>
      <c r="F55" s="7" t="s">
        <v>300</v>
      </c>
      <c r="G55" t="s">
        <v>3003</v>
      </c>
      <c r="H55" s="7">
        <v>20.49</v>
      </c>
      <c r="J55" s="30"/>
      <c r="L55"/>
      <c r="M55"/>
    </row>
    <row r="56" spans="1:13" x14ac:dyDescent="0.3">
      <c r="A56" s="9">
        <v>73528</v>
      </c>
      <c r="B56" s="9">
        <v>0</v>
      </c>
      <c r="C56" s="7" t="s">
        <v>2251</v>
      </c>
      <c r="D56" s="7" t="s">
        <v>53</v>
      </c>
      <c r="E56" t="s">
        <v>2314</v>
      </c>
      <c r="F56" s="7" t="s">
        <v>300</v>
      </c>
      <c r="G56" t="s">
        <v>3007</v>
      </c>
      <c r="H56" s="7">
        <v>6.05</v>
      </c>
      <c r="I56" s="7">
        <v>31</v>
      </c>
      <c r="J56" s="30">
        <v>0.70754716981132071</v>
      </c>
      <c r="L56"/>
      <c r="M56"/>
    </row>
    <row r="57" spans="1:13" x14ac:dyDescent="0.3">
      <c r="A57" s="9">
        <v>70711</v>
      </c>
      <c r="B57" s="9">
        <v>0</v>
      </c>
      <c r="C57" s="7" t="s">
        <v>2251</v>
      </c>
      <c r="D57" s="7" t="s">
        <v>53</v>
      </c>
      <c r="E57" t="s">
        <v>2270</v>
      </c>
      <c r="F57" s="7" t="s">
        <v>323</v>
      </c>
      <c r="G57" t="s">
        <v>3008</v>
      </c>
      <c r="H57" s="7">
        <v>8.76</v>
      </c>
      <c r="J57" s="30"/>
      <c r="L57"/>
      <c r="M57"/>
    </row>
    <row r="58" spans="1:13" x14ac:dyDescent="0.3">
      <c r="A58" s="9">
        <v>99031</v>
      </c>
      <c r="B58" s="9">
        <v>188</v>
      </c>
      <c r="C58" s="7" t="s">
        <v>2251</v>
      </c>
      <c r="D58" s="7" t="s">
        <v>53</v>
      </c>
      <c r="E58" t="s">
        <v>2329</v>
      </c>
      <c r="F58" s="7" t="s">
        <v>300</v>
      </c>
      <c r="G58" t="s">
        <v>3028</v>
      </c>
      <c r="H58" s="7"/>
      <c r="J58" s="30"/>
      <c r="L58"/>
      <c r="M58"/>
    </row>
    <row r="59" spans="1:13" x14ac:dyDescent="0.3">
      <c r="A59" s="9">
        <v>73426</v>
      </c>
      <c r="B59" s="9">
        <v>0</v>
      </c>
      <c r="C59" s="7" t="s">
        <v>2251</v>
      </c>
      <c r="D59" s="7" t="s">
        <v>53</v>
      </c>
      <c r="E59" t="s">
        <v>2305</v>
      </c>
      <c r="F59" s="7" t="s">
        <v>302</v>
      </c>
      <c r="G59" t="s">
        <v>3021</v>
      </c>
      <c r="H59" s="7">
        <v>8.92</v>
      </c>
      <c r="J59" s="30"/>
      <c r="L59"/>
      <c r="M59"/>
    </row>
    <row r="60" spans="1:13" x14ac:dyDescent="0.3">
      <c r="A60" s="9">
        <v>70634</v>
      </c>
      <c r="B60" s="9">
        <v>1</v>
      </c>
      <c r="C60" s="7" t="s">
        <v>2251</v>
      </c>
      <c r="D60" s="7" t="s">
        <v>60</v>
      </c>
      <c r="E60" t="s">
        <v>2267</v>
      </c>
      <c r="F60" s="7" t="s">
        <v>300</v>
      </c>
      <c r="G60" t="s">
        <v>3011</v>
      </c>
      <c r="H60" s="7">
        <v>5.86</v>
      </c>
      <c r="I60" s="7">
        <v>17</v>
      </c>
      <c r="J60" s="30">
        <v>0.67307692307692313</v>
      </c>
    </row>
    <row r="61" spans="1:13" x14ac:dyDescent="0.3">
      <c r="A61" s="9">
        <v>70565</v>
      </c>
      <c r="B61" s="9">
        <v>0</v>
      </c>
      <c r="C61" s="7" t="s">
        <v>2251</v>
      </c>
      <c r="D61" s="7" t="s">
        <v>53</v>
      </c>
      <c r="E61" t="s">
        <v>2262</v>
      </c>
      <c r="F61" s="7" t="s">
        <v>300</v>
      </c>
      <c r="G61" t="s">
        <v>3005</v>
      </c>
      <c r="H61" s="7">
        <v>15.37</v>
      </c>
      <c r="J61" s="30"/>
    </row>
    <row r="62" spans="1:13" x14ac:dyDescent="0.3">
      <c r="A62" s="9">
        <v>70762</v>
      </c>
      <c r="B62" s="9">
        <v>0</v>
      </c>
      <c r="C62" s="7" t="s">
        <v>2251</v>
      </c>
      <c r="D62" s="7" t="s">
        <v>53</v>
      </c>
      <c r="E62" t="s">
        <v>2273</v>
      </c>
      <c r="F62" s="7" t="s">
        <v>323</v>
      </c>
      <c r="G62" t="s">
        <v>3024</v>
      </c>
      <c r="H62" s="7">
        <v>12.56</v>
      </c>
      <c r="J62" s="30"/>
    </row>
    <row r="63" spans="1:13" x14ac:dyDescent="0.3">
      <c r="A63" s="9">
        <v>99178</v>
      </c>
      <c r="B63" s="9">
        <v>0</v>
      </c>
      <c r="C63" s="7" t="s">
        <v>2251</v>
      </c>
      <c r="D63" s="7" t="s">
        <v>60</v>
      </c>
      <c r="E63" t="s">
        <v>2335</v>
      </c>
      <c r="F63" s="7" t="s">
        <v>300</v>
      </c>
      <c r="G63" t="s">
        <v>3002</v>
      </c>
      <c r="H63" s="7">
        <v>23.05</v>
      </c>
      <c r="J63" s="30"/>
    </row>
    <row r="64" spans="1:13" x14ac:dyDescent="0.3">
      <c r="A64" s="9">
        <v>73594</v>
      </c>
      <c r="B64" s="9">
        <v>0</v>
      </c>
      <c r="C64" s="7" t="s">
        <v>2251</v>
      </c>
      <c r="D64" s="7" t="s">
        <v>60</v>
      </c>
      <c r="E64" t="s">
        <v>2323</v>
      </c>
      <c r="F64" s="7" t="s">
        <v>298</v>
      </c>
      <c r="G64" t="s">
        <v>3025</v>
      </c>
      <c r="H64" s="7"/>
      <c r="J64" s="30"/>
    </row>
    <row r="65" spans="1:10" x14ac:dyDescent="0.3">
      <c r="A65" s="9">
        <v>71177</v>
      </c>
      <c r="B65" s="9">
        <v>0</v>
      </c>
      <c r="C65" s="7" t="s">
        <v>2251</v>
      </c>
      <c r="D65" s="7" t="s">
        <v>53</v>
      </c>
      <c r="E65" t="s">
        <v>2294</v>
      </c>
      <c r="F65" s="7" t="s">
        <v>300</v>
      </c>
      <c r="G65" t="s">
        <v>3022</v>
      </c>
      <c r="H65" s="7"/>
      <c r="I65" s="7">
        <v>3</v>
      </c>
      <c r="J65" s="30">
        <v>0.86363636363636365</v>
      </c>
    </row>
    <row r="66" spans="1:10" x14ac:dyDescent="0.3">
      <c r="A66" s="9">
        <v>70485</v>
      </c>
      <c r="B66" s="9">
        <v>0</v>
      </c>
      <c r="C66" s="7" t="s">
        <v>2251</v>
      </c>
      <c r="D66" s="7" t="s">
        <v>53</v>
      </c>
      <c r="E66" t="s">
        <v>2256</v>
      </c>
      <c r="F66" s="7" t="s">
        <v>298</v>
      </c>
      <c r="G66" t="s">
        <v>3004</v>
      </c>
      <c r="H66" s="7">
        <v>0.18</v>
      </c>
      <c r="J66" s="30"/>
    </row>
    <row r="67" spans="1:10" x14ac:dyDescent="0.3">
      <c r="A67" s="9">
        <v>73332</v>
      </c>
      <c r="B67" s="9">
        <v>0</v>
      </c>
      <c r="C67" s="7" t="s">
        <v>2251</v>
      </c>
      <c r="D67" s="7" t="s">
        <v>53</v>
      </c>
      <c r="E67" t="s">
        <v>2302</v>
      </c>
      <c r="F67" s="7" t="s">
        <v>323</v>
      </c>
      <c r="G67" t="s">
        <v>3023</v>
      </c>
      <c r="H67" s="7">
        <v>14.13</v>
      </c>
      <c r="J67" s="30"/>
    </row>
    <row r="68" spans="1:10" x14ac:dyDescent="0.3">
      <c r="A68" s="9">
        <v>73063</v>
      </c>
      <c r="B68" s="9">
        <v>8</v>
      </c>
      <c r="C68" s="7" t="s">
        <v>2251</v>
      </c>
      <c r="D68" s="7" t="s">
        <v>53</v>
      </c>
      <c r="E68" t="s">
        <v>2296</v>
      </c>
      <c r="F68" s="7" t="s">
        <v>323</v>
      </c>
      <c r="G68" t="s">
        <v>3012</v>
      </c>
      <c r="H68" s="7">
        <v>10.73</v>
      </c>
      <c r="J68" s="30"/>
    </row>
    <row r="69" spans="1:10" x14ac:dyDescent="0.3">
      <c r="A69" s="9">
        <v>70768</v>
      </c>
      <c r="B69" s="9">
        <v>0</v>
      </c>
      <c r="C69" s="7" t="s">
        <v>2251</v>
      </c>
      <c r="D69" s="7" t="s">
        <v>53</v>
      </c>
      <c r="E69" t="s">
        <v>2276</v>
      </c>
      <c r="F69" s="7" t="s">
        <v>303</v>
      </c>
      <c r="G69" t="s">
        <v>3015</v>
      </c>
      <c r="H69" s="7">
        <v>2.77</v>
      </c>
      <c r="J69" s="30"/>
    </row>
    <row r="70" spans="1:10" x14ac:dyDescent="0.3">
      <c r="A70" s="9">
        <v>73574</v>
      </c>
      <c r="B70" s="9">
        <v>0</v>
      </c>
      <c r="C70" s="7" t="s">
        <v>2251</v>
      </c>
      <c r="D70" s="7" t="s">
        <v>53</v>
      </c>
      <c r="E70" t="s">
        <v>2320</v>
      </c>
      <c r="F70" s="7" t="s">
        <v>300</v>
      </c>
      <c r="G70" t="s">
        <v>3029</v>
      </c>
      <c r="H70" s="7"/>
      <c r="I70" s="7">
        <v>15</v>
      </c>
      <c r="J70" s="30">
        <v>0.65909090909090906</v>
      </c>
    </row>
    <row r="71" spans="1:10" x14ac:dyDescent="0.3">
      <c r="A71" s="9">
        <v>73545</v>
      </c>
      <c r="B71" s="9">
        <v>0</v>
      </c>
      <c r="C71" s="7" t="s">
        <v>2251</v>
      </c>
      <c r="D71" s="7" t="s">
        <v>53</v>
      </c>
      <c r="E71" t="s">
        <v>2317</v>
      </c>
      <c r="F71" s="7" t="s">
        <v>303</v>
      </c>
      <c r="G71" t="s">
        <v>3027</v>
      </c>
      <c r="H71" s="7">
        <v>6.3</v>
      </c>
      <c r="J71" s="30"/>
    </row>
    <row r="72" spans="1:10" x14ac:dyDescent="0.3">
      <c r="A72" s="9">
        <v>73168</v>
      </c>
      <c r="B72" s="9">
        <v>0</v>
      </c>
      <c r="C72" s="7" t="s">
        <v>2251</v>
      </c>
      <c r="D72" s="7" t="s">
        <v>53</v>
      </c>
      <c r="E72" t="s">
        <v>2299</v>
      </c>
      <c r="F72" s="7" t="s">
        <v>298</v>
      </c>
      <c r="G72" t="s">
        <v>3010</v>
      </c>
      <c r="H72" s="7">
        <v>5.67</v>
      </c>
      <c r="J72" s="30"/>
    </row>
    <row r="73" spans="1:10" x14ac:dyDescent="0.3">
      <c r="A73" s="9">
        <v>99213</v>
      </c>
      <c r="B73" s="9">
        <v>0</v>
      </c>
      <c r="C73" s="7" t="s">
        <v>2251</v>
      </c>
      <c r="D73" s="7" t="s">
        <v>53</v>
      </c>
      <c r="E73" t="s">
        <v>2338</v>
      </c>
      <c r="F73" s="7" t="s">
        <v>298</v>
      </c>
      <c r="G73" t="s">
        <v>3013</v>
      </c>
      <c r="H73" s="7">
        <v>17.899999999999999</v>
      </c>
      <c r="J73" s="30"/>
    </row>
    <row r="74" spans="1:10" x14ac:dyDescent="0.3">
      <c r="A74" s="9">
        <v>70780</v>
      </c>
      <c r="B74" s="9">
        <v>0</v>
      </c>
      <c r="C74" s="7" t="s">
        <v>2251</v>
      </c>
      <c r="D74" s="7" t="s">
        <v>53</v>
      </c>
      <c r="E74" t="s">
        <v>2282</v>
      </c>
      <c r="F74" s="7" t="s">
        <v>303</v>
      </c>
      <c r="G74" t="s">
        <v>3017</v>
      </c>
      <c r="H74" s="7">
        <v>7.38</v>
      </c>
      <c r="J74" s="30"/>
    </row>
    <row r="75" spans="1:10" x14ac:dyDescent="0.3">
      <c r="A75" s="9">
        <v>71016</v>
      </c>
      <c r="B75" s="9">
        <v>0</v>
      </c>
      <c r="C75" s="7" t="s">
        <v>2251</v>
      </c>
      <c r="D75" s="7" t="s">
        <v>53</v>
      </c>
      <c r="E75" t="s">
        <v>2288</v>
      </c>
      <c r="F75" s="7" t="s">
        <v>302</v>
      </c>
      <c r="G75" t="s">
        <v>3019</v>
      </c>
      <c r="H75" s="7">
        <v>4.47</v>
      </c>
      <c r="J75" s="30"/>
    </row>
    <row r="76" spans="1:10" x14ac:dyDescent="0.3">
      <c r="A76" s="9">
        <v>70784</v>
      </c>
      <c r="B76" s="9">
        <v>0</v>
      </c>
      <c r="C76" s="7" t="s">
        <v>2251</v>
      </c>
      <c r="D76" s="7" t="s">
        <v>53</v>
      </c>
      <c r="E76" t="s">
        <v>2285</v>
      </c>
      <c r="F76" s="7" t="s">
        <v>299</v>
      </c>
      <c r="G76" t="s">
        <v>3018</v>
      </c>
      <c r="H76" s="7">
        <v>13</v>
      </c>
      <c r="J76" s="30"/>
    </row>
    <row r="77" spans="1:10" x14ac:dyDescent="0.3">
      <c r="A77" s="9">
        <v>99047</v>
      </c>
      <c r="B77" s="9">
        <v>1</v>
      </c>
      <c r="C77" s="7" t="s">
        <v>2251</v>
      </c>
      <c r="D77" s="7" t="s">
        <v>53</v>
      </c>
      <c r="E77" t="s">
        <v>2331</v>
      </c>
      <c r="F77" s="7" t="s">
        <v>303</v>
      </c>
      <c r="G77" t="s">
        <v>3014</v>
      </c>
      <c r="H77" s="7">
        <v>10.89</v>
      </c>
      <c r="J77" s="30"/>
    </row>
    <row r="78" spans="1:10" x14ac:dyDescent="0.3">
      <c r="A78" s="9">
        <v>71061</v>
      </c>
      <c r="B78" s="9">
        <v>0</v>
      </c>
      <c r="C78" s="7" t="s">
        <v>2251</v>
      </c>
      <c r="D78" s="7" t="s">
        <v>53</v>
      </c>
      <c r="E78" t="s">
        <v>2291</v>
      </c>
      <c r="F78" s="7" t="s">
        <v>303</v>
      </c>
      <c r="G78" t="s">
        <v>3020</v>
      </c>
      <c r="H78" s="7">
        <v>25.71</v>
      </c>
      <c r="J78" s="30"/>
    </row>
    <row r="79" spans="1:10" x14ac:dyDescent="0.3">
      <c r="A79" s="9">
        <v>70769</v>
      </c>
      <c r="B79" s="9">
        <v>0</v>
      </c>
      <c r="C79" s="7" t="s">
        <v>2251</v>
      </c>
      <c r="D79" s="7" t="s">
        <v>53</v>
      </c>
      <c r="E79" t="s">
        <v>2279</v>
      </c>
      <c r="F79" s="7" t="s">
        <v>300</v>
      </c>
      <c r="G79" t="s">
        <v>3016</v>
      </c>
      <c r="H79" s="7">
        <v>16.3</v>
      </c>
      <c r="I79" s="7">
        <v>27</v>
      </c>
      <c r="J79" s="30">
        <v>0.68235294117647061</v>
      </c>
    </row>
    <row r="80" spans="1:10" x14ac:dyDescent="0.3">
      <c r="A80" s="9">
        <v>70703</v>
      </c>
      <c r="B80" s="9">
        <v>0</v>
      </c>
      <c r="C80" s="7" t="s">
        <v>2340</v>
      </c>
      <c r="D80" s="7" t="s">
        <v>59</v>
      </c>
      <c r="E80" t="s">
        <v>2359</v>
      </c>
      <c r="F80" s="7" t="s">
        <v>298</v>
      </c>
      <c r="G80" t="s">
        <v>3032</v>
      </c>
      <c r="H80" s="7">
        <v>3.12</v>
      </c>
      <c r="J80" s="30"/>
    </row>
    <row r="81" spans="1:10" x14ac:dyDescent="0.3">
      <c r="A81" s="9">
        <v>70963</v>
      </c>
      <c r="B81" s="9">
        <v>0</v>
      </c>
      <c r="C81" s="7" t="s">
        <v>2340</v>
      </c>
      <c r="D81" s="7" t="s">
        <v>59</v>
      </c>
      <c r="E81" t="s">
        <v>2365</v>
      </c>
      <c r="F81" s="7" t="s">
        <v>298</v>
      </c>
      <c r="G81" t="s">
        <v>3034</v>
      </c>
      <c r="H81" s="7">
        <v>3.53</v>
      </c>
      <c r="J81" s="30"/>
    </row>
    <row r="82" spans="1:10" x14ac:dyDescent="0.3">
      <c r="A82" s="9">
        <v>99053</v>
      </c>
      <c r="B82" s="9">
        <v>6</v>
      </c>
      <c r="C82" s="7" t="s">
        <v>2340</v>
      </c>
      <c r="D82" s="7" t="s">
        <v>59</v>
      </c>
      <c r="E82" t="s">
        <v>2397</v>
      </c>
      <c r="F82" s="7" t="s">
        <v>297</v>
      </c>
      <c r="G82" t="s">
        <v>3030</v>
      </c>
      <c r="H82" s="7">
        <v>9.8699999999999992</v>
      </c>
      <c r="J82" s="30"/>
    </row>
    <row r="83" spans="1:10" x14ac:dyDescent="0.3">
      <c r="A83" s="9">
        <v>73470</v>
      </c>
      <c r="B83" s="9">
        <v>2</v>
      </c>
      <c r="C83" s="7" t="s">
        <v>2340</v>
      </c>
      <c r="D83" s="7" t="s">
        <v>59</v>
      </c>
      <c r="E83" t="s">
        <v>2382</v>
      </c>
      <c r="F83" s="7" t="s">
        <v>300</v>
      </c>
      <c r="G83" t="s">
        <v>3035</v>
      </c>
      <c r="H83" s="7"/>
      <c r="J83" s="30"/>
    </row>
    <row r="84" spans="1:10" x14ac:dyDescent="0.3">
      <c r="A84" s="9">
        <v>70961</v>
      </c>
      <c r="B84" s="9">
        <v>0</v>
      </c>
      <c r="C84" s="7" t="s">
        <v>2340</v>
      </c>
      <c r="D84" s="7" t="s">
        <v>59</v>
      </c>
      <c r="E84" t="s">
        <v>2362</v>
      </c>
      <c r="F84" s="7" t="s">
        <v>303</v>
      </c>
      <c r="G84" t="s">
        <v>3037</v>
      </c>
      <c r="H84" s="7">
        <v>5.0999999999999996</v>
      </c>
      <c r="J84" s="30"/>
    </row>
    <row r="85" spans="1:10" x14ac:dyDescent="0.3">
      <c r="A85" s="9">
        <v>73162</v>
      </c>
      <c r="B85" s="9">
        <v>0</v>
      </c>
      <c r="C85" s="7" t="s">
        <v>2340</v>
      </c>
      <c r="D85" s="7" t="s">
        <v>59</v>
      </c>
      <c r="E85" t="s">
        <v>2373</v>
      </c>
      <c r="F85" s="7" t="s">
        <v>300</v>
      </c>
      <c r="G85" t="s">
        <v>3033</v>
      </c>
      <c r="H85" s="7">
        <v>169.52</v>
      </c>
      <c r="J85" s="30"/>
    </row>
    <row r="86" spans="1:10" x14ac:dyDescent="0.3">
      <c r="A86" s="9">
        <v>70832</v>
      </c>
      <c r="B86" s="9">
        <v>0</v>
      </c>
      <c r="C86" s="7" t="s">
        <v>664</v>
      </c>
      <c r="D86" s="7" t="s">
        <v>52</v>
      </c>
      <c r="E86" t="s">
        <v>1271</v>
      </c>
      <c r="F86" s="7" t="s">
        <v>300</v>
      </c>
      <c r="G86" t="s">
        <v>1272</v>
      </c>
      <c r="H86" s="7">
        <v>18.57</v>
      </c>
      <c r="J86" s="30"/>
    </row>
    <row r="87" spans="1:10" x14ac:dyDescent="0.3">
      <c r="A87" s="9">
        <v>99062</v>
      </c>
      <c r="B87" s="9">
        <v>37</v>
      </c>
      <c r="C87" s="7" t="s">
        <v>664</v>
      </c>
      <c r="D87" s="7" t="s">
        <v>52</v>
      </c>
      <c r="E87" t="s">
        <v>737</v>
      </c>
      <c r="F87" s="7" t="s">
        <v>300</v>
      </c>
      <c r="G87" t="s">
        <v>1274</v>
      </c>
      <c r="H87" s="7">
        <v>37.520000000000003</v>
      </c>
      <c r="I87" s="7">
        <v>9</v>
      </c>
      <c r="J87" s="30">
        <v>0.9</v>
      </c>
    </row>
    <row r="88" spans="1:10" x14ac:dyDescent="0.3">
      <c r="A88" s="9">
        <v>70852</v>
      </c>
      <c r="B88" s="9">
        <v>0</v>
      </c>
      <c r="C88" s="7" t="s">
        <v>664</v>
      </c>
      <c r="D88" s="7" t="s">
        <v>53</v>
      </c>
      <c r="E88" t="s">
        <v>1276</v>
      </c>
      <c r="F88" s="7" t="s">
        <v>300</v>
      </c>
      <c r="G88" t="s">
        <v>1277</v>
      </c>
      <c r="H88" s="7"/>
      <c r="J88" s="30"/>
    </row>
    <row r="89" spans="1:10" x14ac:dyDescent="0.3">
      <c r="A89" s="9">
        <v>73079</v>
      </c>
      <c r="B89" s="9">
        <v>0</v>
      </c>
      <c r="C89" s="7" t="s">
        <v>664</v>
      </c>
      <c r="D89" s="7" t="s">
        <v>52</v>
      </c>
      <c r="E89" t="s">
        <v>1307</v>
      </c>
      <c r="F89" s="7" t="s">
        <v>300</v>
      </c>
      <c r="G89" t="s">
        <v>1308</v>
      </c>
      <c r="H89" s="7"/>
      <c r="I89" s="7">
        <v>0</v>
      </c>
      <c r="J89" s="30"/>
    </row>
    <row r="90" spans="1:10" x14ac:dyDescent="0.3">
      <c r="A90" s="9">
        <v>99031</v>
      </c>
      <c r="B90" s="9">
        <v>89</v>
      </c>
      <c r="C90" s="7" t="s">
        <v>664</v>
      </c>
      <c r="D90" s="7" t="s">
        <v>52</v>
      </c>
      <c r="E90" t="s">
        <v>709</v>
      </c>
      <c r="F90" s="7" t="s">
        <v>300</v>
      </c>
      <c r="G90" t="s">
        <v>1318</v>
      </c>
      <c r="H90" s="7">
        <v>12.05</v>
      </c>
      <c r="J90" s="30"/>
    </row>
    <row r="91" spans="1:10" x14ac:dyDescent="0.3">
      <c r="A91" s="9">
        <v>73264</v>
      </c>
      <c r="B91" s="9">
        <v>0</v>
      </c>
      <c r="C91" s="7" t="s">
        <v>664</v>
      </c>
      <c r="D91" s="7" t="s">
        <v>53</v>
      </c>
      <c r="E91" t="s">
        <v>859</v>
      </c>
      <c r="F91" s="7" t="s">
        <v>323</v>
      </c>
      <c r="G91" t="s">
        <v>1151</v>
      </c>
      <c r="H91" s="7">
        <v>14.2</v>
      </c>
      <c r="J91" s="30"/>
    </row>
    <row r="92" spans="1:10" x14ac:dyDescent="0.3">
      <c r="A92" s="9">
        <v>99031</v>
      </c>
      <c r="B92" s="9">
        <v>61</v>
      </c>
      <c r="C92" s="7" t="s">
        <v>664</v>
      </c>
      <c r="D92" s="7" t="s">
        <v>53</v>
      </c>
      <c r="E92" t="s">
        <v>707</v>
      </c>
      <c r="F92" s="7" t="s">
        <v>300</v>
      </c>
      <c r="G92" t="s">
        <v>1316</v>
      </c>
      <c r="H92" s="7">
        <v>13.86</v>
      </c>
      <c r="J92" s="30"/>
    </row>
    <row r="93" spans="1:10" x14ac:dyDescent="0.3">
      <c r="A93" s="9">
        <v>71131</v>
      </c>
      <c r="B93" s="9">
        <v>0</v>
      </c>
      <c r="C93" s="7" t="s">
        <v>664</v>
      </c>
      <c r="D93" s="7" t="s">
        <v>52</v>
      </c>
      <c r="E93" t="s">
        <v>860</v>
      </c>
      <c r="F93" s="7" t="s">
        <v>302</v>
      </c>
      <c r="G93" t="s">
        <v>1087</v>
      </c>
      <c r="H93" s="7">
        <v>3.53</v>
      </c>
      <c r="J93" s="30"/>
    </row>
    <row r="94" spans="1:10" x14ac:dyDescent="0.3">
      <c r="A94" s="9">
        <v>99031</v>
      </c>
      <c r="B94" s="9">
        <v>97</v>
      </c>
      <c r="C94" s="7" t="s">
        <v>664</v>
      </c>
      <c r="D94" s="7" t="s">
        <v>53</v>
      </c>
      <c r="E94" t="s">
        <v>719</v>
      </c>
      <c r="F94" s="7" t="s">
        <v>300</v>
      </c>
      <c r="G94" t="s">
        <v>1326</v>
      </c>
      <c r="H94" s="7">
        <v>5.98</v>
      </c>
      <c r="J94" s="30"/>
    </row>
    <row r="95" spans="1:10" x14ac:dyDescent="0.3">
      <c r="A95" s="9">
        <v>99031</v>
      </c>
      <c r="B95" s="9">
        <v>90</v>
      </c>
      <c r="C95" s="7" t="s">
        <v>664</v>
      </c>
      <c r="D95" s="7" t="s">
        <v>52</v>
      </c>
      <c r="E95" t="s">
        <v>711</v>
      </c>
      <c r="F95" s="7" t="s">
        <v>300</v>
      </c>
      <c r="G95" t="s">
        <v>1320</v>
      </c>
      <c r="H95" s="7">
        <v>18.39</v>
      </c>
      <c r="J95" s="30"/>
    </row>
    <row r="96" spans="1:10" x14ac:dyDescent="0.3">
      <c r="A96" s="9">
        <v>99212</v>
      </c>
      <c r="B96" s="9">
        <v>4</v>
      </c>
      <c r="C96" s="7" t="s">
        <v>664</v>
      </c>
      <c r="D96" s="7" t="s">
        <v>52</v>
      </c>
      <c r="E96" t="s">
        <v>1304</v>
      </c>
      <c r="F96" s="7" t="s">
        <v>323</v>
      </c>
      <c r="G96" t="s">
        <v>1305</v>
      </c>
      <c r="H96" s="7">
        <v>1.75</v>
      </c>
      <c r="J96" s="30"/>
    </row>
    <row r="97" spans="1:10" x14ac:dyDescent="0.3">
      <c r="A97" s="9">
        <v>99212</v>
      </c>
      <c r="B97" s="9">
        <v>1</v>
      </c>
      <c r="C97" s="7" t="s">
        <v>664</v>
      </c>
      <c r="D97" s="7" t="s">
        <v>52</v>
      </c>
      <c r="E97" t="s">
        <v>1331</v>
      </c>
      <c r="F97" s="7" t="s">
        <v>323</v>
      </c>
      <c r="G97" t="s">
        <v>1332</v>
      </c>
      <c r="H97" s="7">
        <v>6.08</v>
      </c>
      <c r="J97" s="30"/>
    </row>
    <row r="98" spans="1:10" x14ac:dyDescent="0.3">
      <c r="A98" s="9">
        <v>73126</v>
      </c>
      <c r="B98" s="9">
        <v>0</v>
      </c>
      <c r="C98" s="7" t="s">
        <v>664</v>
      </c>
      <c r="D98" s="7" t="s">
        <v>52</v>
      </c>
      <c r="E98" t="s">
        <v>1311</v>
      </c>
      <c r="F98" s="7" t="s">
        <v>297</v>
      </c>
      <c r="G98" t="s">
        <v>1312</v>
      </c>
      <c r="H98" s="7">
        <v>0.13</v>
      </c>
      <c r="J98" s="30"/>
    </row>
    <row r="99" spans="1:10" x14ac:dyDescent="0.3">
      <c r="A99" s="9">
        <v>73366</v>
      </c>
      <c r="B99" s="9">
        <v>0</v>
      </c>
      <c r="C99" s="7" t="s">
        <v>664</v>
      </c>
      <c r="D99" s="7" t="s">
        <v>53</v>
      </c>
      <c r="E99" t="s">
        <v>1157</v>
      </c>
      <c r="F99" s="7" t="s">
        <v>300</v>
      </c>
      <c r="G99" t="s">
        <v>1158</v>
      </c>
      <c r="H99" s="7">
        <v>2.25</v>
      </c>
      <c r="J99" s="30"/>
    </row>
    <row r="100" spans="1:10" x14ac:dyDescent="0.3">
      <c r="A100" s="9">
        <v>99189</v>
      </c>
      <c r="B100" s="9">
        <v>3</v>
      </c>
      <c r="C100" s="7" t="s">
        <v>664</v>
      </c>
      <c r="D100" s="7" t="s">
        <v>52</v>
      </c>
      <c r="E100" t="s">
        <v>753</v>
      </c>
      <c r="F100" s="7" t="s">
        <v>323</v>
      </c>
      <c r="G100" t="s">
        <v>1254</v>
      </c>
      <c r="H100" s="7"/>
      <c r="J100" s="30"/>
    </row>
    <row r="101" spans="1:10" x14ac:dyDescent="0.3">
      <c r="A101" s="9">
        <v>99031</v>
      </c>
      <c r="B101" s="9">
        <v>190</v>
      </c>
      <c r="C101" s="7" t="s">
        <v>664</v>
      </c>
      <c r="D101" s="7" t="s">
        <v>53</v>
      </c>
      <c r="E101" t="s">
        <v>729</v>
      </c>
      <c r="F101" s="7" t="s">
        <v>300</v>
      </c>
      <c r="G101" t="s">
        <v>1243</v>
      </c>
      <c r="H101" s="7"/>
      <c r="I101" s="7">
        <v>8</v>
      </c>
      <c r="J101" s="30">
        <v>0.88732394366197187</v>
      </c>
    </row>
    <row r="102" spans="1:10" x14ac:dyDescent="0.3">
      <c r="A102" s="9">
        <v>99189</v>
      </c>
      <c r="B102" s="9">
        <v>1</v>
      </c>
      <c r="C102" s="7" t="s">
        <v>664</v>
      </c>
      <c r="D102" s="7" t="s">
        <v>52</v>
      </c>
      <c r="E102" t="s">
        <v>749</v>
      </c>
      <c r="F102" s="7" t="s">
        <v>300</v>
      </c>
      <c r="G102" t="s">
        <v>1245</v>
      </c>
      <c r="H102" s="7"/>
      <c r="I102" s="7">
        <v>8</v>
      </c>
      <c r="J102" s="30">
        <v>0.61538461538461542</v>
      </c>
    </row>
    <row r="103" spans="1:10" x14ac:dyDescent="0.3">
      <c r="A103" s="9">
        <v>73544</v>
      </c>
      <c r="B103" s="9">
        <v>0</v>
      </c>
      <c r="C103" s="7" t="s">
        <v>664</v>
      </c>
      <c r="D103" s="7" t="s">
        <v>53</v>
      </c>
      <c r="E103" t="s">
        <v>685</v>
      </c>
      <c r="F103" s="7" t="s">
        <v>303</v>
      </c>
      <c r="G103" t="s">
        <v>1218</v>
      </c>
      <c r="H103" s="7">
        <v>4.6399999999999997</v>
      </c>
      <c r="J103" s="30"/>
    </row>
    <row r="104" spans="1:10" x14ac:dyDescent="0.3">
      <c r="A104" s="9">
        <v>73521</v>
      </c>
      <c r="B104" s="9">
        <v>0</v>
      </c>
      <c r="C104" s="7" t="s">
        <v>664</v>
      </c>
      <c r="D104" s="7" t="s">
        <v>53</v>
      </c>
      <c r="E104" t="s">
        <v>1210</v>
      </c>
      <c r="F104" s="7" t="s">
        <v>303</v>
      </c>
      <c r="G104" t="s">
        <v>1211</v>
      </c>
      <c r="H104" s="7">
        <v>9.8000000000000007</v>
      </c>
      <c r="J104" s="30"/>
    </row>
    <row r="105" spans="1:10" x14ac:dyDescent="0.3">
      <c r="A105" s="9">
        <v>99189</v>
      </c>
      <c r="B105" s="9">
        <v>2</v>
      </c>
      <c r="C105" s="7" t="s">
        <v>664</v>
      </c>
      <c r="D105" s="7" t="s">
        <v>52</v>
      </c>
      <c r="E105" t="s">
        <v>751</v>
      </c>
      <c r="F105" s="7" t="s">
        <v>323</v>
      </c>
      <c r="G105" t="s">
        <v>1247</v>
      </c>
      <c r="H105" s="7"/>
      <c r="J105" s="30"/>
    </row>
    <row r="106" spans="1:10" x14ac:dyDescent="0.3">
      <c r="A106" s="9">
        <v>233684</v>
      </c>
      <c r="B106" s="9">
        <v>0</v>
      </c>
      <c r="C106" s="7" t="s">
        <v>664</v>
      </c>
      <c r="D106" s="7" t="s">
        <v>53</v>
      </c>
      <c r="E106" t="s">
        <v>1236</v>
      </c>
      <c r="F106" s="7" t="s">
        <v>303</v>
      </c>
      <c r="G106" t="s">
        <v>1237</v>
      </c>
      <c r="H106" s="7"/>
      <c r="J106" s="30"/>
    </row>
    <row r="107" spans="1:10" x14ac:dyDescent="0.3">
      <c r="A107" s="9">
        <v>73578</v>
      </c>
      <c r="B107" s="9">
        <v>0</v>
      </c>
      <c r="C107" s="7" t="s">
        <v>664</v>
      </c>
      <c r="D107" s="7" t="s">
        <v>53</v>
      </c>
      <c r="E107" t="s">
        <v>697</v>
      </c>
      <c r="F107" s="7" t="s">
        <v>300</v>
      </c>
      <c r="G107" t="s">
        <v>1232</v>
      </c>
      <c r="H107" s="7"/>
      <c r="J107" s="30"/>
    </row>
    <row r="108" spans="1:10" x14ac:dyDescent="0.3">
      <c r="A108" s="9">
        <v>73063</v>
      </c>
      <c r="B108" s="9">
        <v>15</v>
      </c>
      <c r="C108" s="7" t="s">
        <v>664</v>
      </c>
      <c r="D108" s="7" t="s">
        <v>52</v>
      </c>
      <c r="E108" t="s">
        <v>1259</v>
      </c>
      <c r="F108" s="7" t="s">
        <v>323</v>
      </c>
      <c r="G108" t="s">
        <v>1260</v>
      </c>
      <c r="H108" s="7"/>
      <c r="J108" s="30"/>
    </row>
    <row r="109" spans="1:10" x14ac:dyDescent="0.3">
      <c r="A109" s="9">
        <v>73595</v>
      </c>
      <c r="B109" s="9">
        <v>0</v>
      </c>
      <c r="C109" s="7" t="s">
        <v>664</v>
      </c>
      <c r="D109" s="7" t="s">
        <v>53</v>
      </c>
      <c r="E109" t="s">
        <v>703</v>
      </c>
      <c r="F109" s="7" t="s">
        <v>300</v>
      </c>
      <c r="G109" t="s">
        <v>3349</v>
      </c>
      <c r="H109" s="7"/>
      <c r="J109" s="30"/>
    </row>
    <row r="110" spans="1:10" x14ac:dyDescent="0.3">
      <c r="A110" s="9">
        <v>99031</v>
      </c>
      <c r="B110" s="9">
        <v>189</v>
      </c>
      <c r="C110" s="7" t="s">
        <v>664</v>
      </c>
      <c r="D110" s="7" t="s">
        <v>53</v>
      </c>
      <c r="E110" t="s">
        <v>612</v>
      </c>
      <c r="F110" s="7" t="s">
        <v>300</v>
      </c>
      <c r="G110" t="s">
        <v>1023</v>
      </c>
      <c r="H110" s="7"/>
      <c r="J110" s="30"/>
    </row>
    <row r="111" spans="1:10" x14ac:dyDescent="0.3">
      <c r="A111" s="9">
        <v>73517</v>
      </c>
      <c r="B111" s="9">
        <v>0</v>
      </c>
      <c r="C111" s="7" t="s">
        <v>664</v>
      </c>
      <c r="D111" s="7" t="s">
        <v>52</v>
      </c>
      <c r="E111" t="s">
        <v>675</v>
      </c>
      <c r="F111" s="7" t="s">
        <v>300</v>
      </c>
      <c r="G111" t="s">
        <v>1207</v>
      </c>
      <c r="H111" s="7">
        <v>4.4800000000000004</v>
      </c>
      <c r="J111" s="30"/>
    </row>
    <row r="112" spans="1:10" x14ac:dyDescent="0.3">
      <c r="A112" s="9">
        <v>99031</v>
      </c>
      <c r="B112" s="9">
        <v>181</v>
      </c>
      <c r="C112" s="7" t="s">
        <v>664</v>
      </c>
      <c r="D112" s="7" t="s">
        <v>52</v>
      </c>
      <c r="E112" t="s">
        <v>727</v>
      </c>
      <c r="F112" s="7" t="s">
        <v>300</v>
      </c>
      <c r="G112" t="s">
        <v>1241</v>
      </c>
      <c r="H112" s="7"/>
      <c r="J112" s="30"/>
    </row>
    <row r="113" spans="1:10" x14ac:dyDescent="0.3">
      <c r="A113" s="9">
        <v>99161</v>
      </c>
      <c r="B113" s="9">
        <v>37</v>
      </c>
      <c r="C113" s="7" t="s">
        <v>664</v>
      </c>
      <c r="D113" s="7" t="s">
        <v>52</v>
      </c>
      <c r="E113" t="s">
        <v>1192</v>
      </c>
      <c r="F113" s="7" t="s">
        <v>354</v>
      </c>
      <c r="G113" t="s">
        <v>1193</v>
      </c>
      <c r="H113" s="7"/>
      <c r="I113" s="7">
        <v>0</v>
      </c>
      <c r="J113" s="30"/>
    </row>
    <row r="114" spans="1:10" x14ac:dyDescent="0.3">
      <c r="A114" s="9">
        <v>73576</v>
      </c>
      <c r="B114" s="9">
        <v>0</v>
      </c>
      <c r="C114" s="7" t="s">
        <v>664</v>
      </c>
      <c r="D114" s="7" t="s">
        <v>52</v>
      </c>
      <c r="E114" t="s">
        <v>1229</v>
      </c>
      <c r="F114" s="7" t="s">
        <v>300</v>
      </c>
      <c r="G114" t="s">
        <v>1230</v>
      </c>
      <c r="H114" s="7"/>
      <c r="J114" s="30"/>
    </row>
    <row r="115" spans="1:10" x14ac:dyDescent="0.3">
      <c r="A115" s="9">
        <v>99137</v>
      </c>
      <c r="B115" s="9">
        <v>2</v>
      </c>
      <c r="C115" s="7" t="s">
        <v>664</v>
      </c>
      <c r="D115" s="7" t="s">
        <v>52</v>
      </c>
      <c r="E115" t="s">
        <v>745</v>
      </c>
      <c r="F115" s="7" t="s">
        <v>323</v>
      </c>
      <c r="G115" t="s">
        <v>981</v>
      </c>
      <c r="H115" s="7">
        <v>11.17</v>
      </c>
      <c r="J115" s="30"/>
    </row>
    <row r="116" spans="1:10" x14ac:dyDescent="0.3">
      <c r="A116" s="9">
        <v>73568</v>
      </c>
      <c r="B116" s="9">
        <v>0</v>
      </c>
      <c r="C116" s="7" t="s">
        <v>664</v>
      </c>
      <c r="D116" s="7" t="s">
        <v>52</v>
      </c>
      <c r="E116" t="s">
        <v>861</v>
      </c>
      <c r="F116" s="7" t="s">
        <v>298</v>
      </c>
      <c r="G116" t="s">
        <v>1005</v>
      </c>
      <c r="H116" s="7"/>
      <c r="J116" s="30"/>
    </row>
    <row r="117" spans="1:10" x14ac:dyDescent="0.3">
      <c r="A117" s="9">
        <v>73464</v>
      </c>
      <c r="B117" s="9">
        <v>0</v>
      </c>
      <c r="C117" s="7" t="s">
        <v>664</v>
      </c>
      <c r="D117" s="7" t="s">
        <v>52</v>
      </c>
      <c r="E117" t="s">
        <v>1173</v>
      </c>
      <c r="F117" s="7" t="s">
        <v>323</v>
      </c>
      <c r="G117" t="s">
        <v>1174</v>
      </c>
      <c r="H117" s="7">
        <v>4.58</v>
      </c>
      <c r="J117" s="30"/>
    </row>
    <row r="118" spans="1:10" x14ac:dyDescent="0.3">
      <c r="A118" s="9">
        <v>73404</v>
      </c>
      <c r="B118" s="9">
        <v>8</v>
      </c>
      <c r="C118" s="7" t="s">
        <v>664</v>
      </c>
      <c r="D118" s="7" t="s">
        <v>52</v>
      </c>
      <c r="E118" t="s">
        <v>1213</v>
      </c>
      <c r="F118" s="7" t="s">
        <v>323</v>
      </c>
      <c r="G118" t="s">
        <v>1214</v>
      </c>
      <c r="H118" s="7">
        <v>3.22</v>
      </c>
      <c r="J118" s="30"/>
    </row>
    <row r="119" spans="1:10" x14ac:dyDescent="0.3">
      <c r="A119" s="9">
        <v>73470</v>
      </c>
      <c r="B119" s="9">
        <v>3</v>
      </c>
      <c r="C119" s="7" t="s">
        <v>664</v>
      </c>
      <c r="D119" s="7" t="s">
        <v>52</v>
      </c>
      <c r="E119" t="s">
        <v>665</v>
      </c>
      <c r="F119" s="7" t="s">
        <v>300</v>
      </c>
      <c r="G119" t="s">
        <v>1256</v>
      </c>
      <c r="H119" s="7"/>
      <c r="J119" s="30"/>
    </row>
    <row r="120" spans="1:10" x14ac:dyDescent="0.3">
      <c r="A120" s="9">
        <v>73499</v>
      </c>
      <c r="B120" s="9">
        <v>0</v>
      </c>
      <c r="C120" s="7" t="s">
        <v>664</v>
      </c>
      <c r="D120" s="7" t="s">
        <v>52</v>
      </c>
      <c r="E120" t="s">
        <v>519</v>
      </c>
      <c r="F120" s="7" t="s">
        <v>302</v>
      </c>
      <c r="G120" t="s">
        <v>1195</v>
      </c>
      <c r="H120" s="7">
        <v>4.4000000000000004</v>
      </c>
      <c r="J120" s="30"/>
    </row>
    <row r="121" spans="1:10" x14ac:dyDescent="0.3">
      <c r="A121" s="9">
        <v>99137</v>
      </c>
      <c r="B121" s="9">
        <v>0</v>
      </c>
      <c r="C121" s="7" t="s">
        <v>630</v>
      </c>
      <c r="D121" s="7" t="s">
        <v>58</v>
      </c>
      <c r="E121" t="s">
        <v>741</v>
      </c>
      <c r="F121" s="7" t="s">
        <v>323</v>
      </c>
      <c r="G121" t="s">
        <v>977</v>
      </c>
      <c r="H121" s="7">
        <v>11.75</v>
      </c>
      <c r="J121" s="30"/>
    </row>
    <row r="122" spans="1:10" x14ac:dyDescent="0.3">
      <c r="A122" s="9">
        <v>73523</v>
      </c>
      <c r="B122" s="9">
        <v>1</v>
      </c>
      <c r="C122" s="7" t="s">
        <v>630</v>
      </c>
      <c r="D122" s="7" t="s">
        <v>60</v>
      </c>
      <c r="E122" t="s">
        <v>604</v>
      </c>
      <c r="F122" s="7" t="s">
        <v>300</v>
      </c>
      <c r="G122" t="s">
        <v>968</v>
      </c>
      <c r="H122" s="7">
        <v>7.16</v>
      </c>
      <c r="J122" s="30"/>
    </row>
    <row r="123" spans="1:10" x14ac:dyDescent="0.3">
      <c r="A123" s="9">
        <v>73535</v>
      </c>
      <c r="B123" s="9">
        <v>0</v>
      </c>
      <c r="C123" s="7" t="s">
        <v>630</v>
      </c>
      <c r="D123" s="7" t="s">
        <v>60</v>
      </c>
      <c r="E123" t="s">
        <v>880</v>
      </c>
      <c r="F123" s="7" t="s">
        <v>302</v>
      </c>
      <c r="G123" t="s">
        <v>985</v>
      </c>
      <c r="H123" s="7">
        <v>10.029999999999999</v>
      </c>
      <c r="J123" s="30"/>
    </row>
    <row r="124" spans="1:10" x14ac:dyDescent="0.3">
      <c r="A124" s="9">
        <v>73540</v>
      </c>
      <c r="B124" s="9">
        <v>0</v>
      </c>
      <c r="C124" s="7" t="s">
        <v>630</v>
      </c>
      <c r="D124" s="7" t="s">
        <v>60</v>
      </c>
      <c r="E124" t="s">
        <v>681</v>
      </c>
      <c r="F124" s="7" t="s">
        <v>302</v>
      </c>
      <c r="G124" t="s">
        <v>989</v>
      </c>
      <c r="H124" s="7">
        <v>5.76</v>
      </c>
      <c r="J124" s="30"/>
    </row>
    <row r="125" spans="1:10" x14ac:dyDescent="0.3">
      <c r="A125" s="9">
        <v>99031</v>
      </c>
      <c r="B125" s="9">
        <v>92</v>
      </c>
      <c r="C125" s="7" t="s">
        <v>630</v>
      </c>
      <c r="D125" s="7" t="s">
        <v>60</v>
      </c>
      <c r="E125" t="s">
        <v>628</v>
      </c>
      <c r="F125" s="7" t="s">
        <v>300</v>
      </c>
      <c r="G125" t="s">
        <v>1145</v>
      </c>
      <c r="H125" s="7">
        <v>13.18</v>
      </c>
      <c r="J125" s="30"/>
    </row>
    <row r="126" spans="1:10" x14ac:dyDescent="0.3">
      <c r="A126" s="9">
        <v>73611</v>
      </c>
      <c r="B126" s="9">
        <v>0</v>
      </c>
      <c r="C126" s="7" t="s">
        <v>630</v>
      </c>
      <c r="D126" s="7" t="s">
        <v>60</v>
      </c>
      <c r="E126" t="s">
        <v>864</v>
      </c>
      <c r="F126" s="7" t="s">
        <v>299</v>
      </c>
      <c r="G126" t="s">
        <v>1038</v>
      </c>
      <c r="H126" s="7"/>
      <c r="J126" s="30"/>
    </row>
    <row r="127" spans="1:10" x14ac:dyDescent="0.3">
      <c r="A127" s="9">
        <v>71146</v>
      </c>
      <c r="B127" s="9">
        <v>0</v>
      </c>
      <c r="C127" s="7" t="s">
        <v>630</v>
      </c>
      <c r="D127" s="7" t="s">
        <v>60</v>
      </c>
      <c r="E127" t="s">
        <v>618</v>
      </c>
      <c r="F127" s="7" t="s">
        <v>300</v>
      </c>
      <c r="G127" t="s">
        <v>1101</v>
      </c>
      <c r="H127" s="7">
        <v>3.92</v>
      </c>
      <c r="I127" s="7">
        <v>1</v>
      </c>
      <c r="J127" s="30">
        <v>0.95918367346938771</v>
      </c>
    </row>
    <row r="128" spans="1:10" x14ac:dyDescent="0.3">
      <c r="A128" s="9">
        <v>73404</v>
      </c>
      <c r="B128" s="9">
        <v>2</v>
      </c>
      <c r="C128" s="7" t="s">
        <v>630</v>
      </c>
      <c r="D128" s="7" t="s">
        <v>60</v>
      </c>
      <c r="E128" t="s">
        <v>866</v>
      </c>
      <c r="F128" s="7" t="s">
        <v>303</v>
      </c>
      <c r="G128" t="s">
        <v>1097</v>
      </c>
      <c r="H128" s="7">
        <v>10.6</v>
      </c>
      <c r="J128" s="30"/>
    </row>
    <row r="129" spans="1:10" x14ac:dyDescent="0.3">
      <c r="A129" s="9">
        <v>71148</v>
      </c>
      <c r="B129" s="9">
        <v>0</v>
      </c>
      <c r="C129" s="7" t="s">
        <v>630</v>
      </c>
      <c r="D129" s="7" t="s">
        <v>60</v>
      </c>
      <c r="E129" t="s">
        <v>867</v>
      </c>
      <c r="F129" s="7" t="s">
        <v>323</v>
      </c>
      <c r="G129" t="s">
        <v>1103</v>
      </c>
      <c r="H129" s="7">
        <v>1.9</v>
      </c>
      <c r="J129" s="30"/>
    </row>
    <row r="130" spans="1:10" x14ac:dyDescent="0.3">
      <c r="A130" s="9">
        <v>99061</v>
      </c>
      <c r="B130" s="9">
        <v>112</v>
      </c>
      <c r="C130" s="7" t="s">
        <v>630</v>
      </c>
      <c r="D130" s="7" t="s">
        <v>60</v>
      </c>
      <c r="E130" t="s">
        <v>620</v>
      </c>
      <c r="F130" s="7" t="s">
        <v>300</v>
      </c>
      <c r="G130" t="s">
        <v>954</v>
      </c>
      <c r="H130" s="7">
        <v>22.75</v>
      </c>
      <c r="I130" s="7">
        <v>1</v>
      </c>
      <c r="J130" s="30">
        <v>0.95</v>
      </c>
    </row>
    <row r="131" spans="1:10" x14ac:dyDescent="0.3">
      <c r="A131" s="9">
        <v>71159</v>
      </c>
      <c r="B131" s="9">
        <v>0</v>
      </c>
      <c r="C131" s="7" t="s">
        <v>630</v>
      </c>
      <c r="D131" s="7" t="s">
        <v>58</v>
      </c>
      <c r="E131" t="s">
        <v>622</v>
      </c>
      <c r="F131" s="7" t="s">
        <v>300</v>
      </c>
      <c r="G131" t="s">
        <v>1110</v>
      </c>
      <c r="H131" s="7">
        <v>9.15</v>
      </c>
      <c r="I131" s="7">
        <v>21</v>
      </c>
      <c r="J131" s="30">
        <v>0.81967213114754101</v>
      </c>
    </row>
    <row r="132" spans="1:10" x14ac:dyDescent="0.3">
      <c r="A132" s="9">
        <v>71160</v>
      </c>
      <c r="B132" s="9">
        <v>0</v>
      </c>
      <c r="C132" s="7" t="s">
        <v>630</v>
      </c>
      <c r="D132" s="7" t="s">
        <v>60</v>
      </c>
      <c r="E132" t="s">
        <v>872</v>
      </c>
      <c r="F132" s="7" t="s">
        <v>303</v>
      </c>
      <c r="G132" t="s">
        <v>1112</v>
      </c>
      <c r="H132" s="7">
        <v>5.13</v>
      </c>
      <c r="J132" s="30"/>
    </row>
    <row r="133" spans="1:10" x14ac:dyDescent="0.3">
      <c r="A133" s="9">
        <v>71163</v>
      </c>
      <c r="B133" s="9">
        <v>0</v>
      </c>
      <c r="C133" s="7" t="s">
        <v>630</v>
      </c>
      <c r="D133" s="7" t="s">
        <v>60</v>
      </c>
      <c r="E133" t="s">
        <v>626</v>
      </c>
      <c r="F133" s="7" t="s">
        <v>300</v>
      </c>
      <c r="G133" t="s">
        <v>1116</v>
      </c>
      <c r="H133" s="7">
        <v>2.82</v>
      </c>
      <c r="I133" s="7">
        <v>11</v>
      </c>
      <c r="J133" s="30">
        <v>0.45454545454545453</v>
      </c>
    </row>
    <row r="134" spans="1:10" x14ac:dyDescent="0.3">
      <c r="A134" s="9">
        <v>99161</v>
      </c>
      <c r="B134" s="9">
        <v>112</v>
      </c>
      <c r="C134" s="7" t="s">
        <v>630</v>
      </c>
      <c r="D134" s="7" t="s">
        <v>60</v>
      </c>
      <c r="E134" t="s">
        <v>754</v>
      </c>
      <c r="F134" s="7" t="s">
        <v>300</v>
      </c>
      <c r="G134" t="s">
        <v>954</v>
      </c>
      <c r="H134" s="7">
        <v>0.15</v>
      </c>
      <c r="J134" s="30"/>
    </row>
    <row r="135" spans="1:10" x14ac:dyDescent="0.3">
      <c r="A135" s="9">
        <v>71251</v>
      </c>
      <c r="B135" s="9">
        <v>0</v>
      </c>
      <c r="C135" s="7" t="s">
        <v>630</v>
      </c>
      <c r="D135" s="7" t="s">
        <v>60</v>
      </c>
      <c r="E135" t="s">
        <v>877</v>
      </c>
      <c r="F135" s="7" t="s">
        <v>303</v>
      </c>
      <c r="G135" t="s">
        <v>1118</v>
      </c>
      <c r="H135" s="7"/>
      <c r="I135" s="7">
        <v>0</v>
      </c>
      <c r="J135" s="30"/>
    </row>
    <row r="136" spans="1:10" x14ac:dyDescent="0.3">
      <c r="A136" s="9">
        <v>99047</v>
      </c>
      <c r="B136" s="9">
        <v>9</v>
      </c>
      <c r="C136" s="7" t="s">
        <v>630</v>
      </c>
      <c r="D136" s="7" t="s">
        <v>60</v>
      </c>
      <c r="E136" t="s">
        <v>878</v>
      </c>
      <c r="F136" s="7" t="s">
        <v>302</v>
      </c>
      <c r="G136" t="s">
        <v>1120</v>
      </c>
      <c r="H136" s="7">
        <v>10.92</v>
      </c>
      <c r="J136" s="30"/>
    </row>
    <row r="137" spans="1:10" x14ac:dyDescent="0.3">
      <c r="A137" s="9">
        <v>71255</v>
      </c>
      <c r="B137" s="9">
        <v>0</v>
      </c>
      <c r="C137" s="7" t="s">
        <v>630</v>
      </c>
      <c r="D137" s="7" t="s">
        <v>60</v>
      </c>
      <c r="E137" t="s">
        <v>648</v>
      </c>
      <c r="F137" s="7" t="s">
        <v>298</v>
      </c>
      <c r="G137" t="s">
        <v>1122</v>
      </c>
      <c r="H137" s="7">
        <v>9.32</v>
      </c>
      <c r="J137" s="30"/>
    </row>
    <row r="138" spans="1:10" x14ac:dyDescent="0.3">
      <c r="A138" s="9">
        <v>99212</v>
      </c>
      <c r="B138" s="9">
        <v>0</v>
      </c>
      <c r="C138" s="7" t="s">
        <v>630</v>
      </c>
      <c r="D138" s="7" t="s">
        <v>60</v>
      </c>
      <c r="E138" t="s">
        <v>862</v>
      </c>
      <c r="F138" s="7" t="s">
        <v>323</v>
      </c>
      <c r="G138" t="s">
        <v>1132</v>
      </c>
      <c r="H138" s="7">
        <v>7.68</v>
      </c>
      <c r="J138" s="30"/>
    </row>
    <row r="139" spans="1:10" x14ac:dyDescent="0.3">
      <c r="A139" s="9">
        <v>73459</v>
      </c>
      <c r="B139" s="9">
        <v>0</v>
      </c>
      <c r="C139" s="7" t="s">
        <v>630</v>
      </c>
      <c r="D139" s="7" t="s">
        <v>60</v>
      </c>
      <c r="E139" t="s">
        <v>869</v>
      </c>
      <c r="F139" s="7" t="s">
        <v>323</v>
      </c>
      <c r="G139" t="s">
        <v>941</v>
      </c>
      <c r="H139" s="7"/>
      <c r="J139" s="30"/>
    </row>
    <row r="140" spans="1:10" x14ac:dyDescent="0.3">
      <c r="A140" s="9">
        <v>73190</v>
      </c>
      <c r="B140" s="9">
        <v>0</v>
      </c>
      <c r="C140" s="7" t="s">
        <v>630</v>
      </c>
      <c r="D140" s="7" t="s">
        <v>58</v>
      </c>
      <c r="E140" t="s">
        <v>755</v>
      </c>
      <c r="F140" s="7" t="s">
        <v>300</v>
      </c>
      <c r="G140" t="s">
        <v>1141</v>
      </c>
      <c r="H140" s="7">
        <v>3.65</v>
      </c>
      <c r="J140" s="30"/>
    </row>
    <row r="141" spans="1:10" x14ac:dyDescent="0.3">
      <c r="A141" s="9">
        <v>99126</v>
      </c>
      <c r="B141" s="9">
        <v>3</v>
      </c>
      <c r="C141" s="7" t="s">
        <v>630</v>
      </c>
      <c r="D141" s="7" t="s">
        <v>60</v>
      </c>
      <c r="E141" t="s">
        <v>863</v>
      </c>
      <c r="F141" s="7" t="s">
        <v>323</v>
      </c>
      <c r="G141" t="s">
        <v>1095</v>
      </c>
      <c r="H141" s="7">
        <v>2.96</v>
      </c>
      <c r="J141" s="30"/>
    </row>
    <row r="142" spans="1:10" x14ac:dyDescent="0.3">
      <c r="A142" s="9">
        <v>73549</v>
      </c>
      <c r="B142" s="9">
        <v>0</v>
      </c>
      <c r="C142" s="7" t="s">
        <v>630</v>
      </c>
      <c r="D142" s="7" t="s">
        <v>60</v>
      </c>
      <c r="E142" t="s">
        <v>687</v>
      </c>
      <c r="F142" s="7" t="s">
        <v>303</v>
      </c>
      <c r="G142" t="s">
        <v>991</v>
      </c>
      <c r="H142" s="7">
        <v>10.69</v>
      </c>
      <c r="J142" s="30"/>
    </row>
    <row r="143" spans="1:10" x14ac:dyDescent="0.3">
      <c r="A143" s="9">
        <v>73444</v>
      </c>
      <c r="B143" s="9">
        <v>0</v>
      </c>
      <c r="C143" s="7" t="s">
        <v>630</v>
      </c>
      <c r="D143" s="7" t="s">
        <v>60</v>
      </c>
      <c r="E143" t="s">
        <v>616</v>
      </c>
      <c r="F143" s="7" t="s">
        <v>300</v>
      </c>
      <c r="G143" t="s">
        <v>937</v>
      </c>
      <c r="H143" s="7">
        <v>6.03</v>
      </c>
      <c r="I143" s="7">
        <v>19</v>
      </c>
      <c r="J143" s="30">
        <v>0.56818181818181823</v>
      </c>
    </row>
    <row r="144" spans="1:10" x14ac:dyDescent="0.3">
      <c r="A144" s="9">
        <v>73289</v>
      </c>
      <c r="B144" s="9">
        <v>0</v>
      </c>
      <c r="C144" s="7" t="s">
        <v>630</v>
      </c>
      <c r="D144" s="7" t="s">
        <v>60</v>
      </c>
      <c r="E144" t="s">
        <v>596</v>
      </c>
      <c r="F144" s="7" t="s">
        <v>300</v>
      </c>
      <c r="G144" t="s">
        <v>1153</v>
      </c>
      <c r="H144" s="7">
        <v>7.32</v>
      </c>
      <c r="I144" s="7">
        <v>12</v>
      </c>
      <c r="J144" s="30">
        <v>0.52</v>
      </c>
    </row>
    <row r="145" spans="1:10" x14ac:dyDescent="0.3">
      <c r="A145" s="9">
        <v>73558</v>
      </c>
      <c r="B145" s="9">
        <v>0</v>
      </c>
      <c r="C145" s="7" t="s">
        <v>630</v>
      </c>
      <c r="D145" s="7" t="s">
        <v>60</v>
      </c>
      <c r="E145" t="s">
        <v>879</v>
      </c>
      <c r="F145" s="7" t="s">
        <v>298</v>
      </c>
      <c r="G145" t="s">
        <v>996</v>
      </c>
      <c r="H145" s="7">
        <v>3.17</v>
      </c>
      <c r="J145" s="30"/>
    </row>
    <row r="146" spans="1:10" x14ac:dyDescent="0.3">
      <c r="A146" s="9">
        <v>99052</v>
      </c>
      <c r="B146" s="9">
        <v>9</v>
      </c>
      <c r="C146" s="7" t="s">
        <v>630</v>
      </c>
      <c r="D146" s="7" t="s">
        <v>60</v>
      </c>
      <c r="E146" t="s">
        <v>875</v>
      </c>
      <c r="F146" s="7" t="s">
        <v>303</v>
      </c>
      <c r="G146" t="s">
        <v>1063</v>
      </c>
      <c r="H146" s="7">
        <v>5.68</v>
      </c>
      <c r="J146" s="30"/>
    </row>
    <row r="147" spans="1:10" x14ac:dyDescent="0.3">
      <c r="A147" s="9">
        <v>73569</v>
      </c>
      <c r="B147" s="9">
        <v>0</v>
      </c>
      <c r="C147" s="7" t="s">
        <v>630</v>
      </c>
      <c r="D147" s="7" t="s">
        <v>60</v>
      </c>
      <c r="E147" t="s">
        <v>602</v>
      </c>
      <c r="F147" s="7" t="s">
        <v>300</v>
      </c>
      <c r="G147" t="s">
        <v>1007</v>
      </c>
      <c r="H147" s="7"/>
      <c r="I147" s="7">
        <v>24</v>
      </c>
      <c r="J147" s="30">
        <v>0.66666666666666663</v>
      </c>
    </row>
    <row r="148" spans="1:10" x14ac:dyDescent="0.3">
      <c r="A148" s="9">
        <v>73413</v>
      </c>
      <c r="B148" s="9">
        <v>0</v>
      </c>
      <c r="C148" s="7" t="s">
        <v>630</v>
      </c>
      <c r="D148" s="7" t="s">
        <v>60</v>
      </c>
      <c r="E148" t="s">
        <v>590</v>
      </c>
      <c r="F148" s="7" t="s">
        <v>300</v>
      </c>
      <c r="G148" t="s">
        <v>926</v>
      </c>
      <c r="H148" s="7">
        <v>9.58</v>
      </c>
      <c r="I148" s="7">
        <v>113</v>
      </c>
      <c r="J148" s="30">
        <v>0.79670329670329665</v>
      </c>
    </row>
    <row r="149" spans="1:10" x14ac:dyDescent="0.3">
      <c r="A149" s="9">
        <v>70618</v>
      </c>
      <c r="B149" s="9">
        <v>0</v>
      </c>
      <c r="C149" s="7" t="s">
        <v>630</v>
      </c>
      <c r="D149" s="7" t="s">
        <v>60</v>
      </c>
      <c r="E149" t="s">
        <v>873</v>
      </c>
      <c r="F149" s="7" t="s">
        <v>298</v>
      </c>
      <c r="G149" t="s">
        <v>1061</v>
      </c>
      <c r="H149" s="7"/>
      <c r="J149" s="30"/>
    </row>
    <row r="150" spans="1:10" x14ac:dyDescent="0.3">
      <c r="A150" s="9">
        <v>70024</v>
      </c>
      <c r="B150" s="9">
        <v>0</v>
      </c>
      <c r="C150" s="7" t="s">
        <v>630</v>
      </c>
      <c r="D150" s="7" t="s">
        <v>60</v>
      </c>
      <c r="E150" t="s">
        <v>594</v>
      </c>
      <c r="F150" s="7" t="s">
        <v>300</v>
      </c>
      <c r="G150" t="s">
        <v>1052</v>
      </c>
      <c r="H150" s="7">
        <v>5.4</v>
      </c>
      <c r="I150" s="7">
        <v>41</v>
      </c>
      <c r="J150" s="30">
        <v>0.63636363636363635</v>
      </c>
    </row>
    <row r="151" spans="1:10" x14ac:dyDescent="0.3">
      <c r="A151" s="9">
        <v>73590</v>
      </c>
      <c r="B151" s="9">
        <v>0</v>
      </c>
      <c r="C151" s="7" t="s">
        <v>630</v>
      </c>
      <c r="D151" s="7" t="s">
        <v>60</v>
      </c>
      <c r="E151" t="s">
        <v>614</v>
      </c>
      <c r="F151" s="7" t="s">
        <v>300</v>
      </c>
      <c r="G151" t="s">
        <v>1030</v>
      </c>
      <c r="H151" s="7"/>
      <c r="J151" s="30"/>
    </row>
    <row r="152" spans="1:10" x14ac:dyDescent="0.3">
      <c r="A152" s="9">
        <v>99031</v>
      </c>
      <c r="B152" s="9">
        <v>104</v>
      </c>
      <c r="C152" s="7" t="s">
        <v>630</v>
      </c>
      <c r="D152" s="7" t="s">
        <v>60</v>
      </c>
      <c r="E152" t="s">
        <v>610</v>
      </c>
      <c r="F152" s="7" t="s">
        <v>300</v>
      </c>
      <c r="G152" t="s">
        <v>1155</v>
      </c>
      <c r="H152" s="7">
        <v>10.53</v>
      </c>
      <c r="J152" s="30"/>
    </row>
    <row r="153" spans="1:10" x14ac:dyDescent="0.3">
      <c r="A153" s="9">
        <v>99031</v>
      </c>
      <c r="B153" s="9">
        <v>182</v>
      </c>
      <c r="C153" s="7" t="s">
        <v>629</v>
      </c>
      <c r="D153" s="7" t="s">
        <v>58</v>
      </c>
      <c r="E153" t="s">
        <v>608</v>
      </c>
      <c r="F153" s="7" t="s">
        <v>300</v>
      </c>
      <c r="G153" t="s">
        <v>1021</v>
      </c>
      <c r="H153" s="7"/>
      <c r="J153" s="30"/>
    </row>
    <row r="154" spans="1:10" x14ac:dyDescent="0.3">
      <c r="A154" s="9">
        <v>99031</v>
      </c>
      <c r="B154" s="9">
        <v>191</v>
      </c>
      <c r="C154" s="7" t="s">
        <v>629</v>
      </c>
      <c r="D154" s="7" t="s">
        <v>53</v>
      </c>
      <c r="E154" t="s">
        <v>731</v>
      </c>
      <c r="F154" s="7" t="s">
        <v>300</v>
      </c>
      <c r="G154" t="s">
        <v>1026</v>
      </c>
      <c r="H154" s="7"/>
      <c r="I154" s="7">
        <v>1</v>
      </c>
      <c r="J154" s="30"/>
    </row>
    <row r="155" spans="1:10" x14ac:dyDescent="0.3">
      <c r="A155" s="9">
        <v>73404</v>
      </c>
      <c r="B155" s="9">
        <v>0</v>
      </c>
      <c r="C155" s="7" t="s">
        <v>629</v>
      </c>
      <c r="D155" s="7" t="s">
        <v>53</v>
      </c>
      <c r="E155" t="s">
        <v>882</v>
      </c>
      <c r="F155" s="7" t="s">
        <v>323</v>
      </c>
      <c r="G155" t="s">
        <v>924</v>
      </c>
      <c r="H155" s="7">
        <v>2.0499999999999998</v>
      </c>
      <c r="J155" s="30"/>
    </row>
    <row r="156" spans="1:10" x14ac:dyDescent="0.3">
      <c r="A156" s="9">
        <v>73394</v>
      </c>
      <c r="B156" s="9">
        <v>0</v>
      </c>
      <c r="C156" s="7" t="s">
        <v>629</v>
      </c>
      <c r="D156" s="7" t="s">
        <v>58</v>
      </c>
      <c r="E156" t="s">
        <v>660</v>
      </c>
      <c r="F156" s="7" t="s">
        <v>298</v>
      </c>
      <c r="G156" t="s">
        <v>922</v>
      </c>
      <c r="H156" s="7"/>
      <c r="J156" s="30"/>
    </row>
    <row r="157" spans="1:10" x14ac:dyDescent="0.3">
      <c r="A157" s="9">
        <v>73591</v>
      </c>
      <c r="B157" s="9">
        <v>0</v>
      </c>
      <c r="C157" s="7" t="s">
        <v>629</v>
      </c>
      <c r="D157" s="7" t="s">
        <v>53</v>
      </c>
      <c r="E157" t="s">
        <v>898</v>
      </c>
      <c r="F157" s="7" t="s">
        <v>303</v>
      </c>
      <c r="G157" t="s">
        <v>1032</v>
      </c>
      <c r="H157" s="7"/>
      <c r="J157" s="30"/>
    </row>
    <row r="158" spans="1:10" x14ac:dyDescent="0.3">
      <c r="A158" s="9">
        <v>70897</v>
      </c>
      <c r="B158" s="9">
        <v>4</v>
      </c>
      <c r="C158" s="7" t="s">
        <v>629</v>
      </c>
      <c r="D158" s="7" t="s">
        <v>58</v>
      </c>
      <c r="E158" t="s">
        <v>639</v>
      </c>
      <c r="F158" s="7" t="s">
        <v>300</v>
      </c>
      <c r="G158" t="s">
        <v>1034</v>
      </c>
      <c r="H158" s="7"/>
      <c r="J158" s="30"/>
    </row>
    <row r="159" spans="1:10" x14ac:dyDescent="0.3">
      <c r="A159" s="9">
        <v>99138</v>
      </c>
      <c r="B159" s="9">
        <v>8</v>
      </c>
      <c r="C159" s="7" t="s">
        <v>629</v>
      </c>
      <c r="D159" s="7" t="s">
        <v>58</v>
      </c>
      <c r="E159" t="s">
        <v>759</v>
      </c>
      <c r="F159" s="7" t="s">
        <v>300</v>
      </c>
      <c r="G159" t="s">
        <v>932</v>
      </c>
      <c r="H159" s="7"/>
      <c r="J159" s="30"/>
    </row>
    <row r="160" spans="1:10" x14ac:dyDescent="0.3">
      <c r="A160" s="9">
        <v>99138</v>
      </c>
      <c r="B160" s="9">
        <v>0</v>
      </c>
      <c r="C160" s="7" t="s">
        <v>629</v>
      </c>
      <c r="D160" s="7" t="s">
        <v>58</v>
      </c>
      <c r="E160" t="s">
        <v>890</v>
      </c>
      <c r="F160" s="7" t="s">
        <v>300</v>
      </c>
      <c r="G160" t="s">
        <v>1054</v>
      </c>
      <c r="H160" s="7"/>
      <c r="I160" s="7">
        <v>1</v>
      </c>
      <c r="J160" s="30"/>
    </row>
    <row r="161" spans="1:10" x14ac:dyDescent="0.3">
      <c r="A161" s="9">
        <v>73425</v>
      </c>
      <c r="B161" s="9">
        <v>0</v>
      </c>
      <c r="C161" s="7" t="s">
        <v>629</v>
      </c>
      <c r="D161" s="7" t="s">
        <v>58</v>
      </c>
      <c r="E161" t="s">
        <v>662</v>
      </c>
      <c r="F161" s="7" t="s">
        <v>300</v>
      </c>
      <c r="G161" t="s">
        <v>929</v>
      </c>
      <c r="H161" s="7"/>
      <c r="J161" s="30"/>
    </row>
    <row r="162" spans="1:10" x14ac:dyDescent="0.3">
      <c r="A162" s="9">
        <v>73490</v>
      </c>
      <c r="B162" s="9">
        <v>0</v>
      </c>
      <c r="C162" s="7" t="s">
        <v>629</v>
      </c>
      <c r="D162" s="7" t="s">
        <v>53</v>
      </c>
      <c r="E162" t="s">
        <v>896</v>
      </c>
      <c r="F162" s="7" t="s">
        <v>300</v>
      </c>
      <c r="G162" t="s">
        <v>956</v>
      </c>
      <c r="H162" s="7">
        <v>7.63</v>
      </c>
      <c r="J162" s="30"/>
    </row>
    <row r="163" spans="1:10" x14ac:dyDescent="0.3">
      <c r="A163" s="9">
        <v>99161</v>
      </c>
      <c r="B163" s="9">
        <v>106</v>
      </c>
      <c r="C163" s="7" t="s">
        <v>629</v>
      </c>
      <c r="D163" s="7" t="s">
        <v>53</v>
      </c>
      <c r="E163" t="s">
        <v>895</v>
      </c>
      <c r="F163" s="7" t="s">
        <v>300</v>
      </c>
      <c r="G163" t="s">
        <v>952</v>
      </c>
      <c r="H163" s="7"/>
      <c r="J163" s="30"/>
    </row>
    <row r="164" spans="1:10" x14ac:dyDescent="0.3">
      <c r="A164" s="9">
        <v>99138</v>
      </c>
      <c r="B164" s="9">
        <v>5</v>
      </c>
      <c r="C164" s="7" t="s">
        <v>629</v>
      </c>
      <c r="D164" s="7" t="s">
        <v>58</v>
      </c>
      <c r="E164" t="s">
        <v>894</v>
      </c>
      <c r="F164" s="7" t="s">
        <v>300</v>
      </c>
      <c r="G164" t="s">
        <v>949</v>
      </c>
      <c r="H164" s="7"/>
      <c r="J164" s="30"/>
    </row>
    <row r="165" spans="1:10" x14ac:dyDescent="0.3">
      <c r="A165" s="9">
        <v>99138</v>
      </c>
      <c r="B165" s="9">
        <v>6</v>
      </c>
      <c r="C165" s="7" t="s">
        <v>629</v>
      </c>
      <c r="D165" s="7" t="s">
        <v>58</v>
      </c>
      <c r="E165" t="s">
        <v>891</v>
      </c>
      <c r="F165" s="7" t="s">
        <v>300</v>
      </c>
      <c r="G165" t="s">
        <v>946</v>
      </c>
      <c r="H165" s="7"/>
      <c r="I165" s="7">
        <v>0</v>
      </c>
      <c r="J165" s="30"/>
    </row>
    <row r="166" spans="1:10" x14ac:dyDescent="0.3">
      <c r="A166" s="9">
        <v>73389</v>
      </c>
      <c r="B166" s="9">
        <v>0</v>
      </c>
      <c r="C166" s="7" t="s">
        <v>629</v>
      </c>
      <c r="D166" s="7" t="s">
        <v>58</v>
      </c>
      <c r="E166" t="s">
        <v>884</v>
      </c>
      <c r="F166" s="7" t="s">
        <v>300</v>
      </c>
      <c r="G166" t="s">
        <v>919</v>
      </c>
      <c r="H166" s="7"/>
      <c r="J166" s="30"/>
    </row>
    <row r="167" spans="1:10" x14ac:dyDescent="0.3">
      <c r="A167" s="9">
        <v>71366</v>
      </c>
      <c r="B167" s="9">
        <v>0</v>
      </c>
      <c r="C167" s="7" t="s">
        <v>629</v>
      </c>
      <c r="D167" s="7" t="s">
        <v>58</v>
      </c>
      <c r="E167" t="s">
        <v>650</v>
      </c>
      <c r="F167" s="7" t="s">
        <v>303</v>
      </c>
      <c r="G167" t="s">
        <v>1124</v>
      </c>
      <c r="H167" s="7">
        <v>12.43</v>
      </c>
      <c r="J167" s="30"/>
    </row>
    <row r="168" spans="1:10" x14ac:dyDescent="0.3">
      <c r="A168" s="9">
        <v>99138</v>
      </c>
      <c r="B168" s="9">
        <v>1</v>
      </c>
      <c r="C168" s="7" t="s">
        <v>629</v>
      </c>
      <c r="D168" s="7" t="s">
        <v>58</v>
      </c>
      <c r="E168" t="s">
        <v>893</v>
      </c>
      <c r="F168" s="7" t="s">
        <v>300</v>
      </c>
      <c r="G168" t="s">
        <v>944</v>
      </c>
      <c r="H168" s="7"/>
      <c r="J168" s="30"/>
    </row>
    <row r="169" spans="1:10" x14ac:dyDescent="0.3">
      <c r="A169" s="9">
        <v>70013</v>
      </c>
      <c r="B169" s="9">
        <v>0</v>
      </c>
      <c r="C169" s="7" t="s">
        <v>629</v>
      </c>
      <c r="D169" s="7" t="s">
        <v>58</v>
      </c>
      <c r="E169" t="s">
        <v>600</v>
      </c>
      <c r="F169" s="7" t="s">
        <v>300</v>
      </c>
      <c r="G169" t="s">
        <v>1046</v>
      </c>
      <c r="H169" s="7"/>
      <c r="I169" s="7">
        <v>15</v>
      </c>
      <c r="J169" s="30">
        <v>0.53333333333333333</v>
      </c>
    </row>
    <row r="170" spans="1:10" x14ac:dyDescent="0.3">
      <c r="A170" s="9">
        <v>70011</v>
      </c>
      <c r="B170" s="9">
        <v>0</v>
      </c>
      <c r="C170" s="7" t="s">
        <v>629</v>
      </c>
      <c r="D170" s="7" t="s">
        <v>58</v>
      </c>
      <c r="E170" t="s">
        <v>598</v>
      </c>
      <c r="F170" s="7" t="s">
        <v>300</v>
      </c>
      <c r="G170" t="s">
        <v>1043</v>
      </c>
      <c r="H170" s="7"/>
      <c r="J170" s="30"/>
    </row>
    <row r="171" spans="1:10" x14ac:dyDescent="0.3">
      <c r="A171" s="9">
        <v>70010</v>
      </c>
      <c r="B171" s="9">
        <v>0</v>
      </c>
      <c r="C171" s="7" t="s">
        <v>629</v>
      </c>
      <c r="D171" s="7" t="s">
        <v>58</v>
      </c>
      <c r="E171" t="s">
        <v>758</v>
      </c>
      <c r="F171" s="7" t="s">
        <v>300</v>
      </c>
      <c r="G171" t="s">
        <v>1040</v>
      </c>
      <c r="H171" s="7"/>
      <c r="J171" s="30"/>
    </row>
    <row r="172" spans="1:10" x14ac:dyDescent="0.3">
      <c r="A172" s="9">
        <v>99138</v>
      </c>
      <c r="B172" s="9">
        <v>4</v>
      </c>
      <c r="C172" s="7" t="s">
        <v>629</v>
      </c>
      <c r="D172" s="7" t="s">
        <v>58</v>
      </c>
      <c r="E172" t="s">
        <v>747</v>
      </c>
      <c r="F172" s="7" t="s">
        <v>300</v>
      </c>
      <c r="G172" t="s">
        <v>935</v>
      </c>
      <c r="H172" s="7"/>
      <c r="J172" s="30"/>
    </row>
    <row r="173" spans="1:10" x14ac:dyDescent="0.3">
      <c r="A173" s="9">
        <v>73557</v>
      </c>
      <c r="B173" s="9">
        <v>0</v>
      </c>
      <c r="C173" s="7" t="s">
        <v>629</v>
      </c>
      <c r="D173" s="7" t="s">
        <v>58</v>
      </c>
      <c r="E173" t="s">
        <v>689</v>
      </c>
      <c r="F173" s="7" t="s">
        <v>300</v>
      </c>
      <c r="G173" t="s">
        <v>993</v>
      </c>
      <c r="H173" s="7">
        <v>9.3000000000000007</v>
      </c>
      <c r="J173" s="30"/>
    </row>
    <row r="174" spans="1:10" x14ac:dyDescent="0.3">
      <c r="A174" s="9">
        <v>71145</v>
      </c>
      <c r="B174" s="9">
        <v>0</v>
      </c>
      <c r="C174" s="7" t="s">
        <v>629</v>
      </c>
      <c r="D174" s="7" t="s">
        <v>58</v>
      </c>
      <c r="E174" t="s">
        <v>646</v>
      </c>
      <c r="F174" s="7" t="s">
        <v>300</v>
      </c>
      <c r="G174" t="s">
        <v>1099</v>
      </c>
      <c r="H174" s="7">
        <v>7.6</v>
      </c>
      <c r="I174" s="7">
        <v>21</v>
      </c>
      <c r="J174" s="30">
        <v>0.54545454545454541</v>
      </c>
    </row>
    <row r="175" spans="1:10" x14ac:dyDescent="0.3">
      <c r="A175" s="9">
        <v>73519</v>
      </c>
      <c r="B175" s="9">
        <v>0</v>
      </c>
      <c r="C175" s="7" t="s">
        <v>629</v>
      </c>
      <c r="D175" s="7" t="s">
        <v>58</v>
      </c>
      <c r="E175" t="s">
        <v>606</v>
      </c>
      <c r="F175" s="7" t="s">
        <v>300</v>
      </c>
      <c r="G175" t="s">
        <v>962</v>
      </c>
      <c r="H175" s="7">
        <v>7.77</v>
      </c>
      <c r="J175" s="30"/>
    </row>
    <row r="176" spans="1:10" x14ac:dyDescent="0.3">
      <c r="A176" s="9">
        <v>73561</v>
      </c>
      <c r="B176" s="9">
        <v>0</v>
      </c>
      <c r="C176" s="7" t="s">
        <v>629</v>
      </c>
      <c r="D176" s="7" t="s">
        <v>53</v>
      </c>
      <c r="E176" t="s">
        <v>902</v>
      </c>
      <c r="F176" s="7" t="s">
        <v>299</v>
      </c>
      <c r="G176" t="s">
        <v>1000</v>
      </c>
      <c r="H176" s="7">
        <v>1.85</v>
      </c>
      <c r="J176" s="30"/>
    </row>
    <row r="177" spans="1:10" x14ac:dyDescent="0.3">
      <c r="A177" s="9">
        <v>73565</v>
      </c>
      <c r="B177" s="9">
        <v>0</v>
      </c>
      <c r="C177" s="7" t="s">
        <v>629</v>
      </c>
      <c r="D177" s="7" t="s">
        <v>53</v>
      </c>
      <c r="E177" t="s">
        <v>691</v>
      </c>
      <c r="F177" s="7" t="s">
        <v>300</v>
      </c>
      <c r="G177" t="s">
        <v>1002</v>
      </c>
      <c r="H177" s="7"/>
      <c r="J177" s="30"/>
    </row>
    <row r="178" spans="1:10" x14ac:dyDescent="0.3">
      <c r="A178" s="9">
        <v>99138</v>
      </c>
      <c r="B178" s="9">
        <v>2</v>
      </c>
      <c r="C178" s="7" t="s">
        <v>629</v>
      </c>
      <c r="D178" s="7" t="s">
        <v>58</v>
      </c>
      <c r="E178" t="s">
        <v>757</v>
      </c>
      <c r="F178" s="7" t="s">
        <v>300</v>
      </c>
      <c r="G178" t="s">
        <v>1065</v>
      </c>
      <c r="H178" s="7">
        <v>10.26</v>
      </c>
      <c r="J178" s="30"/>
    </row>
    <row r="179" spans="1:10" x14ac:dyDescent="0.3">
      <c r="A179" s="9">
        <v>70845</v>
      </c>
      <c r="B179" s="9">
        <v>0</v>
      </c>
      <c r="C179" s="7" t="s">
        <v>629</v>
      </c>
      <c r="D179" s="7" t="s">
        <v>58</v>
      </c>
      <c r="E179" t="s">
        <v>883</v>
      </c>
      <c r="F179" s="7" t="s">
        <v>323</v>
      </c>
      <c r="G179" t="s">
        <v>1067</v>
      </c>
      <c r="H179" s="7">
        <v>1.4</v>
      </c>
      <c r="J179" s="30"/>
    </row>
    <row r="180" spans="1:10" x14ac:dyDescent="0.3">
      <c r="A180" s="9">
        <v>70846</v>
      </c>
      <c r="B180" s="9">
        <v>0</v>
      </c>
      <c r="C180" s="7" t="s">
        <v>629</v>
      </c>
      <c r="D180" s="7" t="s">
        <v>58</v>
      </c>
      <c r="E180" t="s">
        <v>903</v>
      </c>
      <c r="F180" s="7" t="s">
        <v>323</v>
      </c>
      <c r="G180" t="s">
        <v>1069</v>
      </c>
      <c r="H180" s="7">
        <v>7.34</v>
      </c>
      <c r="J180" s="30"/>
    </row>
    <row r="181" spans="1:10" x14ac:dyDescent="0.3">
      <c r="A181" s="9">
        <v>73575</v>
      </c>
      <c r="B181" s="9">
        <v>0</v>
      </c>
      <c r="C181" s="7" t="s">
        <v>629</v>
      </c>
      <c r="D181" s="7" t="s">
        <v>53</v>
      </c>
      <c r="E181" t="s">
        <v>901</v>
      </c>
      <c r="F181" s="7" t="s">
        <v>299</v>
      </c>
      <c r="G181" t="s">
        <v>1010</v>
      </c>
      <c r="H181" s="7"/>
      <c r="J181" s="30"/>
    </row>
    <row r="182" spans="1:10" x14ac:dyDescent="0.3">
      <c r="A182" s="9">
        <v>99047</v>
      </c>
      <c r="B182" s="9">
        <v>7</v>
      </c>
      <c r="C182" s="7" t="s">
        <v>629</v>
      </c>
      <c r="D182" s="7" t="s">
        <v>53</v>
      </c>
      <c r="E182" t="s">
        <v>889</v>
      </c>
      <c r="F182" s="7" t="s">
        <v>302</v>
      </c>
      <c r="G182" t="s">
        <v>1071</v>
      </c>
      <c r="H182" s="7">
        <v>12.97</v>
      </c>
      <c r="J182" s="30"/>
    </row>
    <row r="183" spans="1:10" x14ac:dyDescent="0.3">
      <c r="A183" s="9">
        <v>99061</v>
      </c>
      <c r="B183" s="9">
        <v>106</v>
      </c>
      <c r="C183" s="7" t="s">
        <v>629</v>
      </c>
      <c r="D183" s="7" t="s">
        <v>53</v>
      </c>
      <c r="E183" t="s">
        <v>733</v>
      </c>
      <c r="F183" s="7" t="s">
        <v>300</v>
      </c>
      <c r="G183" t="s">
        <v>1073</v>
      </c>
      <c r="H183" s="7">
        <v>20.23</v>
      </c>
      <c r="I183" s="7">
        <v>6</v>
      </c>
      <c r="J183" s="30">
        <v>0.80645161290322576</v>
      </c>
    </row>
    <row r="184" spans="1:10" x14ac:dyDescent="0.3">
      <c r="A184" s="9">
        <v>99138</v>
      </c>
      <c r="B184" s="9">
        <v>3</v>
      </c>
      <c r="C184" s="7" t="s">
        <v>629</v>
      </c>
      <c r="D184" s="7" t="s">
        <v>58</v>
      </c>
      <c r="E184" t="s">
        <v>892</v>
      </c>
      <c r="F184" s="7" t="s">
        <v>300</v>
      </c>
      <c r="G184" t="s">
        <v>939</v>
      </c>
      <c r="H184" s="7"/>
      <c r="J184" s="30"/>
    </row>
    <row r="185" spans="1:10" x14ac:dyDescent="0.3">
      <c r="A185" s="9">
        <v>99031</v>
      </c>
      <c r="B185" s="9">
        <v>91</v>
      </c>
      <c r="C185" s="7" t="s">
        <v>629</v>
      </c>
      <c r="D185" s="7" t="s">
        <v>53</v>
      </c>
      <c r="E185" t="s">
        <v>713</v>
      </c>
      <c r="F185" s="7" t="s">
        <v>300</v>
      </c>
      <c r="G185" t="s">
        <v>1143</v>
      </c>
      <c r="H185" s="7">
        <v>7.06</v>
      </c>
      <c r="J185" s="30"/>
    </row>
    <row r="186" spans="1:10" x14ac:dyDescent="0.3">
      <c r="A186" s="9">
        <v>70876</v>
      </c>
      <c r="B186" s="9">
        <v>0</v>
      </c>
      <c r="C186" s="7" t="s">
        <v>629</v>
      </c>
      <c r="D186" s="7" t="s">
        <v>53</v>
      </c>
      <c r="E186" t="s">
        <v>886</v>
      </c>
      <c r="F186" s="7" t="s">
        <v>302</v>
      </c>
      <c r="G186" t="s">
        <v>1077</v>
      </c>
      <c r="H186" s="7">
        <v>2.2799999999999998</v>
      </c>
      <c r="J186" s="30"/>
    </row>
    <row r="187" spans="1:10" x14ac:dyDescent="0.3">
      <c r="A187" s="9">
        <v>70883</v>
      </c>
      <c r="B187" s="9">
        <v>0</v>
      </c>
      <c r="C187" s="7" t="s">
        <v>629</v>
      </c>
      <c r="D187" s="7" t="s">
        <v>53</v>
      </c>
      <c r="E187" t="s">
        <v>887</v>
      </c>
      <c r="F187" s="7" t="s">
        <v>323</v>
      </c>
      <c r="G187" t="s">
        <v>1079</v>
      </c>
      <c r="H187" s="7">
        <v>7.03</v>
      </c>
      <c r="J187" s="30"/>
    </row>
    <row r="188" spans="1:10" x14ac:dyDescent="0.3">
      <c r="A188" s="9">
        <v>99120</v>
      </c>
      <c r="B188" s="9">
        <v>3</v>
      </c>
      <c r="C188" s="7" t="s">
        <v>629</v>
      </c>
      <c r="D188" s="7" t="s">
        <v>53</v>
      </c>
      <c r="E188" t="s">
        <v>888</v>
      </c>
      <c r="F188" s="7" t="s">
        <v>302</v>
      </c>
      <c r="G188" t="s">
        <v>1081</v>
      </c>
      <c r="H188" s="7">
        <v>11.88</v>
      </c>
      <c r="J188" s="30"/>
    </row>
    <row r="189" spans="1:10" x14ac:dyDescent="0.3">
      <c r="A189" s="9">
        <v>99178</v>
      </c>
      <c r="B189" s="9">
        <v>1</v>
      </c>
      <c r="C189" s="7" t="s">
        <v>629</v>
      </c>
      <c r="D189" s="7" t="s">
        <v>53</v>
      </c>
      <c r="E189" t="s">
        <v>885</v>
      </c>
      <c r="F189" s="7" t="s">
        <v>323</v>
      </c>
      <c r="G189" t="s">
        <v>1075</v>
      </c>
      <c r="H189" s="7">
        <v>4.79</v>
      </c>
      <c r="J189" s="30"/>
    </row>
    <row r="190" spans="1:10" x14ac:dyDescent="0.3">
      <c r="A190" s="9">
        <v>73260</v>
      </c>
      <c r="B190" s="9">
        <v>0</v>
      </c>
      <c r="C190" s="7" t="s">
        <v>629</v>
      </c>
      <c r="D190" s="7" t="s">
        <v>53</v>
      </c>
      <c r="E190" t="s">
        <v>899</v>
      </c>
      <c r="F190" s="7" t="s">
        <v>323</v>
      </c>
      <c r="G190" t="s">
        <v>1147</v>
      </c>
      <c r="H190" s="7">
        <v>8.0399999999999991</v>
      </c>
      <c r="J190" s="30"/>
    </row>
    <row r="191" spans="1:10" x14ac:dyDescent="0.3">
      <c r="A191" s="9">
        <v>73526</v>
      </c>
      <c r="B191" s="9">
        <v>0</v>
      </c>
      <c r="C191" s="7" t="s">
        <v>629</v>
      </c>
      <c r="D191" s="7" t="s">
        <v>58</v>
      </c>
      <c r="E191" t="s">
        <v>900</v>
      </c>
      <c r="F191" s="7" t="s">
        <v>323</v>
      </c>
      <c r="G191" t="s">
        <v>974</v>
      </c>
      <c r="H191" s="7"/>
      <c r="J191" s="30"/>
    </row>
    <row r="192" spans="1:10" x14ac:dyDescent="0.3">
      <c r="A192" s="9">
        <v>73262</v>
      </c>
      <c r="B192" s="9">
        <v>0</v>
      </c>
      <c r="C192" s="7" t="s">
        <v>629</v>
      </c>
      <c r="D192" s="7" t="s">
        <v>58</v>
      </c>
      <c r="E192" t="s">
        <v>656</v>
      </c>
      <c r="F192" s="7" t="s">
        <v>300</v>
      </c>
      <c r="G192" t="s">
        <v>1149</v>
      </c>
      <c r="H192" s="7"/>
      <c r="I192" s="7">
        <v>7</v>
      </c>
      <c r="J192" s="30">
        <v>0.63636363636363635</v>
      </c>
    </row>
    <row r="193" spans="1:10" x14ac:dyDescent="0.3">
      <c r="A193" s="9">
        <v>70897</v>
      </c>
      <c r="B193" s="9">
        <v>1</v>
      </c>
      <c r="C193" s="7" t="s">
        <v>632</v>
      </c>
      <c r="D193" s="7" t="s">
        <v>58</v>
      </c>
      <c r="E193" t="s">
        <v>1197</v>
      </c>
      <c r="F193" s="7" t="s">
        <v>300</v>
      </c>
      <c r="G193" t="s">
        <v>1198</v>
      </c>
      <c r="H193" s="7"/>
      <c r="J193" s="30"/>
    </row>
    <row r="194" spans="1:10" x14ac:dyDescent="0.3">
      <c r="A194" s="9">
        <v>70900</v>
      </c>
      <c r="B194" s="9">
        <v>2</v>
      </c>
      <c r="C194" s="7" t="s">
        <v>632</v>
      </c>
      <c r="D194" s="7" t="s">
        <v>58</v>
      </c>
      <c r="E194" t="s">
        <v>1168</v>
      </c>
      <c r="F194" s="7" t="s">
        <v>300</v>
      </c>
      <c r="G194" t="s">
        <v>1169</v>
      </c>
      <c r="H194" s="7"/>
      <c r="J194" s="30"/>
    </row>
    <row r="195" spans="1:10" x14ac:dyDescent="0.3">
      <c r="A195" s="9">
        <v>73415</v>
      </c>
      <c r="B195" s="9">
        <v>0</v>
      </c>
      <c r="C195" s="7" t="s">
        <v>632</v>
      </c>
      <c r="D195" s="7" t="s">
        <v>58</v>
      </c>
      <c r="E195" t="s">
        <v>1165</v>
      </c>
      <c r="F195" s="7" t="s">
        <v>300</v>
      </c>
      <c r="G195" t="s">
        <v>1166</v>
      </c>
      <c r="H195" s="7"/>
      <c r="J195" s="30"/>
    </row>
    <row r="196" spans="1:10" x14ac:dyDescent="0.3">
      <c r="A196" s="9">
        <v>73047</v>
      </c>
      <c r="B196" s="9">
        <v>0</v>
      </c>
      <c r="C196" s="7" t="s">
        <v>632</v>
      </c>
      <c r="D196" s="7" t="s">
        <v>53</v>
      </c>
      <c r="E196" t="s">
        <v>852</v>
      </c>
      <c r="F196" s="7" t="s">
        <v>300</v>
      </c>
      <c r="G196" t="s">
        <v>1136</v>
      </c>
      <c r="H196" s="7"/>
      <c r="J196" s="30"/>
    </row>
    <row r="197" spans="1:10" x14ac:dyDescent="0.3">
      <c r="A197" s="9">
        <v>70897</v>
      </c>
      <c r="B197" s="9">
        <v>2</v>
      </c>
      <c r="C197" s="7" t="s">
        <v>632</v>
      </c>
      <c r="D197" s="7" t="s">
        <v>58</v>
      </c>
      <c r="E197" t="s">
        <v>1314</v>
      </c>
      <c r="F197" s="7" t="s">
        <v>300</v>
      </c>
      <c r="G197" t="s">
        <v>1315</v>
      </c>
      <c r="H197" s="7"/>
      <c r="J197" s="30"/>
    </row>
    <row r="198" spans="1:10" x14ac:dyDescent="0.3">
      <c r="A198" s="9">
        <v>70900</v>
      </c>
      <c r="B198" s="9">
        <v>4</v>
      </c>
      <c r="C198" s="7" t="s">
        <v>632</v>
      </c>
      <c r="D198" s="7" t="s">
        <v>58</v>
      </c>
      <c r="E198" t="s">
        <v>1262</v>
      </c>
      <c r="F198" s="7" t="s">
        <v>300</v>
      </c>
      <c r="G198" t="s">
        <v>1263</v>
      </c>
      <c r="H198" s="7"/>
      <c r="J198" s="30"/>
    </row>
    <row r="199" spans="1:10" x14ac:dyDescent="0.3">
      <c r="A199" s="9">
        <v>70613</v>
      </c>
      <c r="B199" s="9">
        <v>3</v>
      </c>
      <c r="C199" s="7" t="s">
        <v>632</v>
      </c>
      <c r="D199" s="7" t="s">
        <v>53</v>
      </c>
      <c r="E199" t="s">
        <v>904</v>
      </c>
      <c r="F199" s="7" t="s">
        <v>297</v>
      </c>
      <c r="G199" t="s">
        <v>1017</v>
      </c>
      <c r="H199" s="7"/>
      <c r="J199" s="30"/>
    </row>
    <row r="200" spans="1:10" x14ac:dyDescent="0.3">
      <c r="A200" s="9">
        <v>70900</v>
      </c>
      <c r="B200" s="9">
        <v>1</v>
      </c>
      <c r="C200" s="7" t="s">
        <v>632</v>
      </c>
      <c r="D200" s="7" t="s">
        <v>58</v>
      </c>
      <c r="E200" t="s">
        <v>1298</v>
      </c>
      <c r="F200" s="7" t="s">
        <v>300</v>
      </c>
      <c r="G200" t="s">
        <v>1299</v>
      </c>
      <c r="H200" s="7"/>
      <c r="J200" s="30"/>
    </row>
    <row r="201" spans="1:10" x14ac:dyDescent="0.3">
      <c r="A201" s="9">
        <v>73474</v>
      </c>
      <c r="B201" s="9">
        <v>0</v>
      </c>
      <c r="C201" s="7" t="s">
        <v>632</v>
      </c>
      <c r="D201" s="7" t="s">
        <v>58</v>
      </c>
      <c r="E201" t="s">
        <v>1176</v>
      </c>
      <c r="F201" s="7" t="s">
        <v>300</v>
      </c>
      <c r="G201" t="s">
        <v>1177</v>
      </c>
      <c r="H201" s="7"/>
      <c r="J201" s="30"/>
    </row>
    <row r="202" spans="1:10" x14ac:dyDescent="0.3">
      <c r="A202" s="9">
        <v>73474</v>
      </c>
      <c r="B202" s="9">
        <v>1</v>
      </c>
      <c r="C202" s="7" t="s">
        <v>632</v>
      </c>
      <c r="D202" s="7" t="s">
        <v>58</v>
      </c>
      <c r="E202" t="s">
        <v>1264</v>
      </c>
      <c r="F202" s="7" t="s">
        <v>300</v>
      </c>
      <c r="G202" t="s">
        <v>1265</v>
      </c>
      <c r="H202" s="7"/>
      <c r="J202" s="30"/>
    </row>
    <row r="203" spans="1:10" x14ac:dyDescent="0.3">
      <c r="A203" s="9">
        <v>73577</v>
      </c>
      <c r="B203" s="9">
        <v>0</v>
      </c>
      <c r="C203" s="7" t="s">
        <v>632</v>
      </c>
      <c r="D203" s="7" t="s">
        <v>53</v>
      </c>
      <c r="E203" t="s">
        <v>695</v>
      </c>
      <c r="F203" s="7" t="s">
        <v>300</v>
      </c>
      <c r="G203" t="s">
        <v>1013</v>
      </c>
      <c r="H203" s="7"/>
      <c r="J203" s="30"/>
    </row>
    <row r="204" spans="1:10" x14ac:dyDescent="0.3">
      <c r="A204" s="9">
        <v>73584</v>
      </c>
      <c r="B204" s="9">
        <v>0</v>
      </c>
      <c r="C204" s="7" t="s">
        <v>632</v>
      </c>
      <c r="D204" s="7" t="s">
        <v>58</v>
      </c>
      <c r="E204" t="s">
        <v>1249</v>
      </c>
      <c r="F204" s="7" t="s">
        <v>300</v>
      </c>
      <c r="G204" t="s">
        <v>1250</v>
      </c>
      <c r="H204" s="7"/>
      <c r="J204" s="30"/>
    </row>
    <row r="205" spans="1:10" x14ac:dyDescent="0.3">
      <c r="A205" s="9">
        <v>73415</v>
      </c>
      <c r="B205" s="9">
        <v>4</v>
      </c>
      <c r="C205" s="7" t="s">
        <v>632</v>
      </c>
      <c r="D205" s="7" t="s">
        <v>58</v>
      </c>
      <c r="E205" t="s">
        <v>1180</v>
      </c>
      <c r="F205" s="7" t="s">
        <v>300</v>
      </c>
      <c r="G205" t="s">
        <v>1181</v>
      </c>
      <c r="H205" s="7"/>
      <c r="J205" s="30"/>
    </row>
    <row r="206" spans="1:10" x14ac:dyDescent="0.3">
      <c r="A206" s="9">
        <v>70900</v>
      </c>
      <c r="B206" s="9">
        <v>3</v>
      </c>
      <c r="C206" s="7" t="s">
        <v>632</v>
      </c>
      <c r="D206" s="7" t="s">
        <v>58</v>
      </c>
      <c r="E206" t="s">
        <v>1296</v>
      </c>
      <c r="F206" s="7" t="s">
        <v>300</v>
      </c>
      <c r="G206" t="s">
        <v>1297</v>
      </c>
      <c r="H206" s="7"/>
      <c r="J206" s="30"/>
    </row>
    <row r="207" spans="1:10" x14ac:dyDescent="0.3">
      <c r="A207" s="9">
        <v>70904</v>
      </c>
      <c r="B207" s="9">
        <v>0</v>
      </c>
      <c r="C207" s="7" t="s">
        <v>632</v>
      </c>
      <c r="D207" s="7" t="s">
        <v>58</v>
      </c>
      <c r="E207" t="s">
        <v>1294</v>
      </c>
      <c r="F207" s="7" t="s">
        <v>300</v>
      </c>
      <c r="G207" t="s">
        <v>1295</v>
      </c>
      <c r="H207" s="7"/>
      <c r="J207" s="30"/>
    </row>
    <row r="208" spans="1:10" x14ac:dyDescent="0.3">
      <c r="A208" s="9">
        <v>70901</v>
      </c>
      <c r="B208" s="9">
        <v>0</v>
      </c>
      <c r="C208" s="7" t="s">
        <v>632</v>
      </c>
      <c r="D208" s="7" t="s">
        <v>58</v>
      </c>
      <c r="E208" t="s">
        <v>1292</v>
      </c>
      <c r="F208" s="7" t="s">
        <v>300</v>
      </c>
      <c r="G208" t="s">
        <v>1293</v>
      </c>
      <c r="H208" s="7"/>
      <c r="J208" s="30"/>
    </row>
    <row r="209" spans="1:10" x14ac:dyDescent="0.3">
      <c r="A209" s="9">
        <v>70900</v>
      </c>
      <c r="B209" s="9">
        <v>0</v>
      </c>
      <c r="C209" s="7" t="s">
        <v>632</v>
      </c>
      <c r="D209" s="7" t="s">
        <v>58</v>
      </c>
      <c r="E209" t="s">
        <v>1290</v>
      </c>
      <c r="F209" s="7" t="s">
        <v>300</v>
      </c>
      <c r="G209" t="s">
        <v>1291</v>
      </c>
      <c r="H209" s="7"/>
      <c r="J209" s="30"/>
    </row>
    <row r="210" spans="1:10" x14ac:dyDescent="0.3">
      <c r="A210" s="9">
        <v>70897</v>
      </c>
      <c r="B210" s="9">
        <v>0</v>
      </c>
      <c r="C210" s="7" t="s">
        <v>632</v>
      </c>
      <c r="D210" s="7" t="s">
        <v>58</v>
      </c>
      <c r="E210" t="s">
        <v>1286</v>
      </c>
      <c r="F210" s="7" t="s">
        <v>300</v>
      </c>
      <c r="G210" t="s">
        <v>1287</v>
      </c>
      <c r="H210" s="7"/>
      <c r="J210" s="30"/>
    </row>
    <row r="211" spans="1:10" x14ac:dyDescent="0.3">
      <c r="A211" s="9">
        <v>73502</v>
      </c>
      <c r="B211" s="9">
        <v>0</v>
      </c>
      <c r="C211" s="7" t="s">
        <v>632</v>
      </c>
      <c r="D211" s="7" t="s">
        <v>58</v>
      </c>
      <c r="E211" t="s">
        <v>1204</v>
      </c>
      <c r="F211" s="7" t="s">
        <v>300</v>
      </c>
      <c r="G211" t="s">
        <v>1205</v>
      </c>
      <c r="H211" s="7"/>
      <c r="J211" s="30"/>
    </row>
    <row r="212" spans="1:10" x14ac:dyDescent="0.3">
      <c r="A212" s="9">
        <v>73596</v>
      </c>
      <c r="B212" s="9">
        <v>0</v>
      </c>
      <c r="C212" s="7" t="s">
        <v>632</v>
      </c>
      <c r="D212" s="7" t="s">
        <v>58</v>
      </c>
      <c r="E212" t="s">
        <v>1200</v>
      </c>
      <c r="F212" s="7" t="s">
        <v>303</v>
      </c>
      <c r="G212" t="s">
        <v>1201</v>
      </c>
      <c r="H212" s="7"/>
      <c r="J212" s="30"/>
    </row>
    <row r="213" spans="1:10" x14ac:dyDescent="0.3">
      <c r="A213" s="9">
        <v>70901</v>
      </c>
      <c r="B213" s="9">
        <v>1</v>
      </c>
      <c r="C213" s="7" t="s">
        <v>632</v>
      </c>
      <c r="D213" s="7" t="s">
        <v>58</v>
      </c>
      <c r="E213" t="s">
        <v>1266</v>
      </c>
      <c r="F213" s="7" t="s">
        <v>300</v>
      </c>
      <c r="G213" t="s">
        <v>1267</v>
      </c>
      <c r="H213" s="7"/>
      <c r="J213" s="30"/>
    </row>
    <row r="214" spans="1:10" x14ac:dyDescent="0.3">
      <c r="A214" s="9">
        <v>73524</v>
      </c>
      <c r="B214" s="9">
        <v>0</v>
      </c>
      <c r="C214" s="7" t="s">
        <v>641</v>
      </c>
      <c r="D214" s="7" t="s">
        <v>52</v>
      </c>
      <c r="E214" t="s">
        <v>910</v>
      </c>
      <c r="F214" s="7" t="s">
        <v>303</v>
      </c>
      <c r="G214" t="s">
        <v>972</v>
      </c>
      <c r="H214" s="7">
        <v>4.42</v>
      </c>
      <c r="J214" s="30"/>
    </row>
    <row r="215" spans="1:10" x14ac:dyDescent="0.3">
      <c r="A215" s="9">
        <v>99212</v>
      </c>
      <c r="B215" s="9">
        <v>3</v>
      </c>
      <c r="C215" s="7" t="s">
        <v>641</v>
      </c>
      <c r="D215" s="7" t="s">
        <v>52</v>
      </c>
      <c r="E215" t="s">
        <v>908</v>
      </c>
      <c r="F215" s="7" t="s">
        <v>323</v>
      </c>
      <c r="G215" t="s">
        <v>1134</v>
      </c>
      <c r="H215" s="7">
        <v>5.72</v>
      </c>
      <c r="J215" s="30"/>
    </row>
    <row r="216" spans="1:10" x14ac:dyDescent="0.3">
      <c r="A216" s="9">
        <v>70021</v>
      </c>
      <c r="B216" s="9">
        <v>0</v>
      </c>
      <c r="C216" s="7" t="s">
        <v>641</v>
      </c>
      <c r="D216" s="7" t="s">
        <v>52</v>
      </c>
      <c r="E216" t="s">
        <v>912</v>
      </c>
      <c r="F216" s="7" t="s">
        <v>303</v>
      </c>
      <c r="G216" t="s">
        <v>1049</v>
      </c>
      <c r="H216" s="7">
        <v>8.42</v>
      </c>
      <c r="J216" s="30"/>
    </row>
    <row r="217" spans="1:10" x14ac:dyDescent="0.3">
      <c r="A217" s="9">
        <v>70324</v>
      </c>
      <c r="B217" s="9">
        <v>0</v>
      </c>
      <c r="C217" s="7" t="s">
        <v>641</v>
      </c>
      <c r="D217" s="7" t="s">
        <v>52</v>
      </c>
      <c r="E217" t="s">
        <v>913</v>
      </c>
      <c r="F217" s="7" t="s">
        <v>299</v>
      </c>
      <c r="G217" t="s">
        <v>1057</v>
      </c>
      <c r="H217" s="7">
        <v>2.62</v>
      </c>
      <c r="J217" s="30"/>
    </row>
    <row r="218" spans="1:10" x14ac:dyDescent="0.3">
      <c r="A218" s="9">
        <v>73588</v>
      </c>
      <c r="B218" s="9">
        <v>0</v>
      </c>
      <c r="C218" s="7" t="s">
        <v>641</v>
      </c>
      <c r="D218" s="7" t="s">
        <v>52</v>
      </c>
      <c r="E218" t="s">
        <v>858</v>
      </c>
      <c r="F218" s="7" t="s">
        <v>300</v>
      </c>
      <c r="G218" t="s">
        <v>1028</v>
      </c>
      <c r="H218" s="7"/>
      <c r="J218" s="30"/>
    </row>
    <row r="219" spans="1:10" x14ac:dyDescent="0.3">
      <c r="A219" s="9">
        <v>99031</v>
      </c>
      <c r="B219" s="9">
        <v>180</v>
      </c>
      <c r="C219" s="7" t="s">
        <v>641</v>
      </c>
      <c r="D219" s="7" t="s">
        <v>52</v>
      </c>
      <c r="E219" t="s">
        <v>725</v>
      </c>
      <c r="F219" s="7" t="s">
        <v>300</v>
      </c>
      <c r="G219" t="s">
        <v>1019</v>
      </c>
      <c r="H219" s="7"/>
      <c r="J219" s="30"/>
    </row>
    <row r="220" spans="1:10" x14ac:dyDescent="0.3">
      <c r="A220" s="9">
        <v>99031</v>
      </c>
      <c r="B220" s="9">
        <v>172</v>
      </c>
      <c r="C220" s="7" t="s">
        <v>641</v>
      </c>
      <c r="D220" s="7" t="s">
        <v>52</v>
      </c>
      <c r="E220" t="s">
        <v>723</v>
      </c>
      <c r="F220" s="7" t="s">
        <v>300</v>
      </c>
      <c r="G220" t="s">
        <v>1015</v>
      </c>
      <c r="H220" s="7"/>
      <c r="J220" s="30"/>
    </row>
    <row r="221" spans="1:10" x14ac:dyDescent="0.3">
      <c r="A221" s="9">
        <v>99161</v>
      </c>
      <c r="B221" s="9">
        <v>96</v>
      </c>
      <c r="C221" s="7" t="s">
        <v>641</v>
      </c>
      <c r="D221" s="7" t="s">
        <v>52</v>
      </c>
      <c r="E221" t="s">
        <v>856</v>
      </c>
      <c r="F221" s="7" t="s">
        <v>300</v>
      </c>
      <c r="G221" t="s">
        <v>983</v>
      </c>
      <c r="H221" s="7">
        <v>0.17</v>
      </c>
      <c r="I221" s="7">
        <v>0</v>
      </c>
      <c r="J221" s="30"/>
    </row>
    <row r="222" spans="1:10" x14ac:dyDescent="0.3">
      <c r="A222" s="9">
        <v>73404</v>
      </c>
      <c r="B222" s="9">
        <v>1</v>
      </c>
      <c r="C222" s="7" t="s">
        <v>641</v>
      </c>
      <c r="D222" s="7" t="s">
        <v>52</v>
      </c>
      <c r="E222" t="s">
        <v>907</v>
      </c>
      <c r="F222" s="7" t="s">
        <v>303</v>
      </c>
      <c r="G222" t="s">
        <v>1139</v>
      </c>
      <c r="H222" s="7">
        <v>1.97</v>
      </c>
      <c r="J222" s="30"/>
    </row>
    <row r="223" spans="1:10" x14ac:dyDescent="0.3">
      <c r="A223" s="9">
        <v>99152</v>
      </c>
      <c r="B223" s="9">
        <v>1</v>
      </c>
      <c r="C223" s="7" t="s">
        <v>641</v>
      </c>
      <c r="D223" s="7" t="s">
        <v>52</v>
      </c>
      <c r="E223" t="s">
        <v>854</v>
      </c>
      <c r="F223" s="7" t="s">
        <v>300</v>
      </c>
      <c r="G223" t="s">
        <v>970</v>
      </c>
      <c r="H223" s="7">
        <v>2.31</v>
      </c>
      <c r="J223" s="30"/>
    </row>
    <row r="224" spans="1:10" x14ac:dyDescent="0.3">
      <c r="A224" s="9">
        <v>71128</v>
      </c>
      <c r="B224" s="9">
        <v>0</v>
      </c>
      <c r="C224" s="7" t="s">
        <v>641</v>
      </c>
      <c r="D224" s="7" t="s">
        <v>52</v>
      </c>
      <c r="E224" t="s">
        <v>642</v>
      </c>
      <c r="F224" s="7" t="s">
        <v>300</v>
      </c>
      <c r="G224" t="s">
        <v>1085</v>
      </c>
      <c r="H224" s="7">
        <v>4.1399999999999997</v>
      </c>
      <c r="I224" s="7">
        <v>30</v>
      </c>
      <c r="J224" s="30">
        <v>0.64102564102564108</v>
      </c>
    </row>
    <row r="225" spans="1:10" x14ac:dyDescent="0.3">
      <c r="A225" s="9">
        <v>71132</v>
      </c>
      <c r="B225" s="9">
        <v>0</v>
      </c>
      <c r="C225" s="7" t="s">
        <v>641</v>
      </c>
      <c r="D225" s="7" t="s">
        <v>52</v>
      </c>
      <c r="E225" t="s">
        <v>644</v>
      </c>
      <c r="F225" s="7" t="s">
        <v>300</v>
      </c>
      <c r="G225" t="s">
        <v>1089</v>
      </c>
      <c r="H225" s="7">
        <v>6.54</v>
      </c>
      <c r="J225" s="30"/>
    </row>
    <row r="226" spans="1:10" x14ac:dyDescent="0.3">
      <c r="A226" s="9">
        <v>99062</v>
      </c>
      <c r="B226" s="9">
        <v>96</v>
      </c>
      <c r="C226" s="7" t="s">
        <v>641</v>
      </c>
      <c r="D226" s="7" t="s">
        <v>52</v>
      </c>
      <c r="E226" t="s">
        <v>739</v>
      </c>
      <c r="F226" s="7" t="s">
        <v>300</v>
      </c>
      <c r="G226" t="s">
        <v>1091</v>
      </c>
      <c r="H226" s="7">
        <v>4.0199999999999996</v>
      </c>
      <c r="I226" s="7">
        <v>15</v>
      </c>
      <c r="J226" s="30">
        <v>0.70731707317073167</v>
      </c>
    </row>
    <row r="227" spans="1:10" x14ac:dyDescent="0.3">
      <c r="A227" s="9">
        <v>71136</v>
      </c>
      <c r="B227" s="9">
        <v>0</v>
      </c>
      <c r="C227" s="7" t="s">
        <v>641</v>
      </c>
      <c r="D227" s="7" t="s">
        <v>52</v>
      </c>
      <c r="E227" t="s">
        <v>916</v>
      </c>
      <c r="F227" s="7" t="s">
        <v>302</v>
      </c>
      <c r="G227" t="s">
        <v>1093</v>
      </c>
      <c r="H227" s="7">
        <v>0.52</v>
      </c>
      <c r="J227" s="30"/>
    </row>
    <row r="228" spans="1:10" x14ac:dyDescent="0.3">
      <c r="A228" s="9">
        <v>73516</v>
      </c>
      <c r="B228" s="9">
        <v>0</v>
      </c>
      <c r="C228" s="7" t="s">
        <v>641</v>
      </c>
      <c r="D228" s="7" t="s">
        <v>52</v>
      </c>
      <c r="E228" t="s">
        <v>673</v>
      </c>
      <c r="F228" s="7" t="s">
        <v>300</v>
      </c>
      <c r="G228" t="s">
        <v>960</v>
      </c>
      <c r="H228" s="7">
        <v>5.32</v>
      </c>
      <c r="J228" s="30"/>
    </row>
    <row r="229" spans="1:10" x14ac:dyDescent="0.3">
      <c r="A229" s="9">
        <v>73508</v>
      </c>
      <c r="B229" s="9">
        <v>0</v>
      </c>
      <c r="C229" s="7" t="s">
        <v>641</v>
      </c>
      <c r="D229" s="7" t="s">
        <v>52</v>
      </c>
      <c r="E229" t="s">
        <v>671</v>
      </c>
      <c r="F229" s="7" t="s">
        <v>300</v>
      </c>
      <c r="G229" t="s">
        <v>958</v>
      </c>
      <c r="H229" s="7">
        <v>14.7</v>
      </c>
      <c r="I229" s="7">
        <v>39</v>
      </c>
      <c r="J229" s="30">
        <v>0.71074380165289253</v>
      </c>
    </row>
    <row r="230" spans="1:10" x14ac:dyDescent="0.3">
      <c r="A230" s="9">
        <v>73404</v>
      </c>
      <c r="B230" s="9">
        <v>3</v>
      </c>
      <c r="C230" s="7" t="s">
        <v>641</v>
      </c>
      <c r="D230" s="7" t="s">
        <v>52</v>
      </c>
      <c r="E230" t="s">
        <v>915</v>
      </c>
      <c r="F230" s="7" t="s">
        <v>303</v>
      </c>
      <c r="G230" t="s">
        <v>1083</v>
      </c>
      <c r="H230" s="7">
        <v>4.28</v>
      </c>
      <c r="J230" s="30"/>
    </row>
    <row r="231" spans="1:10" x14ac:dyDescent="0.3">
      <c r="A231" s="9">
        <v>70608</v>
      </c>
      <c r="B231" s="9">
        <v>0</v>
      </c>
      <c r="C231" s="7" t="s">
        <v>2514</v>
      </c>
      <c r="D231" s="7" t="s">
        <v>60</v>
      </c>
      <c r="E231" t="s">
        <v>2516</v>
      </c>
      <c r="F231" s="7" t="s">
        <v>300</v>
      </c>
      <c r="G231" t="s">
        <v>3043</v>
      </c>
      <c r="H231" s="7">
        <v>10.62</v>
      </c>
      <c r="I231" s="7">
        <v>48</v>
      </c>
      <c r="J231" s="30">
        <v>0.80578512396694213</v>
      </c>
    </row>
    <row r="232" spans="1:10" x14ac:dyDescent="0.3">
      <c r="A232" s="9">
        <v>70608</v>
      </c>
      <c r="B232" s="9">
        <v>1</v>
      </c>
      <c r="C232" s="7" t="s">
        <v>2514</v>
      </c>
      <c r="D232" s="7" t="s">
        <v>60</v>
      </c>
      <c r="E232" t="s">
        <v>2518</v>
      </c>
      <c r="F232" s="7" t="s">
        <v>300</v>
      </c>
      <c r="G232" t="s">
        <v>3048</v>
      </c>
      <c r="H232" s="7">
        <v>3.21</v>
      </c>
      <c r="I232" s="7">
        <v>10</v>
      </c>
      <c r="J232" s="30">
        <v>0.85915492957746475</v>
      </c>
    </row>
    <row r="233" spans="1:10" x14ac:dyDescent="0.3">
      <c r="A233" s="9">
        <v>73341</v>
      </c>
      <c r="B233" s="9">
        <v>0</v>
      </c>
      <c r="C233" s="7" t="s">
        <v>2514</v>
      </c>
      <c r="D233" s="7" t="s">
        <v>60</v>
      </c>
      <c r="E233" t="s">
        <v>2577</v>
      </c>
      <c r="F233" s="7" t="s">
        <v>300</v>
      </c>
      <c r="G233" t="s">
        <v>3042</v>
      </c>
      <c r="H233" s="7">
        <v>6.9</v>
      </c>
      <c r="I233" s="7">
        <v>9</v>
      </c>
      <c r="J233" s="30">
        <v>0.79487179487179482</v>
      </c>
    </row>
  </sheetData>
  <printOptions horizontalCentered="1"/>
  <pageMargins left="0.25" right="0.25" top="0.75" bottom="0.75" header="0.3" footer="0.3"/>
  <pageSetup scale="79" fitToHeight="0" orientation="landscape" r:id="rId1"/>
  <headerFooter>
    <oddHeader>&amp;L&amp;"-,Bold"&amp;A&amp;C&amp;D&amp;RPage &amp;P</oddHeader>
  </headerFooter>
  <rowBreaks count="10" manualBreakCount="10">
    <brk id="12" max="10" man="1"/>
    <brk id="37" max="10" man="1"/>
    <brk id="53" max="10" man="1"/>
    <brk id="79" max="10" man="1"/>
    <brk id="85" max="10" man="1"/>
    <brk id="120" max="10" man="1"/>
    <brk id="152" max="10" man="1"/>
    <brk id="192" max="10" man="1"/>
    <brk id="213" max="10" man="1"/>
    <brk id="230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InternalChanges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312420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F962E-E4E1-4C47-B462-2FEAFD849456}">
  <sheetPr codeName="Sheet27">
    <pageSetUpPr fitToPage="1"/>
  </sheetPr>
  <dimension ref="A4:Q8"/>
  <sheetViews>
    <sheetView zoomScaleNormal="100" zoomScaleSheetLayoutView="96" workbookViewId="0">
      <selection activeCell="G7" sqref="G7"/>
    </sheetView>
  </sheetViews>
  <sheetFormatPr defaultRowHeight="14.4" x14ac:dyDescent="0.3"/>
  <cols>
    <col min="1" max="1" width="6.44140625" customWidth="1"/>
    <col min="2" max="2" width="8.21875" style="9" customWidth="1"/>
    <col min="3" max="3" width="10.21875" style="9" bestFit="1" customWidth="1"/>
    <col min="4" max="4" width="10" style="7" customWidth="1"/>
    <col min="5" max="5" width="7.109375" style="7" customWidth="1"/>
    <col min="6" max="6" width="8.6640625" style="7" customWidth="1"/>
    <col min="7" max="7" width="32.33203125" customWidth="1"/>
    <col min="8" max="8" width="10.44140625" style="7" customWidth="1"/>
    <col min="9" max="9" width="49.109375" style="29" customWidth="1"/>
    <col min="10" max="10" width="10.109375" style="29" customWidth="1"/>
    <col min="11" max="11" width="10.77734375" style="29" hidden="1" customWidth="1"/>
    <col min="12" max="12" width="10.44140625" style="29" hidden="1" customWidth="1"/>
    <col min="13" max="13" width="10.88671875" style="7" hidden="1" customWidth="1"/>
    <col min="14" max="14" width="10" style="30" customWidth="1"/>
    <col min="15" max="15" width="10.5546875" style="7" hidden="1" customWidth="1"/>
    <col min="16" max="16" width="12.6640625" style="7" hidden="1" customWidth="1"/>
    <col min="17" max="17" width="9.21875" style="7" hidden="1" customWidth="1"/>
    <col min="18" max="19" width="12.88671875" customWidth="1"/>
    <col min="20" max="21" width="12.88671875" bestFit="1" customWidth="1"/>
    <col min="22" max="22" width="33.77734375" bestFit="1" customWidth="1"/>
    <col min="23" max="23" width="20.77734375" bestFit="1" customWidth="1"/>
    <col min="24" max="24" width="22.77734375" bestFit="1" customWidth="1"/>
  </cols>
  <sheetData>
    <row r="4" spans="1:17" ht="57.6" x14ac:dyDescent="0.3">
      <c r="A4" s="4" t="s">
        <v>377</v>
      </c>
      <c r="B4" s="4" t="s">
        <v>381</v>
      </c>
      <c r="C4" s="8" t="s">
        <v>272</v>
      </c>
      <c r="D4" s="8" t="s">
        <v>273</v>
      </c>
      <c r="E4" s="4" t="s">
        <v>379</v>
      </c>
      <c r="F4" s="4" t="s">
        <v>380</v>
      </c>
      <c r="G4" s="4" t="s">
        <v>10</v>
      </c>
      <c r="H4" s="4" t="s">
        <v>13</v>
      </c>
      <c r="I4" s="4" t="s">
        <v>11</v>
      </c>
      <c r="J4" s="4" t="s">
        <v>294</v>
      </c>
      <c r="K4" s="28" t="s">
        <v>281</v>
      </c>
      <c r="L4" s="28" t="s">
        <v>284</v>
      </c>
      <c r="M4" s="28" t="s">
        <v>287</v>
      </c>
      <c r="N4" s="28" t="s">
        <v>290</v>
      </c>
      <c r="O4" s="4" t="s">
        <v>279</v>
      </c>
      <c r="P4" s="27" t="s">
        <v>280</v>
      </c>
      <c r="Q4" s="4" t="s">
        <v>39</v>
      </c>
    </row>
    <row r="5" spans="1:17" x14ac:dyDescent="0.3">
      <c r="A5" s="7" t="s">
        <v>2079</v>
      </c>
      <c r="B5" t="s">
        <v>3081</v>
      </c>
      <c r="C5" s="9">
        <v>70537</v>
      </c>
      <c r="D5" s="9">
        <v>0</v>
      </c>
      <c r="E5" t="s">
        <v>2079</v>
      </c>
      <c r="F5" s="7" t="s">
        <v>630</v>
      </c>
      <c r="G5" t="s">
        <v>592</v>
      </c>
      <c r="H5" s="7" t="s">
        <v>300</v>
      </c>
      <c r="I5" t="s">
        <v>1059</v>
      </c>
      <c r="J5" s="7">
        <v>10</v>
      </c>
      <c r="K5" s="29">
        <v>94.43</v>
      </c>
      <c r="L5" s="29">
        <v>80.61</v>
      </c>
      <c r="M5" s="29">
        <v>70.75</v>
      </c>
      <c r="N5" s="29">
        <v>89.67</v>
      </c>
      <c r="P5" s="30"/>
    </row>
    <row r="6" spans="1:17" x14ac:dyDescent="0.3">
      <c r="A6" s="7" t="s">
        <v>2079</v>
      </c>
      <c r="B6" t="s">
        <v>3081</v>
      </c>
      <c r="C6" s="9">
        <v>99192</v>
      </c>
      <c r="D6" s="9">
        <v>3</v>
      </c>
      <c r="E6" t="s">
        <v>2079</v>
      </c>
      <c r="F6" s="7" t="s">
        <v>630</v>
      </c>
      <c r="G6" t="s">
        <v>881</v>
      </c>
      <c r="H6" s="7" t="s">
        <v>299</v>
      </c>
      <c r="I6" t="s">
        <v>1126</v>
      </c>
      <c r="J6" s="7">
        <v>1</v>
      </c>
      <c r="K6" s="29">
        <v>44.65</v>
      </c>
      <c r="L6" s="29">
        <v>54.05</v>
      </c>
      <c r="M6" s="29">
        <v>47.4</v>
      </c>
      <c r="N6" s="29">
        <v>51</v>
      </c>
      <c r="P6" s="30"/>
    </row>
    <row r="7" spans="1:17" x14ac:dyDescent="0.3">
      <c r="A7" s="7" t="s">
        <v>630</v>
      </c>
      <c r="B7" t="s">
        <v>3082</v>
      </c>
      <c r="C7" s="9">
        <v>70537</v>
      </c>
      <c r="D7" s="9">
        <v>0</v>
      </c>
      <c r="E7" t="s">
        <v>2079</v>
      </c>
      <c r="F7" s="7" t="s">
        <v>630</v>
      </c>
      <c r="G7" t="s">
        <v>592</v>
      </c>
      <c r="H7" s="7" t="s">
        <v>300</v>
      </c>
      <c r="I7" t="s">
        <v>1059</v>
      </c>
      <c r="J7" s="7">
        <v>10</v>
      </c>
      <c r="K7" s="29">
        <v>94.43</v>
      </c>
      <c r="L7" s="29">
        <v>80.61</v>
      </c>
      <c r="M7" s="29">
        <v>70.75</v>
      </c>
      <c r="N7" s="29">
        <v>89.67</v>
      </c>
      <c r="P7" s="30"/>
    </row>
    <row r="8" spans="1:17" x14ac:dyDescent="0.3">
      <c r="A8" s="7" t="s">
        <v>630</v>
      </c>
      <c r="B8" t="s">
        <v>3082</v>
      </c>
      <c r="C8" s="9">
        <v>99192</v>
      </c>
      <c r="D8" s="9">
        <v>3</v>
      </c>
      <c r="E8" t="s">
        <v>2079</v>
      </c>
      <c r="F8" s="7" t="s">
        <v>630</v>
      </c>
      <c r="G8" t="s">
        <v>881</v>
      </c>
      <c r="H8" s="7" t="s">
        <v>299</v>
      </c>
      <c r="I8" t="s">
        <v>1126</v>
      </c>
      <c r="J8" s="7">
        <v>1</v>
      </c>
      <c r="K8" s="29">
        <v>44.65</v>
      </c>
      <c r="L8" s="29">
        <v>54.05</v>
      </c>
      <c r="M8" s="29">
        <v>47.4</v>
      </c>
      <c r="N8" s="29">
        <v>51</v>
      </c>
      <c r="P8" s="30"/>
    </row>
  </sheetData>
  <phoneticPr fontId="1" type="noConversion"/>
  <conditionalFormatting sqref="A1:A3 A9:A1048576 B4:B8">
    <cfRule type="cellIs" dxfId="18" priority="1" operator="equal">
      <formula>"Coming"</formula>
    </cfRule>
    <cfRule type="cellIs" dxfId="17" priority="2" operator="equal">
      <formula>"Going"</formula>
    </cfRule>
  </conditionalFormatting>
  <printOptions horizontalCentered="1"/>
  <pageMargins left="0.25" right="0.25" top="0.75" bottom="0.75" header="0.3" footer="0.3"/>
  <pageSetup scale="82" fitToHeight="0" orientation="landscape" r:id="rId1"/>
  <headerFooter>
    <oddHeader>&amp;L&amp;"-,Bold"&amp;A&amp;C&amp;D&amp;RPage &amp;P</oddHeader>
  </headerFooter>
  <rowBreaks count="1" manualBreakCount="1">
    <brk id="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omingGoing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662940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C327-98F4-4117-88DC-5D6BD935E137}">
  <sheetPr codeName="Sheet26">
    <pageSetUpPr fitToPage="1"/>
  </sheetPr>
  <dimension ref="A4:R1040"/>
  <sheetViews>
    <sheetView topLeftCell="A279" zoomScale="108" zoomScaleNormal="108" workbookViewId="0">
      <selection activeCell="F288" sqref="F288"/>
    </sheetView>
  </sheetViews>
  <sheetFormatPr defaultRowHeight="14.4" x14ac:dyDescent="0.3"/>
  <cols>
    <col min="1" max="1" width="8" style="9" bestFit="1" customWidth="1"/>
    <col min="2" max="2" width="9.21875" style="9" customWidth="1"/>
    <col min="3" max="3" width="6.77734375" style="7" customWidth="1"/>
    <col min="4" max="4" width="9.21875" style="7" customWidth="1"/>
    <col min="5" max="5" width="7.33203125" style="26" customWidth="1"/>
    <col min="6" max="6" width="29.88671875" style="7" customWidth="1"/>
    <col min="7" max="7" width="10.44140625" customWidth="1"/>
    <col min="8" max="8" width="11" style="7" hidden="1" customWidth="1"/>
    <col min="9" max="9" width="43.5546875" style="7" customWidth="1"/>
    <col min="10" max="10" width="0.33203125" style="7" customWidth="1"/>
    <col min="11" max="11" width="8.44140625" style="4" customWidth="1"/>
    <col min="12" max="12" width="8.77734375" style="31" hidden="1" customWidth="1"/>
    <col min="13" max="13" width="36.44140625" style="43" hidden="1" customWidth="1"/>
    <col min="14" max="14" width="24.88671875" style="31" customWidth="1"/>
    <col min="15" max="15" width="16" style="38" customWidth="1"/>
    <col min="16" max="16" width="10.33203125" style="38" hidden="1" customWidth="1"/>
    <col min="17" max="17" width="11.5546875" style="31" customWidth="1"/>
    <col min="18" max="18" width="6.5546875" style="7" customWidth="1"/>
    <col min="19" max="19" width="52.109375" bestFit="1" customWidth="1"/>
    <col min="20" max="20" width="31.88671875" customWidth="1"/>
    <col min="21" max="21" width="10.88671875" bestFit="1" customWidth="1"/>
  </cols>
  <sheetData>
    <row r="4" spans="1:18" ht="43.2" customHeight="1" x14ac:dyDescent="0.3">
      <c r="A4" s="4" t="s">
        <v>272</v>
      </c>
      <c r="B4" s="4" t="s">
        <v>273</v>
      </c>
      <c r="C4" s="4" t="s">
        <v>379</v>
      </c>
      <c r="D4" s="4" t="s">
        <v>74</v>
      </c>
      <c r="E4" s="4" t="s">
        <v>380</v>
      </c>
      <c r="F4" s="4" t="s">
        <v>10</v>
      </c>
      <c r="G4" s="4" t="s">
        <v>13</v>
      </c>
      <c r="H4" s="4" t="s">
        <v>50</v>
      </c>
      <c r="I4" s="4" t="s">
        <v>11</v>
      </c>
      <c r="J4" s="4" t="s">
        <v>49</v>
      </c>
      <c r="K4" s="4" t="s">
        <v>294</v>
      </c>
      <c r="L4" s="31" t="s">
        <v>12</v>
      </c>
      <c r="M4" s="2" t="s">
        <v>387</v>
      </c>
      <c r="N4" s="4" t="s">
        <v>415</v>
      </c>
      <c r="O4" s="38" t="s">
        <v>35</v>
      </c>
      <c r="P4" s="4" t="s">
        <v>39</v>
      </c>
      <c r="Q4"/>
      <c r="R4"/>
    </row>
    <row r="5" spans="1:18" x14ac:dyDescent="0.3">
      <c r="A5" s="3">
        <v>73496</v>
      </c>
      <c r="B5" s="3">
        <v>0</v>
      </c>
      <c r="C5" s="2" t="s">
        <v>1967</v>
      </c>
      <c r="D5" s="45"/>
      <c r="E5" s="4" t="s">
        <v>1967</v>
      </c>
      <c r="F5" s="50" t="s">
        <v>2042</v>
      </c>
      <c r="G5" s="2" t="s">
        <v>300</v>
      </c>
      <c r="H5" s="2" t="s">
        <v>300</v>
      </c>
      <c r="I5" s="50" t="s">
        <v>2947</v>
      </c>
      <c r="J5" s="50" t="s">
        <v>3634</v>
      </c>
      <c r="K5" s="4">
        <v>16.239999999999998</v>
      </c>
      <c r="L5" s="31">
        <v>13.751796897697901</v>
      </c>
      <c r="M5" s="50"/>
      <c r="N5" s="4">
        <v>28</v>
      </c>
      <c r="O5" s="44">
        <v>45737.333333333336</v>
      </c>
      <c r="P5" s="2"/>
      <c r="Q5"/>
      <c r="R5"/>
    </row>
    <row r="6" spans="1:18" x14ac:dyDescent="0.3">
      <c r="A6" s="3">
        <v>99161</v>
      </c>
      <c r="B6" s="3">
        <v>113</v>
      </c>
      <c r="C6" s="2" t="s">
        <v>1967</v>
      </c>
      <c r="D6" s="45"/>
      <c r="E6" s="4" t="s">
        <v>2167</v>
      </c>
      <c r="F6" s="50" t="s">
        <v>2250</v>
      </c>
      <c r="G6" s="2" t="s">
        <v>300</v>
      </c>
      <c r="H6" s="2" t="s">
        <v>300</v>
      </c>
      <c r="I6" s="50" t="s">
        <v>3000</v>
      </c>
      <c r="J6" s="50" t="s">
        <v>3635</v>
      </c>
      <c r="L6" s="31">
        <v>62.520349315485198</v>
      </c>
      <c r="M6" s="50"/>
      <c r="N6" s="4"/>
      <c r="O6" s="44"/>
      <c r="P6" s="2"/>
      <c r="Q6"/>
      <c r="R6"/>
    </row>
    <row r="7" spans="1:18" x14ac:dyDescent="0.3">
      <c r="A7" s="3">
        <v>71238</v>
      </c>
      <c r="B7" s="3">
        <v>0</v>
      </c>
      <c r="C7" s="2" t="s">
        <v>1967</v>
      </c>
      <c r="D7" s="45"/>
      <c r="E7" s="4" t="s">
        <v>2167</v>
      </c>
      <c r="F7" s="50" t="s">
        <v>2207</v>
      </c>
      <c r="G7" s="2" t="s">
        <v>298</v>
      </c>
      <c r="H7" s="2" t="s">
        <v>298</v>
      </c>
      <c r="I7" s="50" t="s">
        <v>2988</v>
      </c>
      <c r="J7" s="50" t="s">
        <v>3636</v>
      </c>
      <c r="K7" s="4">
        <v>1.9</v>
      </c>
      <c r="L7" s="31">
        <v>62.111188285409703</v>
      </c>
      <c r="M7" s="50"/>
      <c r="N7" s="4"/>
      <c r="O7" s="44">
        <v>45737.25</v>
      </c>
      <c r="P7" s="2"/>
      <c r="Q7"/>
      <c r="R7"/>
    </row>
    <row r="8" spans="1:18" x14ac:dyDescent="0.3">
      <c r="A8" s="3">
        <v>71215</v>
      </c>
      <c r="B8" s="3">
        <v>0</v>
      </c>
      <c r="C8" s="2" t="s">
        <v>1967</v>
      </c>
      <c r="D8" s="45"/>
      <c r="E8" s="4" t="s">
        <v>1967</v>
      </c>
      <c r="F8" s="50" t="s">
        <v>1999</v>
      </c>
      <c r="G8" s="2" t="s">
        <v>323</v>
      </c>
      <c r="H8" s="2" t="s">
        <v>323</v>
      </c>
      <c r="I8" s="50" t="s">
        <v>3107</v>
      </c>
      <c r="J8" s="50" t="s">
        <v>3637</v>
      </c>
      <c r="K8" s="4">
        <v>8.91</v>
      </c>
      <c r="L8" s="31">
        <v>0.97858439037952405</v>
      </c>
      <c r="M8" s="50"/>
      <c r="N8" s="4"/>
      <c r="O8" s="44">
        <v>45737.291666666664</v>
      </c>
      <c r="P8" s="2"/>
      <c r="Q8"/>
      <c r="R8"/>
    </row>
    <row r="9" spans="1:18" x14ac:dyDescent="0.3">
      <c r="A9" s="3">
        <v>99061</v>
      </c>
      <c r="B9" s="3">
        <v>113</v>
      </c>
      <c r="C9" s="2" t="s">
        <v>1967</v>
      </c>
      <c r="D9" s="45"/>
      <c r="E9" s="4" t="s">
        <v>2167</v>
      </c>
      <c r="F9" s="50" t="s">
        <v>2248</v>
      </c>
      <c r="G9" s="2" t="s">
        <v>300</v>
      </c>
      <c r="H9" s="2" t="s">
        <v>300</v>
      </c>
      <c r="I9" s="50" t="s">
        <v>2994</v>
      </c>
      <c r="J9" s="50" t="s">
        <v>3638</v>
      </c>
      <c r="K9" s="4">
        <v>35.99</v>
      </c>
      <c r="L9" s="31">
        <v>0</v>
      </c>
      <c r="M9" s="50"/>
      <c r="N9" s="4">
        <v>17</v>
      </c>
      <c r="O9" s="44">
        <v>45737.291666666664</v>
      </c>
      <c r="P9" s="2"/>
      <c r="Q9"/>
      <c r="R9"/>
    </row>
    <row r="10" spans="1:18" x14ac:dyDescent="0.3">
      <c r="A10" s="3">
        <v>99058</v>
      </c>
      <c r="B10" s="3">
        <v>47</v>
      </c>
      <c r="C10" s="2" t="s">
        <v>1967</v>
      </c>
      <c r="D10" s="45"/>
      <c r="E10" s="4" t="s">
        <v>1967</v>
      </c>
      <c r="F10" s="50" t="s">
        <v>2067</v>
      </c>
      <c r="G10" s="2" t="s">
        <v>300</v>
      </c>
      <c r="H10" s="2" t="s">
        <v>300</v>
      </c>
      <c r="I10" s="50" t="s">
        <v>3103</v>
      </c>
      <c r="J10" s="50" t="s">
        <v>3639</v>
      </c>
      <c r="K10" s="4">
        <v>11.84</v>
      </c>
      <c r="L10" s="31">
        <v>1.0885436614307999</v>
      </c>
      <c r="M10" s="50"/>
      <c r="N10" s="4">
        <v>29</v>
      </c>
      <c r="O10" s="44">
        <v>45737.25</v>
      </c>
      <c r="P10" s="2"/>
      <c r="Q10"/>
      <c r="R10"/>
    </row>
    <row r="11" spans="1:18" x14ac:dyDescent="0.3">
      <c r="A11" s="3">
        <v>99058</v>
      </c>
      <c r="B11" s="3">
        <v>46</v>
      </c>
      <c r="C11" s="2" t="s">
        <v>1967</v>
      </c>
      <c r="D11" s="45"/>
      <c r="E11" s="4" t="s">
        <v>1967</v>
      </c>
      <c r="F11" s="50" t="s">
        <v>2064</v>
      </c>
      <c r="G11" s="2" t="s">
        <v>300</v>
      </c>
      <c r="H11" s="2" t="s">
        <v>300</v>
      </c>
      <c r="I11" s="50" t="s">
        <v>3103</v>
      </c>
      <c r="J11" s="50" t="s">
        <v>3640</v>
      </c>
      <c r="K11" s="4">
        <v>7.4</v>
      </c>
      <c r="L11" s="31">
        <v>0</v>
      </c>
      <c r="M11" s="50"/>
      <c r="N11" s="4"/>
      <c r="O11" s="44">
        <v>45737.25</v>
      </c>
      <c r="P11" s="2"/>
      <c r="Q11"/>
      <c r="R11"/>
    </row>
    <row r="12" spans="1:18" x14ac:dyDescent="0.3">
      <c r="A12" s="3">
        <v>73359</v>
      </c>
      <c r="B12" s="3">
        <v>0</v>
      </c>
      <c r="C12" s="2" t="s">
        <v>1967</v>
      </c>
      <c r="D12" s="45"/>
      <c r="E12" s="4" t="s">
        <v>1967</v>
      </c>
      <c r="F12" s="50" t="s">
        <v>2036</v>
      </c>
      <c r="G12" s="2" t="s">
        <v>299</v>
      </c>
      <c r="H12" s="2" t="s">
        <v>299</v>
      </c>
      <c r="I12" s="50" t="s">
        <v>3090</v>
      </c>
      <c r="J12" s="50" t="s">
        <v>3641</v>
      </c>
      <c r="K12" s="4">
        <v>7.62</v>
      </c>
      <c r="L12" s="31">
        <v>3.9106880341421402E-2</v>
      </c>
      <c r="M12" s="50"/>
      <c r="N12" s="4"/>
      <c r="O12" s="44">
        <v>45737.333333333336</v>
      </c>
      <c r="P12" s="2"/>
      <c r="Q12"/>
      <c r="R12"/>
    </row>
    <row r="13" spans="1:18" x14ac:dyDescent="0.3">
      <c r="A13" s="3">
        <v>99031</v>
      </c>
      <c r="B13" s="3">
        <v>192</v>
      </c>
      <c r="C13" s="2" t="s">
        <v>1967</v>
      </c>
      <c r="D13" s="45"/>
      <c r="E13" s="4" t="s">
        <v>1967</v>
      </c>
      <c r="F13" s="50" t="s">
        <v>2054</v>
      </c>
      <c r="G13" s="2" t="s">
        <v>300</v>
      </c>
      <c r="H13" s="2" t="s">
        <v>300</v>
      </c>
      <c r="I13" s="50" t="s">
        <v>3097</v>
      </c>
      <c r="J13" s="50" t="s">
        <v>3642</v>
      </c>
      <c r="L13" s="31">
        <v>1.3740083589865999</v>
      </c>
      <c r="M13" s="50"/>
      <c r="N13" s="4"/>
      <c r="O13" s="44"/>
      <c r="P13" s="2"/>
      <c r="Q13"/>
      <c r="R13"/>
    </row>
    <row r="14" spans="1:18" x14ac:dyDescent="0.3">
      <c r="A14" s="3">
        <v>71235</v>
      </c>
      <c r="B14" s="3">
        <v>0</v>
      </c>
      <c r="C14" s="2" t="s">
        <v>1967</v>
      </c>
      <c r="D14" s="45"/>
      <c r="E14" s="4" t="s">
        <v>1967</v>
      </c>
      <c r="F14" s="50" t="s">
        <v>2023</v>
      </c>
      <c r="G14" s="2" t="s">
        <v>299</v>
      </c>
      <c r="H14" s="2" t="s">
        <v>299</v>
      </c>
      <c r="I14" s="50" t="s">
        <v>3106</v>
      </c>
      <c r="J14" s="50" t="s">
        <v>3643</v>
      </c>
      <c r="K14" s="4">
        <v>12.66</v>
      </c>
      <c r="L14" s="31">
        <v>0.47427809044654601</v>
      </c>
      <c r="M14" s="50"/>
      <c r="N14" s="4"/>
      <c r="O14" s="44">
        <v>45737.333333333336</v>
      </c>
      <c r="P14" s="2"/>
      <c r="Q14"/>
      <c r="R14"/>
    </row>
    <row r="15" spans="1:18" x14ac:dyDescent="0.3">
      <c r="A15" s="3">
        <v>99062</v>
      </c>
      <c r="B15" s="3">
        <v>120</v>
      </c>
      <c r="C15" s="2" t="s">
        <v>1967</v>
      </c>
      <c r="D15" s="45"/>
      <c r="E15" s="4" t="s">
        <v>1967</v>
      </c>
      <c r="F15" s="50" t="s">
        <v>2069</v>
      </c>
      <c r="G15" s="2" t="s">
        <v>300</v>
      </c>
      <c r="H15" s="2" t="s">
        <v>300</v>
      </c>
      <c r="I15" s="50" t="s">
        <v>3104</v>
      </c>
      <c r="J15" s="50" t="s">
        <v>3644</v>
      </c>
      <c r="K15" s="4">
        <v>14.01</v>
      </c>
      <c r="L15" s="31">
        <v>0.82659863106363196</v>
      </c>
      <c r="M15" s="50"/>
      <c r="N15" s="4">
        <v>8</v>
      </c>
      <c r="O15" s="44">
        <v>45737.333333333336</v>
      </c>
      <c r="P15" s="2"/>
      <c r="Q15"/>
      <c r="R15"/>
    </row>
    <row r="16" spans="1:18" x14ac:dyDescent="0.3">
      <c r="A16" s="3">
        <v>73063</v>
      </c>
      <c r="B16" s="3">
        <v>16</v>
      </c>
      <c r="C16" s="2" t="s">
        <v>1967</v>
      </c>
      <c r="D16" s="45"/>
      <c r="E16" s="4" t="s">
        <v>1967</v>
      </c>
      <c r="F16" s="50" t="s">
        <v>2033</v>
      </c>
      <c r="G16" s="2" t="s">
        <v>323</v>
      </c>
      <c r="H16" s="2" t="s">
        <v>323</v>
      </c>
      <c r="I16" s="50" t="s">
        <v>3098</v>
      </c>
      <c r="J16" s="50" t="s">
        <v>3645</v>
      </c>
      <c r="L16" s="31">
        <v>4.5143013814991404</v>
      </c>
      <c r="M16" s="50"/>
      <c r="N16" s="4"/>
      <c r="O16" s="44"/>
      <c r="P16" s="2"/>
      <c r="Q16"/>
      <c r="R16"/>
    </row>
    <row r="17" spans="1:18" x14ac:dyDescent="0.3">
      <c r="A17" s="3">
        <v>71224</v>
      </c>
      <c r="B17" s="3">
        <v>0</v>
      </c>
      <c r="C17" s="2" t="s">
        <v>1967</v>
      </c>
      <c r="D17" s="45"/>
      <c r="E17" s="4" t="s">
        <v>1967</v>
      </c>
      <c r="F17" s="50" t="s">
        <v>2010</v>
      </c>
      <c r="G17" s="2" t="s">
        <v>323</v>
      </c>
      <c r="H17" s="2" t="s">
        <v>323</v>
      </c>
      <c r="I17" s="50" t="s">
        <v>3108</v>
      </c>
      <c r="J17" s="50" t="s">
        <v>3646</v>
      </c>
      <c r="K17" s="4">
        <v>11.94</v>
      </c>
      <c r="L17" s="31">
        <v>2.0924119081780601</v>
      </c>
      <c r="M17" s="50"/>
      <c r="N17" s="4"/>
      <c r="O17" s="44"/>
      <c r="P17" s="2"/>
      <c r="Q17"/>
      <c r="R17"/>
    </row>
    <row r="18" spans="1:18" x14ac:dyDescent="0.3">
      <c r="A18" s="3">
        <v>73311</v>
      </c>
      <c r="B18" s="3">
        <v>0</v>
      </c>
      <c r="C18" s="2" t="s">
        <v>1967</v>
      </c>
      <c r="D18" s="45"/>
      <c r="E18" s="4" t="s">
        <v>2167</v>
      </c>
      <c r="F18" s="50" t="s">
        <v>2215</v>
      </c>
      <c r="G18" s="2" t="s">
        <v>303</v>
      </c>
      <c r="H18" s="2" t="s">
        <v>303</v>
      </c>
      <c r="I18" s="50" t="s">
        <v>2997</v>
      </c>
      <c r="J18" s="50" t="s">
        <v>3647</v>
      </c>
      <c r="K18" s="4">
        <v>12.16</v>
      </c>
      <c r="L18" s="31">
        <v>3.0320473726330301</v>
      </c>
      <c r="M18" s="50"/>
      <c r="N18" s="4"/>
      <c r="O18" s="44"/>
      <c r="P18" s="2"/>
      <c r="Q18"/>
      <c r="R18"/>
    </row>
    <row r="19" spans="1:18" x14ac:dyDescent="0.3">
      <c r="A19" s="3">
        <v>71206</v>
      </c>
      <c r="B19" s="3">
        <v>0</v>
      </c>
      <c r="C19" s="2" t="s">
        <v>1967</v>
      </c>
      <c r="D19" s="45"/>
      <c r="E19" s="4" t="s">
        <v>2167</v>
      </c>
      <c r="F19" s="50" t="s">
        <v>2191</v>
      </c>
      <c r="G19" s="2" t="s">
        <v>297</v>
      </c>
      <c r="H19" s="2" t="s">
        <v>297</v>
      </c>
      <c r="I19" s="50" t="s">
        <v>2992</v>
      </c>
      <c r="J19" s="50" t="s">
        <v>3648</v>
      </c>
      <c r="K19" s="4">
        <v>6.07</v>
      </c>
      <c r="L19" s="31">
        <v>0.91771696465724495</v>
      </c>
      <c r="M19" s="50"/>
      <c r="N19" s="4"/>
      <c r="O19" s="44"/>
      <c r="P19" s="2"/>
      <c r="Q19"/>
      <c r="R19"/>
    </row>
    <row r="20" spans="1:18" x14ac:dyDescent="0.3">
      <c r="A20" s="3">
        <v>71218</v>
      </c>
      <c r="B20" s="3">
        <v>0</v>
      </c>
      <c r="C20" s="2" t="s">
        <v>1967</v>
      </c>
      <c r="D20" s="45"/>
      <c r="E20" s="4" t="s">
        <v>2167</v>
      </c>
      <c r="F20" s="50" t="s">
        <v>2200</v>
      </c>
      <c r="G20" s="2" t="s">
        <v>300</v>
      </c>
      <c r="H20" s="2" t="s">
        <v>300</v>
      </c>
      <c r="I20" s="50" t="s">
        <v>2985</v>
      </c>
      <c r="J20" s="50" t="s">
        <v>3649</v>
      </c>
      <c r="K20" s="4">
        <v>22.33</v>
      </c>
      <c r="L20" s="31">
        <v>2.6579048784511201</v>
      </c>
      <c r="M20" s="50"/>
      <c r="N20" s="4"/>
      <c r="O20" s="44">
        <v>45737.333333333336</v>
      </c>
      <c r="P20" s="2"/>
      <c r="Q20"/>
      <c r="R20"/>
    </row>
    <row r="21" spans="1:18" x14ac:dyDescent="0.3">
      <c r="A21" s="3">
        <v>73579</v>
      </c>
      <c r="B21" s="3">
        <v>0</v>
      </c>
      <c r="C21" s="2" t="s">
        <v>1967</v>
      </c>
      <c r="D21" s="45"/>
      <c r="E21" s="4" t="s">
        <v>1967</v>
      </c>
      <c r="F21" s="50" t="s">
        <v>2045</v>
      </c>
      <c r="G21" s="2" t="s">
        <v>323</v>
      </c>
      <c r="H21" s="2" t="s">
        <v>323</v>
      </c>
      <c r="I21" s="50" t="s">
        <v>3101</v>
      </c>
      <c r="J21" s="50" t="s">
        <v>3650</v>
      </c>
      <c r="L21" s="31">
        <v>3.4395433605260499</v>
      </c>
      <c r="M21" s="50"/>
      <c r="N21" s="4"/>
      <c r="O21" s="44"/>
      <c r="P21" s="2"/>
      <c r="Q21"/>
      <c r="R21"/>
    </row>
    <row r="22" spans="1:18" x14ac:dyDescent="0.3">
      <c r="A22" s="3">
        <v>71225</v>
      </c>
      <c r="B22" s="3">
        <v>0</v>
      </c>
      <c r="C22" s="2" t="s">
        <v>1967</v>
      </c>
      <c r="D22" s="45"/>
      <c r="E22" s="4" t="s">
        <v>1967</v>
      </c>
      <c r="F22" s="50" t="s">
        <v>2013</v>
      </c>
      <c r="G22" s="2" t="s">
        <v>297</v>
      </c>
      <c r="H22" s="2" t="s">
        <v>297</v>
      </c>
      <c r="I22" s="50" t="s">
        <v>3105</v>
      </c>
      <c r="J22" s="50" t="s">
        <v>3651</v>
      </c>
      <c r="K22" s="4">
        <v>5.23</v>
      </c>
      <c r="L22" s="31">
        <v>1.3307276449317</v>
      </c>
      <c r="M22" s="50"/>
      <c r="N22" s="4"/>
      <c r="O22" s="44"/>
      <c r="P22" s="2"/>
      <c r="Q22"/>
      <c r="R22"/>
    </row>
    <row r="23" spans="1:18" x14ac:dyDescent="0.3">
      <c r="A23" s="3">
        <v>99152</v>
      </c>
      <c r="B23" s="3">
        <v>11</v>
      </c>
      <c r="C23" s="2" t="s">
        <v>1967</v>
      </c>
      <c r="D23" s="45"/>
      <c r="E23" s="4" t="s">
        <v>1967</v>
      </c>
      <c r="F23" s="50" t="s">
        <v>2077</v>
      </c>
      <c r="G23" s="2" t="s">
        <v>300</v>
      </c>
      <c r="H23" s="2" t="s">
        <v>300</v>
      </c>
      <c r="I23" s="50" t="s">
        <v>3102</v>
      </c>
      <c r="J23" s="50" t="s">
        <v>3652</v>
      </c>
      <c r="L23" s="31">
        <v>4.0240331044427604</v>
      </c>
      <c r="M23" s="50"/>
      <c r="N23" s="4"/>
      <c r="O23" s="44"/>
      <c r="P23" s="2"/>
      <c r="Q23"/>
      <c r="R23"/>
    </row>
    <row r="24" spans="1:18" x14ac:dyDescent="0.3">
      <c r="A24" s="3">
        <v>71229</v>
      </c>
      <c r="B24" s="3">
        <v>0</v>
      </c>
      <c r="C24" s="2" t="s">
        <v>1967</v>
      </c>
      <c r="D24" s="45"/>
      <c r="E24" s="4" t="s">
        <v>1967</v>
      </c>
      <c r="F24" s="50" t="s">
        <v>2016</v>
      </c>
      <c r="G24" s="2" t="s">
        <v>302</v>
      </c>
      <c r="H24" s="2" t="s">
        <v>302</v>
      </c>
      <c r="I24" s="50" t="s">
        <v>3084</v>
      </c>
      <c r="J24" s="50" t="s">
        <v>3653</v>
      </c>
      <c r="K24" s="4">
        <v>6.92</v>
      </c>
      <c r="L24" s="31">
        <v>0.43497012791209499</v>
      </c>
      <c r="M24" s="50"/>
      <c r="N24" s="4"/>
      <c r="O24" s="44">
        <v>45737.375</v>
      </c>
      <c r="P24" s="2"/>
      <c r="Q24"/>
      <c r="R24"/>
    </row>
    <row r="25" spans="1:18" x14ac:dyDescent="0.3">
      <c r="A25" s="3">
        <v>70622</v>
      </c>
      <c r="B25" s="3">
        <v>2</v>
      </c>
      <c r="C25" s="2" t="s">
        <v>1967</v>
      </c>
      <c r="D25" s="45"/>
      <c r="E25" s="4" t="s">
        <v>1967</v>
      </c>
      <c r="F25" s="50" t="s">
        <v>1986</v>
      </c>
      <c r="G25" s="2" t="s">
        <v>323</v>
      </c>
      <c r="H25" s="2" t="s">
        <v>323</v>
      </c>
      <c r="I25" s="50" t="s">
        <v>3096</v>
      </c>
      <c r="J25" s="50" t="s">
        <v>3654</v>
      </c>
      <c r="K25" s="4">
        <v>8.6199999999999992</v>
      </c>
      <c r="L25" s="31">
        <v>0.59422649249512505</v>
      </c>
      <c r="M25" s="50"/>
      <c r="N25" s="4"/>
      <c r="O25" s="44">
        <v>45737.375</v>
      </c>
      <c r="P25" s="2"/>
      <c r="Q25"/>
      <c r="R25"/>
    </row>
    <row r="26" spans="1:18" x14ac:dyDescent="0.3">
      <c r="A26" s="3">
        <v>99047</v>
      </c>
      <c r="B26" s="3">
        <v>0</v>
      </c>
      <c r="C26" s="2" t="s">
        <v>1967</v>
      </c>
      <c r="D26" s="45"/>
      <c r="E26" s="4" t="s">
        <v>1967</v>
      </c>
      <c r="F26" s="50" t="s">
        <v>2056</v>
      </c>
      <c r="G26" s="2" t="s">
        <v>323</v>
      </c>
      <c r="H26" s="2" t="s">
        <v>323</v>
      </c>
      <c r="I26" s="50" t="s">
        <v>3086</v>
      </c>
      <c r="J26" s="50" t="s">
        <v>3655</v>
      </c>
      <c r="K26" s="4">
        <v>5.32</v>
      </c>
      <c r="L26" s="31">
        <v>2.7498249252328701</v>
      </c>
      <c r="M26" s="50"/>
      <c r="N26" s="4"/>
      <c r="O26" s="44">
        <v>45737.375</v>
      </c>
      <c r="P26" s="2"/>
      <c r="Q26"/>
      <c r="R26"/>
    </row>
    <row r="27" spans="1:18" x14ac:dyDescent="0.3">
      <c r="A27" s="3">
        <v>71220</v>
      </c>
      <c r="B27" s="3">
        <v>0</v>
      </c>
      <c r="C27" s="2" t="s">
        <v>1967</v>
      </c>
      <c r="D27" s="45"/>
      <c r="E27" s="4" t="s">
        <v>1967</v>
      </c>
      <c r="F27" s="50" t="s">
        <v>2006</v>
      </c>
      <c r="G27" s="2" t="s">
        <v>302</v>
      </c>
      <c r="H27" s="2" t="s">
        <v>302</v>
      </c>
      <c r="I27" s="50" t="s">
        <v>3088</v>
      </c>
      <c r="J27" s="50" t="s">
        <v>3656</v>
      </c>
      <c r="K27" s="4">
        <v>8.6300000000000008</v>
      </c>
      <c r="L27" s="31">
        <v>7.8666908379432202E-2</v>
      </c>
      <c r="M27" s="50"/>
      <c r="N27" s="4"/>
      <c r="O27" s="44">
        <v>45737.333333333336</v>
      </c>
      <c r="P27" s="2"/>
      <c r="Q27"/>
      <c r="R27"/>
    </row>
    <row r="28" spans="1:18" x14ac:dyDescent="0.3">
      <c r="A28" s="3">
        <v>73431</v>
      </c>
      <c r="B28" s="3">
        <v>1</v>
      </c>
      <c r="C28" s="2" t="s">
        <v>1967</v>
      </c>
      <c r="D28" s="45"/>
      <c r="E28" s="4" t="s">
        <v>1967</v>
      </c>
      <c r="F28" s="50" t="s">
        <v>2039</v>
      </c>
      <c r="G28" s="2" t="s">
        <v>298</v>
      </c>
      <c r="H28" s="2" t="s">
        <v>298</v>
      </c>
      <c r="I28" s="50" t="s">
        <v>3094</v>
      </c>
      <c r="J28" s="50" t="s">
        <v>3657</v>
      </c>
      <c r="K28" s="4">
        <v>5.7</v>
      </c>
      <c r="L28" s="31">
        <v>0.91322727982100105</v>
      </c>
      <c r="M28" s="50"/>
      <c r="N28" s="4"/>
      <c r="O28" s="44">
        <v>45737.375</v>
      </c>
      <c r="P28" s="2"/>
      <c r="Q28"/>
      <c r="R28"/>
    </row>
    <row r="29" spans="1:18" x14ac:dyDescent="0.3">
      <c r="A29" s="3">
        <v>99054</v>
      </c>
      <c r="B29" s="3">
        <v>30</v>
      </c>
      <c r="C29" s="2" t="s">
        <v>1967</v>
      </c>
      <c r="D29" s="45"/>
      <c r="E29" s="4" t="s">
        <v>1967</v>
      </c>
      <c r="F29" s="50" t="s">
        <v>2060</v>
      </c>
      <c r="G29" s="2" t="s">
        <v>323</v>
      </c>
      <c r="H29" s="2" t="s">
        <v>323</v>
      </c>
      <c r="I29" s="50" t="s">
        <v>3089</v>
      </c>
      <c r="J29" s="50" t="s">
        <v>3658</v>
      </c>
      <c r="K29" s="4">
        <v>7.89</v>
      </c>
      <c r="L29" s="31">
        <v>0.27834564991138699</v>
      </c>
      <c r="M29" s="50"/>
      <c r="N29" s="4"/>
      <c r="O29" s="44"/>
      <c r="P29" s="2"/>
      <c r="Q29"/>
      <c r="R29"/>
    </row>
    <row r="30" spans="1:18" x14ac:dyDescent="0.3">
      <c r="A30" s="3">
        <v>70613</v>
      </c>
      <c r="B30" s="3">
        <v>2</v>
      </c>
      <c r="C30" s="2" t="s">
        <v>1967</v>
      </c>
      <c r="D30" s="45"/>
      <c r="E30" s="4" t="s">
        <v>1967</v>
      </c>
      <c r="F30" s="50" t="s">
        <v>1982</v>
      </c>
      <c r="G30" s="2" t="s">
        <v>299</v>
      </c>
      <c r="H30" s="2" t="s">
        <v>299</v>
      </c>
      <c r="I30" s="50" t="s">
        <v>3091</v>
      </c>
      <c r="J30" s="50" t="s">
        <v>3659</v>
      </c>
      <c r="K30" s="4">
        <v>4.88</v>
      </c>
      <c r="L30" s="31">
        <v>0.16075743263695599</v>
      </c>
      <c r="M30" s="50"/>
      <c r="N30" s="4"/>
      <c r="O30" s="44">
        <v>45737.375</v>
      </c>
      <c r="P30" s="2"/>
      <c r="Q30"/>
      <c r="R30"/>
    </row>
    <row r="31" spans="1:18" x14ac:dyDescent="0.3">
      <c r="A31" s="3">
        <v>70803</v>
      </c>
      <c r="B31" s="3">
        <v>0</v>
      </c>
      <c r="C31" s="2" t="s">
        <v>1967</v>
      </c>
      <c r="D31" s="45"/>
      <c r="E31" s="4" t="s">
        <v>2167</v>
      </c>
      <c r="F31" s="50" t="s">
        <v>2175</v>
      </c>
      <c r="G31" s="2" t="s">
        <v>303</v>
      </c>
      <c r="H31" s="2" t="s">
        <v>303</v>
      </c>
      <c r="I31" s="50" t="s">
        <v>2989</v>
      </c>
      <c r="J31" s="50" t="s">
        <v>3660</v>
      </c>
      <c r="K31" s="4">
        <v>14.48</v>
      </c>
      <c r="L31" s="31">
        <v>1.9388334659467401</v>
      </c>
      <c r="M31" s="50"/>
      <c r="N31" s="4"/>
      <c r="O31" s="44">
        <v>45737.291666666664</v>
      </c>
      <c r="P31" s="2"/>
      <c r="Q31"/>
      <c r="R31"/>
    </row>
    <row r="32" spans="1:18" x14ac:dyDescent="0.3">
      <c r="A32" s="3">
        <v>70031</v>
      </c>
      <c r="B32" s="3">
        <v>0</v>
      </c>
      <c r="C32" s="2" t="s">
        <v>1967</v>
      </c>
      <c r="D32" s="45"/>
      <c r="E32" s="4" t="s">
        <v>1967</v>
      </c>
      <c r="F32" s="50" t="s">
        <v>1969</v>
      </c>
      <c r="G32" s="2" t="s">
        <v>300</v>
      </c>
      <c r="H32" s="2" t="s">
        <v>300</v>
      </c>
      <c r="I32" s="50" t="s">
        <v>3095</v>
      </c>
      <c r="J32" s="50" t="s">
        <v>3661</v>
      </c>
      <c r="L32" s="31">
        <v>3.8086366538378802</v>
      </c>
      <c r="M32" s="50" t="s">
        <v>1971</v>
      </c>
      <c r="N32" s="4"/>
      <c r="O32" s="44"/>
      <c r="P32" s="2"/>
      <c r="Q32"/>
      <c r="R32"/>
    </row>
    <row r="33" spans="1:18" x14ac:dyDescent="0.3">
      <c r="A33" s="3">
        <v>99121</v>
      </c>
      <c r="B33" s="3">
        <v>7</v>
      </c>
      <c r="C33" s="2" t="s">
        <v>1967</v>
      </c>
      <c r="D33" s="45"/>
      <c r="E33" s="4" t="s">
        <v>1967</v>
      </c>
      <c r="F33" s="50" t="s">
        <v>2072</v>
      </c>
      <c r="G33" s="2" t="s">
        <v>300</v>
      </c>
      <c r="H33" s="2" t="s">
        <v>300</v>
      </c>
      <c r="I33" s="50" t="s">
        <v>3093</v>
      </c>
      <c r="J33" s="50" t="s">
        <v>3662</v>
      </c>
      <c r="K33" s="4">
        <v>10.53</v>
      </c>
      <c r="L33" s="31">
        <v>1.2477600442125001</v>
      </c>
      <c r="M33" s="50"/>
      <c r="N33" s="4"/>
      <c r="O33" s="44">
        <v>45737.375</v>
      </c>
      <c r="P33" s="2"/>
      <c r="Q33"/>
      <c r="R33"/>
    </row>
    <row r="34" spans="1:18" x14ac:dyDescent="0.3">
      <c r="A34" s="3">
        <v>71219</v>
      </c>
      <c r="B34" s="3">
        <v>0</v>
      </c>
      <c r="C34" s="2" t="s">
        <v>1967</v>
      </c>
      <c r="D34" s="45"/>
      <c r="E34" s="4" t="s">
        <v>1967</v>
      </c>
      <c r="F34" s="50" t="s">
        <v>2002</v>
      </c>
      <c r="G34" s="2" t="s">
        <v>299</v>
      </c>
      <c r="H34" s="2" t="s">
        <v>299</v>
      </c>
      <c r="I34" s="50" t="s">
        <v>3092</v>
      </c>
      <c r="J34" s="50" t="s">
        <v>3663</v>
      </c>
      <c r="K34" s="4">
        <v>3.48</v>
      </c>
      <c r="L34" s="31">
        <v>0.68465447883465902</v>
      </c>
      <c r="M34" s="50"/>
      <c r="N34" s="4"/>
      <c r="O34" s="44">
        <v>45737.208333333336</v>
      </c>
      <c r="P34" s="2"/>
      <c r="Q34"/>
      <c r="R34"/>
    </row>
    <row r="35" spans="1:18" x14ac:dyDescent="0.3">
      <c r="A35" s="3">
        <v>70805</v>
      </c>
      <c r="B35" s="3">
        <v>0</v>
      </c>
      <c r="C35" s="2" t="s">
        <v>1967</v>
      </c>
      <c r="D35" s="45"/>
      <c r="E35" s="4" t="s">
        <v>2167</v>
      </c>
      <c r="F35" s="50" t="s">
        <v>2178</v>
      </c>
      <c r="G35" s="2" t="s">
        <v>300</v>
      </c>
      <c r="H35" s="2" t="s">
        <v>300</v>
      </c>
      <c r="I35" s="50" t="s">
        <v>2987</v>
      </c>
      <c r="J35" s="50" t="s">
        <v>3664</v>
      </c>
      <c r="K35" s="4">
        <v>5.27</v>
      </c>
      <c r="L35" s="31">
        <v>2.0113260925155001</v>
      </c>
      <c r="M35" s="50"/>
      <c r="N35" s="4"/>
      <c r="O35" s="44"/>
      <c r="P35" s="2"/>
      <c r="Q35"/>
      <c r="R35"/>
    </row>
    <row r="36" spans="1:18" x14ac:dyDescent="0.3">
      <c r="A36" s="3">
        <v>73559</v>
      </c>
      <c r="B36" s="3">
        <v>0</v>
      </c>
      <c r="C36" s="2" t="s">
        <v>1967</v>
      </c>
      <c r="D36" s="45"/>
      <c r="E36" s="4" t="s">
        <v>2167</v>
      </c>
      <c r="F36" s="50" t="s">
        <v>870</v>
      </c>
      <c r="G36" s="2" t="s">
        <v>298</v>
      </c>
      <c r="H36" s="2" t="s">
        <v>298</v>
      </c>
      <c r="I36" s="50" t="s">
        <v>2993</v>
      </c>
      <c r="J36" s="50" t="s">
        <v>3665</v>
      </c>
      <c r="K36" s="4">
        <v>8.18</v>
      </c>
      <c r="L36" s="31">
        <v>2.7520568871590299</v>
      </c>
      <c r="M36" s="50"/>
      <c r="N36" s="4"/>
      <c r="O36" s="44"/>
      <c r="P36" s="2"/>
      <c r="Q36"/>
      <c r="R36"/>
    </row>
    <row r="37" spans="1:18" x14ac:dyDescent="0.3">
      <c r="A37" s="3">
        <v>73383</v>
      </c>
      <c r="B37" s="3">
        <v>0</v>
      </c>
      <c r="C37" s="2" t="s">
        <v>1967</v>
      </c>
      <c r="D37" s="45"/>
      <c r="E37" s="4" t="s">
        <v>2167</v>
      </c>
      <c r="F37" s="50" t="s">
        <v>2221</v>
      </c>
      <c r="G37" s="2" t="s">
        <v>302</v>
      </c>
      <c r="H37" s="2" t="s">
        <v>302</v>
      </c>
      <c r="I37" s="50" t="s">
        <v>3001</v>
      </c>
      <c r="J37" s="50" t="s">
        <v>3666</v>
      </c>
      <c r="K37" s="4">
        <v>3.28</v>
      </c>
      <c r="L37" s="31">
        <v>2.0254810722169099</v>
      </c>
      <c r="M37" s="50"/>
      <c r="N37" s="4"/>
      <c r="O37" s="44">
        <v>45737.333333333336</v>
      </c>
      <c r="P37" s="2"/>
      <c r="Q37"/>
      <c r="R37"/>
    </row>
    <row r="38" spans="1:18" x14ac:dyDescent="0.3">
      <c r="A38" s="3">
        <v>72000</v>
      </c>
      <c r="B38" s="3">
        <v>0</v>
      </c>
      <c r="C38" s="2" t="s">
        <v>1967</v>
      </c>
      <c r="D38" s="45"/>
      <c r="E38" s="4" t="s">
        <v>1967</v>
      </c>
      <c r="F38" s="50" t="s">
        <v>2026</v>
      </c>
      <c r="G38" s="2" t="s">
        <v>303</v>
      </c>
      <c r="H38" s="2" t="s">
        <v>303</v>
      </c>
      <c r="I38" s="50" t="s">
        <v>3100</v>
      </c>
      <c r="J38" s="50" t="s">
        <v>3667</v>
      </c>
      <c r="K38" s="4">
        <v>7.78</v>
      </c>
      <c r="L38" s="31">
        <v>1.5800785653332201</v>
      </c>
      <c r="M38" s="50"/>
      <c r="N38" s="4"/>
      <c r="O38" s="44"/>
      <c r="P38" s="2"/>
      <c r="Q38"/>
      <c r="R38"/>
    </row>
    <row r="39" spans="1:18" x14ac:dyDescent="0.3">
      <c r="A39" s="3">
        <v>71213</v>
      </c>
      <c r="B39" s="3">
        <v>0</v>
      </c>
      <c r="C39" s="2" t="s">
        <v>1967</v>
      </c>
      <c r="D39" s="45"/>
      <c r="E39" s="4" t="s">
        <v>1967</v>
      </c>
      <c r="F39" s="50" t="s">
        <v>1996</v>
      </c>
      <c r="G39" s="2" t="s">
        <v>303</v>
      </c>
      <c r="H39" s="2" t="s">
        <v>303</v>
      </c>
      <c r="I39" s="50" t="s">
        <v>3099</v>
      </c>
      <c r="J39" s="50" t="s">
        <v>3668</v>
      </c>
      <c r="K39" s="4">
        <v>4.7300000000000004</v>
      </c>
      <c r="L39" s="31">
        <v>0.93134585362770395</v>
      </c>
      <c r="M39" s="50"/>
      <c r="N39" s="4"/>
      <c r="O39" s="44"/>
      <c r="P39" s="2"/>
      <c r="Q39"/>
      <c r="R39"/>
    </row>
    <row r="40" spans="1:18" x14ac:dyDescent="0.3">
      <c r="A40" s="3">
        <v>73063</v>
      </c>
      <c r="B40" s="3">
        <v>6</v>
      </c>
      <c r="C40" s="2" t="s">
        <v>1967</v>
      </c>
      <c r="D40" s="45"/>
      <c r="E40" s="4" t="s">
        <v>1967</v>
      </c>
      <c r="F40" s="50" t="s">
        <v>2030</v>
      </c>
      <c r="G40" s="2" t="s">
        <v>323</v>
      </c>
      <c r="H40" s="2" t="s">
        <v>323</v>
      </c>
      <c r="I40" s="50" t="s">
        <v>3087</v>
      </c>
      <c r="J40" s="50" t="s">
        <v>3669</v>
      </c>
      <c r="K40" s="4">
        <v>5.35</v>
      </c>
      <c r="L40" s="31">
        <v>0</v>
      </c>
      <c r="M40" s="50"/>
      <c r="N40" s="4"/>
      <c r="O40" s="44">
        <v>45737.333333333336</v>
      </c>
      <c r="P40" s="2"/>
      <c r="Q40"/>
      <c r="R40"/>
    </row>
    <row r="41" spans="1:18" x14ac:dyDescent="0.3">
      <c r="A41" s="3">
        <v>73533</v>
      </c>
      <c r="B41" s="3">
        <v>0</v>
      </c>
      <c r="C41" s="2" t="s">
        <v>1967</v>
      </c>
      <c r="D41" s="45"/>
      <c r="E41" s="4" t="s">
        <v>2167</v>
      </c>
      <c r="F41" s="50" t="s">
        <v>2232</v>
      </c>
      <c r="G41" s="2" t="s">
        <v>323</v>
      </c>
      <c r="H41" s="2" t="s">
        <v>323</v>
      </c>
      <c r="I41" s="50" t="s">
        <v>2995</v>
      </c>
      <c r="J41" s="50" t="s">
        <v>3670</v>
      </c>
      <c r="K41" s="4">
        <v>5.87</v>
      </c>
      <c r="L41" s="31">
        <v>0.40199221788412798</v>
      </c>
      <c r="M41" s="50"/>
      <c r="N41" s="4"/>
      <c r="O41" s="44">
        <v>45737.333333333336</v>
      </c>
      <c r="P41" s="2"/>
      <c r="Q41"/>
      <c r="R41"/>
    </row>
    <row r="42" spans="1:18" x14ac:dyDescent="0.3">
      <c r="A42" s="3">
        <v>73063</v>
      </c>
      <c r="B42" s="3">
        <v>4</v>
      </c>
      <c r="C42" s="2" t="s">
        <v>1967</v>
      </c>
      <c r="D42" s="45"/>
      <c r="E42" s="4" t="s">
        <v>1967</v>
      </c>
      <c r="F42" s="50" t="s">
        <v>2028</v>
      </c>
      <c r="G42" s="2" t="s">
        <v>323</v>
      </c>
      <c r="H42" s="2" t="s">
        <v>323</v>
      </c>
      <c r="I42" s="50" t="s">
        <v>3087</v>
      </c>
      <c r="J42" s="50" t="s">
        <v>3671</v>
      </c>
      <c r="K42" s="4">
        <v>10.48</v>
      </c>
      <c r="L42" s="31">
        <v>1.3479697496019301</v>
      </c>
      <c r="M42" s="50"/>
      <c r="N42" s="4"/>
      <c r="O42" s="44"/>
      <c r="P42" s="2"/>
      <c r="Q42"/>
      <c r="R42"/>
    </row>
    <row r="43" spans="1:18" x14ac:dyDescent="0.3">
      <c r="A43" s="3">
        <v>70537</v>
      </c>
      <c r="B43" s="3">
        <v>0</v>
      </c>
      <c r="C43" s="2" t="s">
        <v>2079</v>
      </c>
      <c r="D43" s="45"/>
      <c r="E43" s="4" t="s">
        <v>630</v>
      </c>
      <c r="F43" s="50" t="s">
        <v>592</v>
      </c>
      <c r="G43" s="2" t="s">
        <v>300</v>
      </c>
      <c r="H43" s="2" t="s">
        <v>300</v>
      </c>
      <c r="I43" s="50" t="s">
        <v>1059</v>
      </c>
      <c r="J43" s="50" t="s">
        <v>3672</v>
      </c>
      <c r="K43" s="4">
        <v>9.85</v>
      </c>
      <c r="L43" s="31">
        <v>2.48627101913964</v>
      </c>
      <c r="M43" s="50"/>
      <c r="N43" s="4"/>
      <c r="O43" s="44">
        <v>45737.25</v>
      </c>
      <c r="P43" s="2"/>
      <c r="Q43"/>
      <c r="R43"/>
    </row>
    <row r="44" spans="1:18" x14ac:dyDescent="0.3">
      <c r="A44" s="3">
        <v>99192</v>
      </c>
      <c r="B44" s="3">
        <v>3</v>
      </c>
      <c r="C44" s="2" t="s">
        <v>2079</v>
      </c>
      <c r="D44" s="45"/>
      <c r="E44" s="4" t="s">
        <v>630</v>
      </c>
      <c r="F44" s="50" t="s">
        <v>881</v>
      </c>
      <c r="G44" s="2" t="s">
        <v>299</v>
      </c>
      <c r="H44" s="2" t="s">
        <v>299</v>
      </c>
      <c r="I44" s="50" t="s">
        <v>1126</v>
      </c>
      <c r="J44" s="50" t="s">
        <v>1127</v>
      </c>
      <c r="K44" s="4">
        <v>0.2</v>
      </c>
      <c r="L44" s="31">
        <v>0.45317185052119702</v>
      </c>
      <c r="M44" s="50"/>
      <c r="N44" s="4"/>
      <c r="O44" s="44">
        <v>45737.25</v>
      </c>
      <c r="P44" s="2"/>
      <c r="Q44"/>
      <c r="R44"/>
    </row>
    <row r="45" spans="1:18" x14ac:dyDescent="0.3">
      <c r="A45" s="3">
        <v>99031</v>
      </c>
      <c r="B45" s="3">
        <v>57</v>
      </c>
      <c r="C45" s="2" t="s">
        <v>2079</v>
      </c>
      <c r="D45" s="45"/>
      <c r="E45" s="4" t="s">
        <v>2251</v>
      </c>
      <c r="F45" s="50" t="s">
        <v>2326</v>
      </c>
      <c r="G45" s="2" t="s">
        <v>300</v>
      </c>
      <c r="H45" s="2" t="s">
        <v>300</v>
      </c>
      <c r="I45" s="50" t="s">
        <v>3003</v>
      </c>
      <c r="J45" s="50" t="s">
        <v>3673</v>
      </c>
      <c r="K45" s="4">
        <v>20.49</v>
      </c>
      <c r="L45" s="31">
        <v>20.229353264356199</v>
      </c>
      <c r="M45" s="50"/>
      <c r="N45" s="4"/>
      <c r="O45" s="44">
        <v>45737.25</v>
      </c>
      <c r="P45" s="2"/>
      <c r="Q45"/>
      <c r="R45"/>
    </row>
    <row r="46" spans="1:18" x14ac:dyDescent="0.3">
      <c r="A46" s="3">
        <v>73426</v>
      </c>
      <c r="B46" s="3">
        <v>0</v>
      </c>
      <c r="C46" s="2" t="s">
        <v>2079</v>
      </c>
      <c r="D46" s="45"/>
      <c r="E46" s="4" t="s">
        <v>2251</v>
      </c>
      <c r="F46" s="50" t="s">
        <v>2305</v>
      </c>
      <c r="G46" s="2" t="s">
        <v>302</v>
      </c>
      <c r="H46" s="2" t="s">
        <v>302</v>
      </c>
      <c r="I46" s="50" t="s">
        <v>3021</v>
      </c>
      <c r="J46" s="50" t="s">
        <v>3674</v>
      </c>
      <c r="K46" s="4">
        <v>8.92</v>
      </c>
      <c r="L46" s="31">
        <v>14.0347805520862</v>
      </c>
      <c r="M46" s="50"/>
      <c r="N46" s="4"/>
      <c r="O46" s="44"/>
      <c r="P46" s="2"/>
      <c r="Q46"/>
      <c r="R46"/>
    </row>
    <row r="47" spans="1:18" x14ac:dyDescent="0.3">
      <c r="A47" s="3">
        <v>99031</v>
      </c>
      <c r="B47" s="3">
        <v>188</v>
      </c>
      <c r="C47" s="2" t="s">
        <v>2079</v>
      </c>
      <c r="D47" s="45"/>
      <c r="E47" s="4" t="s">
        <v>2251</v>
      </c>
      <c r="F47" s="50" t="s">
        <v>2329</v>
      </c>
      <c r="G47" s="2" t="s">
        <v>300</v>
      </c>
      <c r="H47" s="2" t="s">
        <v>300</v>
      </c>
      <c r="I47" s="50" t="s">
        <v>3028</v>
      </c>
      <c r="J47" s="50" t="s">
        <v>3675</v>
      </c>
      <c r="L47" s="31">
        <v>0.421145057688108</v>
      </c>
      <c r="M47" s="50"/>
      <c r="N47" s="4"/>
      <c r="O47" s="44"/>
      <c r="P47" s="2"/>
      <c r="Q47"/>
      <c r="R47"/>
    </row>
    <row r="48" spans="1:18" x14ac:dyDescent="0.3">
      <c r="A48" s="3">
        <v>71061</v>
      </c>
      <c r="B48" s="3">
        <v>0</v>
      </c>
      <c r="C48" s="2" t="s">
        <v>2079</v>
      </c>
      <c r="D48" s="45"/>
      <c r="E48" s="4" t="s">
        <v>2251</v>
      </c>
      <c r="F48" s="50" t="s">
        <v>2291</v>
      </c>
      <c r="G48" s="2" t="s">
        <v>303</v>
      </c>
      <c r="H48" s="2" t="s">
        <v>303</v>
      </c>
      <c r="I48" s="50" t="s">
        <v>3020</v>
      </c>
      <c r="J48" s="50" t="s">
        <v>3083</v>
      </c>
      <c r="K48" s="4">
        <v>25.71</v>
      </c>
      <c r="L48" s="31">
        <v>3.03851017118149E-2</v>
      </c>
      <c r="M48" s="50"/>
      <c r="N48" s="4"/>
      <c r="O48" s="44">
        <v>45737.333333333336</v>
      </c>
      <c r="P48" s="2"/>
      <c r="Q48"/>
      <c r="R48"/>
    </row>
    <row r="49" spans="1:18" x14ac:dyDescent="0.3">
      <c r="A49" s="3">
        <v>70485</v>
      </c>
      <c r="B49" s="3">
        <v>0</v>
      </c>
      <c r="C49" s="2" t="s">
        <v>2079</v>
      </c>
      <c r="D49" s="45"/>
      <c r="E49" s="4" t="s">
        <v>2251</v>
      </c>
      <c r="F49" s="50" t="s">
        <v>2256</v>
      </c>
      <c r="G49" s="2" t="s">
        <v>298</v>
      </c>
      <c r="H49" s="2" t="s">
        <v>298</v>
      </c>
      <c r="I49" s="50" t="s">
        <v>3004</v>
      </c>
      <c r="J49" s="50" t="s">
        <v>3676</v>
      </c>
      <c r="K49" s="4">
        <v>0.18</v>
      </c>
      <c r="L49" s="31">
        <v>1.84332110487196</v>
      </c>
      <c r="M49" s="50"/>
      <c r="N49" s="4"/>
      <c r="O49" s="44"/>
      <c r="P49" s="2"/>
      <c r="Q49"/>
      <c r="R49"/>
    </row>
    <row r="50" spans="1:18" x14ac:dyDescent="0.3">
      <c r="A50" s="3">
        <v>73528</v>
      </c>
      <c r="B50" s="3">
        <v>0</v>
      </c>
      <c r="C50" s="2" t="s">
        <v>2079</v>
      </c>
      <c r="D50" s="45"/>
      <c r="E50" s="4" t="s">
        <v>2251</v>
      </c>
      <c r="F50" s="50" t="s">
        <v>2314</v>
      </c>
      <c r="G50" s="2" t="s">
        <v>300</v>
      </c>
      <c r="H50" s="2" t="s">
        <v>300</v>
      </c>
      <c r="I50" s="50" t="s">
        <v>3007</v>
      </c>
      <c r="J50" s="50" t="s">
        <v>3677</v>
      </c>
      <c r="K50" s="4">
        <v>6.05</v>
      </c>
      <c r="L50" s="31">
        <v>7.8881082108361502</v>
      </c>
      <c r="M50" s="50"/>
      <c r="N50" s="4">
        <v>31</v>
      </c>
      <c r="O50" s="44">
        <v>45737.25</v>
      </c>
      <c r="P50" s="2"/>
      <c r="Q50"/>
      <c r="R50"/>
    </row>
    <row r="51" spans="1:18" x14ac:dyDescent="0.3">
      <c r="A51" s="3">
        <v>73332</v>
      </c>
      <c r="B51" s="3">
        <v>0</v>
      </c>
      <c r="C51" s="2" t="s">
        <v>2079</v>
      </c>
      <c r="D51" s="45"/>
      <c r="E51" s="4" t="s">
        <v>2251</v>
      </c>
      <c r="F51" s="50" t="s">
        <v>2302</v>
      </c>
      <c r="G51" s="2" t="s">
        <v>323</v>
      </c>
      <c r="H51" s="2" t="s">
        <v>323</v>
      </c>
      <c r="I51" s="50" t="s">
        <v>3023</v>
      </c>
      <c r="J51" s="50" t="s">
        <v>3678</v>
      </c>
      <c r="K51" s="4">
        <v>14.13</v>
      </c>
      <c r="L51" s="31">
        <v>8.3315720032725</v>
      </c>
      <c r="M51" s="50"/>
      <c r="N51" s="4"/>
      <c r="O51" s="44">
        <v>45737.333333333336</v>
      </c>
      <c r="P51" s="2"/>
      <c r="Q51"/>
      <c r="R51"/>
    </row>
    <row r="52" spans="1:18" x14ac:dyDescent="0.3">
      <c r="A52" s="3">
        <v>71177</v>
      </c>
      <c r="B52" s="3">
        <v>0</v>
      </c>
      <c r="C52" s="2" t="s">
        <v>2079</v>
      </c>
      <c r="D52" s="45"/>
      <c r="E52" s="4" t="s">
        <v>2251</v>
      </c>
      <c r="F52" s="50" t="s">
        <v>2294</v>
      </c>
      <c r="G52" s="2" t="s">
        <v>300</v>
      </c>
      <c r="H52" s="2" t="s">
        <v>300</v>
      </c>
      <c r="I52" s="50" t="s">
        <v>3022</v>
      </c>
      <c r="J52" s="50" t="s">
        <v>3679</v>
      </c>
      <c r="L52" s="31">
        <v>0.86821964876156699</v>
      </c>
      <c r="M52" s="50"/>
      <c r="N52" s="4">
        <v>3</v>
      </c>
      <c r="O52" s="44">
        <v>45737.333333333336</v>
      </c>
      <c r="P52" s="2"/>
      <c r="Q52"/>
      <c r="R52"/>
    </row>
    <row r="53" spans="1:18" x14ac:dyDescent="0.3">
      <c r="A53" s="3">
        <v>71176</v>
      </c>
      <c r="B53" s="3">
        <v>0</v>
      </c>
      <c r="C53" s="2" t="s">
        <v>2079</v>
      </c>
      <c r="D53" s="45"/>
      <c r="E53" s="4" t="s">
        <v>2079</v>
      </c>
      <c r="F53" s="50" t="s">
        <v>2114</v>
      </c>
      <c r="G53" s="2" t="s">
        <v>323</v>
      </c>
      <c r="H53" s="2" t="s">
        <v>323</v>
      </c>
      <c r="I53" s="50" t="s">
        <v>2980</v>
      </c>
      <c r="J53" s="50" t="s">
        <v>3680</v>
      </c>
      <c r="K53" s="4">
        <v>11.62</v>
      </c>
      <c r="L53" s="31">
        <v>15.73185193912</v>
      </c>
      <c r="M53" s="50"/>
      <c r="N53" s="4"/>
      <c r="O53" s="44"/>
      <c r="P53" s="2"/>
      <c r="Q53"/>
      <c r="R53"/>
    </row>
    <row r="54" spans="1:18" x14ac:dyDescent="0.3">
      <c r="A54" s="3">
        <v>71193</v>
      </c>
      <c r="B54" s="3">
        <v>0</v>
      </c>
      <c r="C54" s="2" t="s">
        <v>2079</v>
      </c>
      <c r="D54" s="45"/>
      <c r="E54" s="4" t="s">
        <v>2079</v>
      </c>
      <c r="F54" s="50" t="s">
        <v>2126</v>
      </c>
      <c r="G54" s="2" t="s">
        <v>300</v>
      </c>
      <c r="H54" s="2" t="s">
        <v>300</v>
      </c>
      <c r="I54" s="50" t="s">
        <v>3110</v>
      </c>
      <c r="J54" s="50" t="s">
        <v>3681</v>
      </c>
      <c r="K54" s="4">
        <v>16.21</v>
      </c>
      <c r="L54" s="31">
        <v>15.7993258756114</v>
      </c>
      <c r="M54" s="50"/>
      <c r="N54" s="4">
        <v>35</v>
      </c>
      <c r="O54" s="44">
        <v>45737.25</v>
      </c>
      <c r="P54" s="2"/>
      <c r="Q54"/>
      <c r="R54"/>
    </row>
    <row r="55" spans="1:18" x14ac:dyDescent="0.3">
      <c r="A55" s="3">
        <v>71181</v>
      </c>
      <c r="B55" s="3">
        <v>0</v>
      </c>
      <c r="C55" s="2" t="s">
        <v>2079</v>
      </c>
      <c r="D55" s="45"/>
      <c r="E55" s="4" t="s">
        <v>2079</v>
      </c>
      <c r="F55" s="50" t="s">
        <v>2117</v>
      </c>
      <c r="G55" s="2" t="s">
        <v>300</v>
      </c>
      <c r="H55" s="2" t="s">
        <v>300</v>
      </c>
      <c r="I55" s="50" t="s">
        <v>2979</v>
      </c>
      <c r="J55" s="50" t="s">
        <v>3682</v>
      </c>
      <c r="K55" s="4">
        <v>11.55</v>
      </c>
      <c r="L55" s="31">
        <v>1.6051728733395401</v>
      </c>
      <c r="M55" s="50"/>
      <c r="N55" s="4">
        <v>6</v>
      </c>
      <c r="O55" s="44">
        <v>45737.333333333336</v>
      </c>
      <c r="P55" s="2"/>
      <c r="Q55"/>
      <c r="R55"/>
    </row>
    <row r="56" spans="1:18" x14ac:dyDescent="0.3">
      <c r="A56" s="3">
        <v>73420</v>
      </c>
      <c r="B56" s="3">
        <v>0</v>
      </c>
      <c r="C56" s="2" t="s">
        <v>2079</v>
      </c>
      <c r="D56" s="45"/>
      <c r="E56" s="4" t="s">
        <v>2079</v>
      </c>
      <c r="F56" s="50" t="s">
        <v>2143</v>
      </c>
      <c r="G56" s="2" t="s">
        <v>300</v>
      </c>
      <c r="H56" s="2" t="s">
        <v>300</v>
      </c>
      <c r="I56" s="50" t="s">
        <v>3109</v>
      </c>
      <c r="J56" s="50" t="s">
        <v>3683</v>
      </c>
      <c r="K56" s="4">
        <v>6.27</v>
      </c>
      <c r="L56" s="31">
        <v>13.351681967640401</v>
      </c>
      <c r="M56" s="50"/>
      <c r="N56" s="4"/>
      <c r="O56" s="44">
        <v>45737.291666666664</v>
      </c>
      <c r="P56" s="2"/>
      <c r="Q56"/>
      <c r="R56"/>
    </row>
    <row r="57" spans="1:18" x14ac:dyDescent="0.3">
      <c r="A57" s="3">
        <v>99047</v>
      </c>
      <c r="B57" s="3">
        <v>2</v>
      </c>
      <c r="C57" s="2" t="s">
        <v>2079</v>
      </c>
      <c r="D57" s="45"/>
      <c r="E57" s="4" t="s">
        <v>2079</v>
      </c>
      <c r="F57" s="50" t="s">
        <v>2153</v>
      </c>
      <c r="G57" s="2" t="s">
        <v>303</v>
      </c>
      <c r="H57" s="2" t="s">
        <v>303</v>
      </c>
      <c r="I57" s="50" t="s">
        <v>2970</v>
      </c>
      <c r="J57" s="50" t="s">
        <v>3684</v>
      </c>
      <c r="K57" s="4">
        <v>6.81</v>
      </c>
      <c r="L57" s="31">
        <v>1.3634040562209899</v>
      </c>
      <c r="M57" s="50"/>
      <c r="N57" s="4"/>
      <c r="O57" s="44">
        <v>45737.375</v>
      </c>
      <c r="P57" s="2"/>
      <c r="Q57"/>
      <c r="R57"/>
    </row>
    <row r="58" spans="1:18" x14ac:dyDescent="0.3">
      <c r="A58" s="3">
        <v>73063</v>
      </c>
      <c r="B58" s="3">
        <v>14</v>
      </c>
      <c r="C58" s="2" t="s">
        <v>2079</v>
      </c>
      <c r="D58" s="45"/>
      <c r="E58" s="4" t="s">
        <v>2079</v>
      </c>
      <c r="F58" s="50" t="s">
        <v>2136</v>
      </c>
      <c r="G58" s="2" t="s">
        <v>323</v>
      </c>
      <c r="H58" s="2" t="s">
        <v>323</v>
      </c>
      <c r="I58" s="50" t="s">
        <v>2961</v>
      </c>
      <c r="J58" s="50" t="s">
        <v>3685</v>
      </c>
      <c r="L58" s="31">
        <v>0.75198779569700502</v>
      </c>
      <c r="M58" s="50"/>
      <c r="N58" s="4"/>
      <c r="O58" s="44"/>
      <c r="P58" s="2"/>
      <c r="Q58"/>
      <c r="R58"/>
    </row>
    <row r="59" spans="1:18" x14ac:dyDescent="0.3">
      <c r="A59" s="3">
        <v>73327</v>
      </c>
      <c r="B59" s="3">
        <v>0</v>
      </c>
      <c r="C59" s="2" t="s">
        <v>2079</v>
      </c>
      <c r="D59" s="45"/>
      <c r="E59" s="4" t="s">
        <v>2167</v>
      </c>
      <c r="F59" s="50" t="s">
        <v>2218</v>
      </c>
      <c r="G59" s="2" t="s">
        <v>323</v>
      </c>
      <c r="H59" s="2" t="s">
        <v>323</v>
      </c>
      <c r="I59" s="50" t="s">
        <v>2999</v>
      </c>
      <c r="J59" s="50" t="s">
        <v>3686</v>
      </c>
      <c r="K59" s="4">
        <v>22.42</v>
      </c>
      <c r="L59" s="31">
        <v>9.3275528825130305</v>
      </c>
      <c r="M59" s="50" t="s">
        <v>3290</v>
      </c>
      <c r="N59" s="4"/>
      <c r="O59" s="44"/>
      <c r="P59" s="2"/>
      <c r="Q59"/>
      <c r="R59"/>
    </row>
    <row r="60" spans="1:18" x14ac:dyDescent="0.3">
      <c r="A60" s="3">
        <v>73574</v>
      </c>
      <c r="B60" s="3">
        <v>0</v>
      </c>
      <c r="C60" s="2" t="s">
        <v>2079</v>
      </c>
      <c r="D60" s="45"/>
      <c r="E60" s="4" t="s">
        <v>2251</v>
      </c>
      <c r="F60" s="50" t="s">
        <v>2320</v>
      </c>
      <c r="G60" s="2" t="s">
        <v>300</v>
      </c>
      <c r="H60" s="2" t="s">
        <v>300</v>
      </c>
      <c r="I60" s="50" t="s">
        <v>3029</v>
      </c>
      <c r="J60" s="50" t="s">
        <v>3687</v>
      </c>
      <c r="L60" s="31">
        <v>8.9589144538299994</v>
      </c>
      <c r="M60" s="50"/>
      <c r="N60" s="4">
        <v>15</v>
      </c>
      <c r="O60" s="44"/>
      <c r="P60" s="2"/>
      <c r="Q60"/>
      <c r="R60"/>
    </row>
    <row r="61" spans="1:18" x14ac:dyDescent="0.3">
      <c r="A61" s="3">
        <v>71016</v>
      </c>
      <c r="B61" s="3">
        <v>0</v>
      </c>
      <c r="C61" s="2" t="s">
        <v>2079</v>
      </c>
      <c r="D61" s="45"/>
      <c r="E61" s="4" t="s">
        <v>2251</v>
      </c>
      <c r="F61" s="50" t="s">
        <v>2288</v>
      </c>
      <c r="G61" s="2" t="s">
        <v>302</v>
      </c>
      <c r="H61" s="2" t="s">
        <v>302</v>
      </c>
      <c r="I61" s="50" t="s">
        <v>3019</v>
      </c>
      <c r="J61" s="50" t="s">
        <v>3688</v>
      </c>
      <c r="K61" s="4">
        <v>4.47</v>
      </c>
      <c r="L61" s="31">
        <v>8.1464486052535694</v>
      </c>
      <c r="M61" s="50"/>
      <c r="N61" s="4"/>
      <c r="O61" s="44">
        <v>45737.291666666664</v>
      </c>
      <c r="P61" s="2"/>
      <c r="Q61"/>
      <c r="R61"/>
    </row>
    <row r="62" spans="1:18" x14ac:dyDescent="0.3">
      <c r="A62" s="3">
        <v>70768</v>
      </c>
      <c r="B62" s="3">
        <v>0</v>
      </c>
      <c r="C62" s="2" t="s">
        <v>2079</v>
      </c>
      <c r="D62" s="45"/>
      <c r="E62" s="4" t="s">
        <v>2251</v>
      </c>
      <c r="F62" s="50" t="s">
        <v>2276</v>
      </c>
      <c r="G62" s="2" t="s">
        <v>303</v>
      </c>
      <c r="H62" s="2" t="s">
        <v>303</v>
      </c>
      <c r="I62" s="50" t="s">
        <v>3015</v>
      </c>
      <c r="J62" s="50" t="s">
        <v>3689</v>
      </c>
      <c r="K62" s="4">
        <v>2.77</v>
      </c>
      <c r="L62" s="31">
        <v>2.7202411059079199E-2</v>
      </c>
      <c r="M62" s="50"/>
      <c r="N62" s="4"/>
      <c r="O62" s="44">
        <v>45737.375</v>
      </c>
      <c r="P62" s="2"/>
      <c r="Q62"/>
      <c r="R62"/>
    </row>
    <row r="63" spans="1:18" x14ac:dyDescent="0.3">
      <c r="A63" s="3">
        <v>70773</v>
      </c>
      <c r="B63" s="3">
        <v>0</v>
      </c>
      <c r="C63" s="2" t="s">
        <v>2079</v>
      </c>
      <c r="D63" s="45"/>
      <c r="E63" s="4" t="s">
        <v>2167</v>
      </c>
      <c r="F63" s="50" t="s">
        <v>2172</v>
      </c>
      <c r="G63" s="2" t="s">
        <v>297</v>
      </c>
      <c r="H63" s="2" t="s">
        <v>297</v>
      </c>
      <c r="I63" s="50" t="s">
        <v>2984</v>
      </c>
      <c r="J63" s="50" t="s">
        <v>3690</v>
      </c>
      <c r="L63" s="31">
        <v>9.84907707530488</v>
      </c>
      <c r="M63" s="50"/>
      <c r="N63" s="4"/>
      <c r="O63" s="44"/>
      <c r="P63" s="2"/>
      <c r="Q63"/>
      <c r="R63"/>
    </row>
    <row r="64" spans="1:18" x14ac:dyDescent="0.3">
      <c r="A64" s="3">
        <v>70784</v>
      </c>
      <c r="B64" s="3">
        <v>0</v>
      </c>
      <c r="C64" s="2" t="s">
        <v>2079</v>
      </c>
      <c r="D64" s="45"/>
      <c r="E64" s="4" t="s">
        <v>2251</v>
      </c>
      <c r="F64" s="50" t="s">
        <v>2285</v>
      </c>
      <c r="G64" s="2" t="s">
        <v>299</v>
      </c>
      <c r="H64" s="2" t="s">
        <v>299</v>
      </c>
      <c r="I64" s="50" t="s">
        <v>3018</v>
      </c>
      <c r="J64" s="50" t="s">
        <v>3691</v>
      </c>
      <c r="K64" s="4">
        <v>13</v>
      </c>
      <c r="L64" s="31">
        <v>4.1360548633222196</v>
      </c>
      <c r="M64" s="50"/>
      <c r="N64" s="4"/>
      <c r="O64" s="44">
        <v>45737.333333333336</v>
      </c>
      <c r="P64" s="2"/>
      <c r="Q64"/>
      <c r="R64"/>
    </row>
    <row r="65" spans="1:18" x14ac:dyDescent="0.3">
      <c r="A65" s="3">
        <v>73063</v>
      </c>
      <c r="B65" s="3">
        <v>8</v>
      </c>
      <c r="C65" s="2" t="s">
        <v>2079</v>
      </c>
      <c r="D65" s="45"/>
      <c r="E65" s="4" t="s">
        <v>2251</v>
      </c>
      <c r="F65" s="50" t="s">
        <v>2296</v>
      </c>
      <c r="G65" s="2" t="s">
        <v>323</v>
      </c>
      <c r="H65" s="2" t="s">
        <v>323</v>
      </c>
      <c r="I65" s="50" t="s">
        <v>3012</v>
      </c>
      <c r="J65" s="50" t="s">
        <v>3692</v>
      </c>
      <c r="K65" s="4">
        <v>10.73</v>
      </c>
      <c r="L65" s="31">
        <v>0.52639670494676205</v>
      </c>
      <c r="M65" s="50"/>
      <c r="N65" s="4"/>
      <c r="O65" s="44">
        <v>45737.291666666664</v>
      </c>
      <c r="P65" s="2"/>
      <c r="Q65"/>
      <c r="R65"/>
    </row>
    <row r="66" spans="1:18" x14ac:dyDescent="0.3">
      <c r="A66" s="3">
        <v>70762</v>
      </c>
      <c r="B66" s="3">
        <v>0</v>
      </c>
      <c r="C66" s="2" t="s">
        <v>2079</v>
      </c>
      <c r="D66" s="45"/>
      <c r="E66" s="4" t="s">
        <v>2251</v>
      </c>
      <c r="F66" s="50" t="s">
        <v>2273</v>
      </c>
      <c r="G66" s="2" t="s">
        <v>323</v>
      </c>
      <c r="H66" s="2" t="s">
        <v>323</v>
      </c>
      <c r="I66" s="50" t="s">
        <v>3024</v>
      </c>
      <c r="J66" s="50" t="s">
        <v>3693</v>
      </c>
      <c r="K66" s="4">
        <v>12.56</v>
      </c>
      <c r="L66" s="31">
        <v>0.95439873045142998</v>
      </c>
      <c r="M66" s="50"/>
      <c r="N66" s="4"/>
      <c r="O66" s="44">
        <v>45737.333333333336</v>
      </c>
      <c r="P66" s="2"/>
      <c r="Q66"/>
      <c r="R66"/>
    </row>
    <row r="67" spans="1:18" x14ac:dyDescent="0.3">
      <c r="A67" s="3">
        <v>99052</v>
      </c>
      <c r="B67" s="3">
        <v>4</v>
      </c>
      <c r="C67" s="2" t="s">
        <v>2079</v>
      </c>
      <c r="D67" s="45"/>
      <c r="E67" s="4" t="s">
        <v>2251</v>
      </c>
      <c r="F67" s="50" t="s">
        <v>2333</v>
      </c>
      <c r="G67" s="2" t="s">
        <v>303</v>
      </c>
      <c r="H67" s="2" t="s">
        <v>303</v>
      </c>
      <c r="I67" s="50" t="s">
        <v>3009</v>
      </c>
      <c r="J67" s="50" t="s">
        <v>3694</v>
      </c>
      <c r="K67" s="4">
        <v>2.76</v>
      </c>
      <c r="L67" s="31">
        <v>3.8051166184749299</v>
      </c>
      <c r="M67" s="50"/>
      <c r="N67" s="4"/>
      <c r="O67" s="44">
        <v>45737.333333333336</v>
      </c>
      <c r="P67" s="2"/>
      <c r="Q67"/>
      <c r="R67"/>
    </row>
    <row r="68" spans="1:18" x14ac:dyDescent="0.3">
      <c r="A68" s="3">
        <v>70780</v>
      </c>
      <c r="B68" s="3">
        <v>0</v>
      </c>
      <c r="C68" s="2" t="s">
        <v>2079</v>
      </c>
      <c r="D68" s="45"/>
      <c r="E68" s="4" t="s">
        <v>2251</v>
      </c>
      <c r="F68" s="50" t="s">
        <v>2282</v>
      </c>
      <c r="G68" s="2" t="s">
        <v>303</v>
      </c>
      <c r="H68" s="2" t="s">
        <v>303</v>
      </c>
      <c r="I68" s="50" t="s">
        <v>3017</v>
      </c>
      <c r="J68" s="50" t="s">
        <v>3695</v>
      </c>
      <c r="K68" s="4">
        <v>7.38</v>
      </c>
      <c r="L68" s="31">
        <v>0.20272719482284199</v>
      </c>
      <c r="M68" s="50"/>
      <c r="N68" s="4"/>
      <c r="O68" s="44">
        <v>45737.291666666664</v>
      </c>
      <c r="P68" s="2"/>
      <c r="Q68"/>
      <c r="R68"/>
    </row>
    <row r="69" spans="1:18" x14ac:dyDescent="0.3">
      <c r="A69" s="3">
        <v>99047</v>
      </c>
      <c r="B69" s="3">
        <v>1</v>
      </c>
      <c r="C69" s="2" t="s">
        <v>2079</v>
      </c>
      <c r="D69" s="45"/>
      <c r="E69" s="4" t="s">
        <v>2251</v>
      </c>
      <c r="F69" s="50" t="s">
        <v>2331</v>
      </c>
      <c r="G69" s="2" t="s">
        <v>303</v>
      </c>
      <c r="H69" s="2" t="s">
        <v>303</v>
      </c>
      <c r="I69" s="50" t="s">
        <v>3014</v>
      </c>
      <c r="J69" s="50" t="s">
        <v>3696</v>
      </c>
      <c r="K69" s="4">
        <v>10.89</v>
      </c>
      <c r="L69" s="31">
        <v>0.32663960936633901</v>
      </c>
      <c r="M69" s="50"/>
      <c r="N69" s="4"/>
      <c r="O69" s="44">
        <v>45737.375</v>
      </c>
      <c r="P69" s="2"/>
      <c r="Q69"/>
      <c r="R69"/>
    </row>
    <row r="70" spans="1:18" x14ac:dyDescent="0.3">
      <c r="A70" s="3">
        <v>70769</v>
      </c>
      <c r="B70" s="3">
        <v>0</v>
      </c>
      <c r="C70" s="2" t="s">
        <v>2079</v>
      </c>
      <c r="D70" s="45"/>
      <c r="E70" s="4" t="s">
        <v>2251</v>
      </c>
      <c r="F70" s="50" t="s">
        <v>2279</v>
      </c>
      <c r="G70" s="2" t="s">
        <v>300</v>
      </c>
      <c r="H70" s="2" t="s">
        <v>300</v>
      </c>
      <c r="I70" s="50" t="s">
        <v>3016</v>
      </c>
      <c r="J70" s="50" t="s">
        <v>3697</v>
      </c>
      <c r="K70" s="4">
        <v>16.3</v>
      </c>
      <c r="L70" s="31">
        <v>0.38759270319150102</v>
      </c>
      <c r="M70" s="50"/>
      <c r="N70" s="4">
        <v>27</v>
      </c>
      <c r="O70" s="44">
        <v>45737.333333333336</v>
      </c>
      <c r="P70" s="2"/>
      <c r="Q70"/>
      <c r="R70"/>
    </row>
    <row r="71" spans="1:18" x14ac:dyDescent="0.3">
      <c r="A71" s="3">
        <v>73563</v>
      </c>
      <c r="B71" s="3">
        <v>0</v>
      </c>
      <c r="C71" s="2" t="s">
        <v>2079</v>
      </c>
      <c r="D71" s="45"/>
      <c r="E71" s="4" t="s">
        <v>2167</v>
      </c>
      <c r="F71" s="50" t="s">
        <v>2239</v>
      </c>
      <c r="G71" s="2" t="s">
        <v>300</v>
      </c>
      <c r="H71" s="2" t="s">
        <v>300</v>
      </c>
      <c r="I71" s="50" t="s">
        <v>2991</v>
      </c>
      <c r="J71" s="50" t="s">
        <v>3698</v>
      </c>
      <c r="L71" s="31">
        <v>10.705386625292199</v>
      </c>
      <c r="M71" s="50"/>
      <c r="N71" s="4">
        <v>5</v>
      </c>
      <c r="O71" s="44"/>
      <c r="P71" s="2"/>
      <c r="Q71"/>
      <c r="R71"/>
    </row>
    <row r="72" spans="1:18" x14ac:dyDescent="0.3">
      <c r="A72" s="3">
        <v>73545</v>
      </c>
      <c r="B72" s="3">
        <v>0</v>
      </c>
      <c r="C72" s="2" t="s">
        <v>2079</v>
      </c>
      <c r="D72" s="45"/>
      <c r="E72" s="4" t="s">
        <v>2251</v>
      </c>
      <c r="F72" s="50" t="s">
        <v>2317</v>
      </c>
      <c r="G72" s="2" t="s">
        <v>303</v>
      </c>
      <c r="H72" s="2" t="s">
        <v>303</v>
      </c>
      <c r="I72" s="50" t="s">
        <v>3027</v>
      </c>
      <c r="J72" s="50" t="s">
        <v>3699</v>
      </c>
      <c r="K72" s="4">
        <v>6.3</v>
      </c>
      <c r="L72" s="31">
        <v>0.65438013710308995</v>
      </c>
      <c r="M72" s="50"/>
      <c r="N72" s="4"/>
      <c r="O72" s="44">
        <v>45737.25</v>
      </c>
      <c r="P72" s="2"/>
      <c r="Q72"/>
      <c r="R72"/>
    </row>
    <row r="73" spans="1:18" x14ac:dyDescent="0.3">
      <c r="A73" s="3">
        <v>70966</v>
      </c>
      <c r="B73" s="3">
        <v>1</v>
      </c>
      <c r="C73" s="2" t="s">
        <v>2079</v>
      </c>
      <c r="D73" s="45"/>
      <c r="E73" s="4" t="s">
        <v>2167</v>
      </c>
      <c r="F73" s="50" t="s">
        <v>2169</v>
      </c>
      <c r="G73" s="2" t="s">
        <v>300</v>
      </c>
      <c r="H73" s="2" t="s">
        <v>300</v>
      </c>
      <c r="I73" s="50" t="s">
        <v>2986</v>
      </c>
      <c r="J73" s="50" t="s">
        <v>3700</v>
      </c>
      <c r="K73" s="4">
        <v>11.31</v>
      </c>
      <c r="L73" s="31">
        <v>3.21191863531419</v>
      </c>
      <c r="M73" s="50"/>
      <c r="N73" s="4">
        <v>29</v>
      </c>
      <c r="O73" s="44">
        <v>45737.333333333336</v>
      </c>
      <c r="P73" s="2"/>
      <c r="Q73"/>
      <c r="R73"/>
    </row>
    <row r="74" spans="1:18" x14ac:dyDescent="0.3">
      <c r="A74" s="3">
        <v>70565</v>
      </c>
      <c r="B74" s="3">
        <v>0</v>
      </c>
      <c r="C74" s="2" t="s">
        <v>2079</v>
      </c>
      <c r="D74" s="45"/>
      <c r="E74" s="4" t="s">
        <v>2251</v>
      </c>
      <c r="F74" s="50" t="s">
        <v>2262</v>
      </c>
      <c r="G74" s="2" t="s">
        <v>300</v>
      </c>
      <c r="H74" s="2" t="s">
        <v>300</v>
      </c>
      <c r="I74" s="50" t="s">
        <v>3005</v>
      </c>
      <c r="J74" s="50" t="s">
        <v>3701</v>
      </c>
      <c r="K74" s="4">
        <v>15.37</v>
      </c>
      <c r="L74" s="31">
        <v>0.46058505838465202</v>
      </c>
      <c r="M74" s="50"/>
      <c r="N74" s="4"/>
      <c r="O74" s="44"/>
      <c r="P74" s="2"/>
      <c r="Q74"/>
      <c r="R74"/>
    </row>
    <row r="75" spans="1:18" x14ac:dyDescent="0.3">
      <c r="A75" s="3">
        <v>73532</v>
      </c>
      <c r="B75" s="3">
        <v>0</v>
      </c>
      <c r="C75" s="2" t="s">
        <v>2079</v>
      </c>
      <c r="D75" s="45"/>
      <c r="E75" s="4" t="s">
        <v>2167</v>
      </c>
      <c r="F75" s="50" t="s">
        <v>2229</v>
      </c>
      <c r="G75" s="2" t="s">
        <v>303</v>
      </c>
      <c r="H75" s="2" t="s">
        <v>303</v>
      </c>
      <c r="I75" s="50" t="s">
        <v>2998</v>
      </c>
      <c r="J75" s="50" t="s">
        <v>3702</v>
      </c>
      <c r="K75" s="4">
        <v>4.9400000000000004</v>
      </c>
      <c r="L75" s="31">
        <v>1.0852842653616801</v>
      </c>
      <c r="M75" s="50"/>
      <c r="N75" s="4"/>
      <c r="O75" s="44">
        <v>45737.625</v>
      </c>
      <c r="P75" s="2"/>
      <c r="Q75"/>
      <c r="R75"/>
    </row>
    <row r="76" spans="1:18" x14ac:dyDescent="0.3">
      <c r="A76" s="3">
        <v>73168</v>
      </c>
      <c r="B76" s="3">
        <v>0</v>
      </c>
      <c r="C76" s="2" t="s">
        <v>2079</v>
      </c>
      <c r="D76" s="45"/>
      <c r="E76" s="4" t="s">
        <v>2251</v>
      </c>
      <c r="F76" s="50" t="s">
        <v>2299</v>
      </c>
      <c r="G76" s="2" t="s">
        <v>298</v>
      </c>
      <c r="H76" s="2" t="s">
        <v>298</v>
      </c>
      <c r="I76" s="50" t="s">
        <v>3010</v>
      </c>
      <c r="J76" s="50" t="s">
        <v>3703</v>
      </c>
      <c r="K76" s="4">
        <v>5.67</v>
      </c>
      <c r="L76" s="31">
        <v>2.8524472876475802</v>
      </c>
      <c r="M76" s="50"/>
      <c r="N76" s="4"/>
      <c r="O76" s="44">
        <v>45737.333333333336</v>
      </c>
      <c r="P76" s="2"/>
      <c r="Q76"/>
      <c r="R76"/>
    </row>
    <row r="77" spans="1:18" x14ac:dyDescent="0.3">
      <c r="A77" s="3">
        <v>99213</v>
      </c>
      <c r="B77" s="3">
        <v>0</v>
      </c>
      <c r="C77" s="2" t="s">
        <v>2079</v>
      </c>
      <c r="D77" s="45"/>
      <c r="E77" s="4" t="s">
        <v>2251</v>
      </c>
      <c r="F77" s="50" t="s">
        <v>2338</v>
      </c>
      <c r="G77" s="2" t="s">
        <v>298</v>
      </c>
      <c r="H77" s="2" t="s">
        <v>298</v>
      </c>
      <c r="I77" s="50" t="s">
        <v>3013</v>
      </c>
      <c r="J77" s="50" t="s">
        <v>3704</v>
      </c>
      <c r="K77" s="4">
        <v>17.899999999999999</v>
      </c>
      <c r="L77" s="31">
        <v>3.3139121900118198</v>
      </c>
      <c r="M77" s="50"/>
      <c r="N77" s="4"/>
      <c r="O77" s="44">
        <v>45737.25</v>
      </c>
      <c r="P77" s="2"/>
      <c r="Q77"/>
      <c r="R77"/>
    </row>
    <row r="78" spans="1:18" x14ac:dyDescent="0.3">
      <c r="A78" s="3">
        <v>70711</v>
      </c>
      <c r="B78" s="3">
        <v>0</v>
      </c>
      <c r="C78" s="2" t="s">
        <v>2079</v>
      </c>
      <c r="D78" s="45"/>
      <c r="E78" s="4" t="s">
        <v>2251</v>
      </c>
      <c r="F78" s="50" t="s">
        <v>2270</v>
      </c>
      <c r="G78" s="2" t="s">
        <v>323</v>
      </c>
      <c r="H78" s="2" t="s">
        <v>323</v>
      </c>
      <c r="I78" s="50" t="s">
        <v>3008</v>
      </c>
      <c r="J78" s="50" t="s">
        <v>3705</v>
      </c>
      <c r="K78" s="4">
        <v>8.76</v>
      </c>
      <c r="L78" s="31">
        <v>9.3742800010296605</v>
      </c>
      <c r="M78" s="50"/>
      <c r="N78" s="4"/>
      <c r="O78" s="44"/>
      <c r="P78" s="2"/>
      <c r="Q78"/>
      <c r="R78"/>
    </row>
    <row r="79" spans="1:18" x14ac:dyDescent="0.3">
      <c r="A79" s="3">
        <v>73314</v>
      </c>
      <c r="B79" s="3">
        <v>0</v>
      </c>
      <c r="C79" s="2" t="s">
        <v>2167</v>
      </c>
      <c r="D79" s="45"/>
      <c r="E79" s="4" t="s">
        <v>2079</v>
      </c>
      <c r="F79" s="50" t="s">
        <v>2139</v>
      </c>
      <c r="G79" s="2" t="s">
        <v>300</v>
      </c>
      <c r="H79" s="2" t="s">
        <v>300</v>
      </c>
      <c r="I79" s="50" t="s">
        <v>2967</v>
      </c>
      <c r="J79" s="50" t="s">
        <v>3297</v>
      </c>
      <c r="K79" s="4">
        <v>7.91</v>
      </c>
      <c r="L79" s="31">
        <v>38.244455957785199</v>
      </c>
      <c r="M79" s="50"/>
      <c r="N79" s="4"/>
      <c r="O79" s="44">
        <v>45737.229166666664</v>
      </c>
      <c r="P79" s="2"/>
      <c r="Q79"/>
      <c r="R79"/>
    </row>
    <row r="80" spans="1:18" x14ac:dyDescent="0.3">
      <c r="A80" s="3">
        <v>71194</v>
      </c>
      <c r="B80" s="3">
        <v>0</v>
      </c>
      <c r="C80" s="2" t="s">
        <v>2167</v>
      </c>
      <c r="D80" s="45"/>
      <c r="E80" s="4" t="s">
        <v>2079</v>
      </c>
      <c r="F80" s="50" t="s">
        <v>2129</v>
      </c>
      <c r="G80" s="2" t="s">
        <v>302</v>
      </c>
      <c r="H80" s="2" t="s">
        <v>302</v>
      </c>
      <c r="I80" s="50" t="s">
        <v>2972</v>
      </c>
      <c r="J80" s="50" t="s">
        <v>3291</v>
      </c>
      <c r="K80" s="4">
        <v>8.23</v>
      </c>
      <c r="L80" s="31">
        <v>38.382272521033897</v>
      </c>
      <c r="M80" s="50"/>
      <c r="N80" s="4"/>
      <c r="O80" s="44">
        <v>45737.25</v>
      </c>
      <c r="P80" s="2"/>
      <c r="Q80"/>
      <c r="R80"/>
    </row>
    <row r="81" spans="1:18" x14ac:dyDescent="0.3">
      <c r="A81" s="3">
        <v>73602</v>
      </c>
      <c r="B81" s="3">
        <v>0</v>
      </c>
      <c r="C81" s="2" t="s">
        <v>2167</v>
      </c>
      <c r="D81" s="45"/>
      <c r="E81" s="4" t="s">
        <v>2079</v>
      </c>
      <c r="F81" s="50" t="s">
        <v>2151</v>
      </c>
      <c r="G81" s="2" t="s">
        <v>323</v>
      </c>
      <c r="H81" s="2" t="s">
        <v>323</v>
      </c>
      <c r="I81" s="50" t="s">
        <v>2962</v>
      </c>
      <c r="J81" s="50" t="s">
        <v>3308</v>
      </c>
      <c r="L81" s="31">
        <v>52.988462099805503</v>
      </c>
      <c r="M81" s="50"/>
      <c r="N81" s="4"/>
      <c r="O81" s="44"/>
      <c r="P81" s="2"/>
      <c r="Q81"/>
      <c r="R81"/>
    </row>
    <row r="82" spans="1:18" x14ac:dyDescent="0.3">
      <c r="A82" s="3">
        <v>71174</v>
      </c>
      <c r="B82" s="3">
        <v>0</v>
      </c>
      <c r="C82" s="2" t="s">
        <v>2167</v>
      </c>
      <c r="D82" s="45"/>
      <c r="E82" s="4" t="s">
        <v>2079</v>
      </c>
      <c r="F82" s="50" t="s">
        <v>2111</v>
      </c>
      <c r="G82" s="2" t="s">
        <v>323</v>
      </c>
      <c r="H82" s="2" t="s">
        <v>323</v>
      </c>
      <c r="I82" s="50" t="s">
        <v>2982</v>
      </c>
      <c r="J82" s="50" t="s">
        <v>3304</v>
      </c>
      <c r="K82" s="4">
        <v>11.11</v>
      </c>
      <c r="L82" s="31">
        <v>3.3634612392634202</v>
      </c>
      <c r="M82" s="50"/>
      <c r="N82" s="4"/>
      <c r="O82" s="44">
        <v>45737.375</v>
      </c>
      <c r="P82" s="2"/>
      <c r="Q82"/>
      <c r="R82"/>
    </row>
    <row r="83" spans="1:18" x14ac:dyDescent="0.3">
      <c r="A83" s="3">
        <v>99161</v>
      </c>
      <c r="B83" s="3">
        <v>121</v>
      </c>
      <c r="C83" s="2" t="s">
        <v>2167</v>
      </c>
      <c r="D83" s="45"/>
      <c r="E83" s="4" t="s">
        <v>2079</v>
      </c>
      <c r="F83" s="50" t="s">
        <v>2968</v>
      </c>
      <c r="G83" s="2" t="s">
        <v>300</v>
      </c>
      <c r="H83" s="2" t="s">
        <v>300</v>
      </c>
      <c r="I83" s="50" t="s">
        <v>2969</v>
      </c>
      <c r="J83" s="50" t="s">
        <v>3294</v>
      </c>
      <c r="L83" s="31">
        <v>4.5120088383555398E-2</v>
      </c>
      <c r="M83" s="50"/>
      <c r="N83" s="4">
        <v>0</v>
      </c>
      <c r="O83" s="44"/>
      <c r="P83" s="2"/>
      <c r="Q83"/>
      <c r="R83"/>
    </row>
    <row r="84" spans="1:18" x14ac:dyDescent="0.3">
      <c r="A84" s="3">
        <v>99062</v>
      </c>
      <c r="B84" s="3">
        <v>121</v>
      </c>
      <c r="C84" s="2" t="s">
        <v>2167</v>
      </c>
      <c r="D84" s="45"/>
      <c r="E84" s="4" t="s">
        <v>2079</v>
      </c>
      <c r="F84" s="50" t="s">
        <v>2162</v>
      </c>
      <c r="G84" s="2" t="s">
        <v>300</v>
      </c>
      <c r="H84" s="2" t="s">
        <v>300</v>
      </c>
      <c r="I84" s="50" t="s">
        <v>2975</v>
      </c>
      <c r="J84" s="50" t="s">
        <v>3300</v>
      </c>
      <c r="K84" s="4">
        <v>11.69</v>
      </c>
      <c r="L84" s="31">
        <v>1.1319970600307001</v>
      </c>
      <c r="M84" s="50"/>
      <c r="N84" s="4">
        <v>22</v>
      </c>
      <c r="O84" s="44">
        <v>45737.270833333336</v>
      </c>
      <c r="P84" s="2"/>
      <c r="Q84"/>
      <c r="R84"/>
    </row>
    <row r="85" spans="1:18" x14ac:dyDescent="0.3">
      <c r="A85" s="3">
        <v>73457</v>
      </c>
      <c r="B85" s="3">
        <v>0</v>
      </c>
      <c r="C85" s="2" t="s">
        <v>2167</v>
      </c>
      <c r="D85" s="45"/>
      <c r="E85" s="4" t="s">
        <v>2079</v>
      </c>
      <c r="F85" s="50" t="s">
        <v>2148</v>
      </c>
      <c r="G85" s="2" t="s">
        <v>300</v>
      </c>
      <c r="H85" s="2" t="s">
        <v>300</v>
      </c>
      <c r="I85" s="50" t="s">
        <v>2978</v>
      </c>
      <c r="J85" s="50" t="s">
        <v>3416</v>
      </c>
      <c r="K85" s="4">
        <v>11.99</v>
      </c>
      <c r="L85" s="31">
        <v>0.904345292598009</v>
      </c>
      <c r="M85" s="50"/>
      <c r="N85" s="4">
        <v>8</v>
      </c>
      <c r="O85" s="44">
        <v>45737.375</v>
      </c>
      <c r="P85" s="2"/>
      <c r="Q85"/>
      <c r="R85"/>
    </row>
    <row r="86" spans="1:18" x14ac:dyDescent="0.3">
      <c r="A86" s="3">
        <v>71183</v>
      </c>
      <c r="B86" s="3">
        <v>0</v>
      </c>
      <c r="C86" s="2" t="s">
        <v>2167</v>
      </c>
      <c r="D86" s="45"/>
      <c r="E86" s="4" t="s">
        <v>2079</v>
      </c>
      <c r="F86" s="50" t="s">
        <v>2123</v>
      </c>
      <c r="G86" s="2" t="s">
        <v>300</v>
      </c>
      <c r="H86" s="2" t="s">
        <v>300</v>
      </c>
      <c r="I86" s="50" t="s">
        <v>2976</v>
      </c>
      <c r="J86" s="50" t="s">
        <v>3293</v>
      </c>
      <c r="K86" s="4">
        <v>9.77</v>
      </c>
      <c r="L86" s="31">
        <v>1.03685680776834</v>
      </c>
      <c r="M86" s="50"/>
      <c r="N86" s="4"/>
      <c r="O86" s="44">
        <v>45737.25</v>
      </c>
      <c r="P86" s="2"/>
      <c r="Q86"/>
      <c r="R86"/>
    </row>
    <row r="87" spans="1:18" x14ac:dyDescent="0.3">
      <c r="A87" s="3">
        <v>70801</v>
      </c>
      <c r="B87" s="3">
        <v>0</v>
      </c>
      <c r="C87" s="2" t="s">
        <v>2167</v>
      </c>
      <c r="D87" s="45"/>
      <c r="E87" s="4" t="s">
        <v>2079</v>
      </c>
      <c r="F87" s="50" t="s">
        <v>2108</v>
      </c>
      <c r="G87" s="2" t="s">
        <v>297</v>
      </c>
      <c r="H87" s="2" t="s">
        <v>297</v>
      </c>
      <c r="I87" s="50" t="s">
        <v>2973</v>
      </c>
      <c r="J87" s="50" t="s">
        <v>3295</v>
      </c>
      <c r="K87" s="4">
        <v>10.050000000000001</v>
      </c>
      <c r="L87" s="31">
        <v>0.64724759198725201</v>
      </c>
      <c r="M87" s="50"/>
      <c r="N87" s="4"/>
      <c r="O87" s="44">
        <v>45737.375</v>
      </c>
      <c r="P87" s="2"/>
      <c r="Q87"/>
      <c r="R87"/>
    </row>
    <row r="88" spans="1:18" x14ac:dyDescent="0.3">
      <c r="A88" s="3">
        <v>71182</v>
      </c>
      <c r="B88" s="3">
        <v>0</v>
      </c>
      <c r="C88" s="2" t="s">
        <v>2167</v>
      </c>
      <c r="D88" s="45"/>
      <c r="E88" s="4" t="s">
        <v>2079</v>
      </c>
      <c r="F88" s="50" t="s">
        <v>2120</v>
      </c>
      <c r="G88" s="2" t="s">
        <v>323</v>
      </c>
      <c r="H88" s="2" t="s">
        <v>323</v>
      </c>
      <c r="I88" s="50" t="s">
        <v>2977</v>
      </c>
      <c r="J88" s="50" t="s">
        <v>3296</v>
      </c>
      <c r="K88" s="4">
        <v>8.92</v>
      </c>
      <c r="L88" s="31">
        <v>2.2140893340110801</v>
      </c>
      <c r="M88" s="50"/>
      <c r="N88" s="4"/>
      <c r="O88" s="44">
        <v>45737.291666666664</v>
      </c>
      <c r="P88" s="2"/>
      <c r="Q88"/>
      <c r="R88"/>
    </row>
    <row r="89" spans="1:18" x14ac:dyDescent="0.3">
      <c r="A89" s="3">
        <v>73431</v>
      </c>
      <c r="B89" s="3">
        <v>6</v>
      </c>
      <c r="C89" s="2" t="s">
        <v>2167</v>
      </c>
      <c r="D89" s="45"/>
      <c r="E89" s="4" t="s">
        <v>2079</v>
      </c>
      <c r="F89" s="50" t="s">
        <v>2145</v>
      </c>
      <c r="G89" s="2" t="s">
        <v>298</v>
      </c>
      <c r="H89" s="2" t="s">
        <v>298</v>
      </c>
      <c r="I89" s="50" t="s">
        <v>2957</v>
      </c>
      <c r="J89" s="50" t="s">
        <v>3298</v>
      </c>
      <c r="K89" s="4">
        <v>4.95</v>
      </c>
      <c r="L89" s="31">
        <v>0.73983945697546005</v>
      </c>
      <c r="M89" s="50"/>
      <c r="N89" s="4"/>
      <c r="O89" s="44">
        <v>45737.375</v>
      </c>
      <c r="P89" s="2"/>
      <c r="Q89"/>
      <c r="R89"/>
    </row>
    <row r="90" spans="1:18" x14ac:dyDescent="0.3">
      <c r="A90" s="3">
        <v>70486</v>
      </c>
      <c r="B90" s="3">
        <v>0</v>
      </c>
      <c r="C90" s="2" t="s">
        <v>2167</v>
      </c>
      <c r="D90" s="45"/>
      <c r="E90" s="4" t="s">
        <v>2079</v>
      </c>
      <c r="F90" s="50" t="s">
        <v>2081</v>
      </c>
      <c r="G90" s="2" t="s">
        <v>300</v>
      </c>
      <c r="H90" s="2" t="s">
        <v>300</v>
      </c>
      <c r="I90" s="50" t="s">
        <v>2960</v>
      </c>
      <c r="J90" s="50" t="s">
        <v>3292</v>
      </c>
      <c r="K90" s="4">
        <v>12.77</v>
      </c>
      <c r="L90" s="31">
        <v>0.436339886859059</v>
      </c>
      <c r="M90" s="50"/>
      <c r="N90" s="4">
        <v>37</v>
      </c>
      <c r="O90" s="44">
        <v>45737.333333333336</v>
      </c>
      <c r="P90" s="2"/>
      <c r="Q90"/>
      <c r="R90"/>
    </row>
    <row r="91" spans="1:18" x14ac:dyDescent="0.3">
      <c r="A91" s="3">
        <v>73063</v>
      </c>
      <c r="B91" s="3">
        <v>3</v>
      </c>
      <c r="C91" s="2" t="s">
        <v>2167</v>
      </c>
      <c r="D91" s="45"/>
      <c r="E91" s="4" t="s">
        <v>2079</v>
      </c>
      <c r="F91" s="50" t="s">
        <v>2131</v>
      </c>
      <c r="G91" s="2" t="s">
        <v>303</v>
      </c>
      <c r="H91" s="2" t="s">
        <v>303</v>
      </c>
      <c r="I91" s="50" t="s">
        <v>2974</v>
      </c>
      <c r="J91" s="50" t="s">
        <v>3299</v>
      </c>
      <c r="K91" s="4">
        <v>8.2200000000000006</v>
      </c>
      <c r="L91" s="31">
        <v>1.6738634835928701</v>
      </c>
      <c r="M91" s="50"/>
      <c r="N91" s="4"/>
      <c r="O91" s="44">
        <v>45737.333333333336</v>
      </c>
      <c r="P91" s="2"/>
      <c r="Q91"/>
      <c r="R91"/>
    </row>
    <row r="92" spans="1:18" x14ac:dyDescent="0.3">
      <c r="A92" s="3">
        <v>70800</v>
      </c>
      <c r="B92" s="3">
        <v>0</v>
      </c>
      <c r="C92" s="2" t="s">
        <v>2167</v>
      </c>
      <c r="D92" s="45"/>
      <c r="E92" s="4" t="s">
        <v>2079</v>
      </c>
      <c r="F92" s="50" t="s">
        <v>2106</v>
      </c>
      <c r="G92" s="2" t="s">
        <v>298</v>
      </c>
      <c r="H92" s="2" t="s">
        <v>298</v>
      </c>
      <c r="I92" s="50" t="s">
        <v>2971</v>
      </c>
      <c r="J92" s="50" t="s">
        <v>3301</v>
      </c>
      <c r="K92" s="4">
        <v>5.18</v>
      </c>
      <c r="L92" s="31">
        <v>3.0003276690840699</v>
      </c>
      <c r="M92" s="50" t="s">
        <v>3302</v>
      </c>
      <c r="N92" s="4"/>
      <c r="O92" s="44">
        <v>45737.291666666664</v>
      </c>
      <c r="P92" s="2"/>
      <c r="Q92"/>
      <c r="R92"/>
    </row>
    <row r="93" spans="1:18" x14ac:dyDescent="0.3">
      <c r="A93" s="3">
        <v>73431</v>
      </c>
      <c r="B93" s="3">
        <v>5</v>
      </c>
      <c r="C93" s="2" t="s">
        <v>2167</v>
      </c>
      <c r="D93" s="45"/>
      <c r="E93" s="4" t="s">
        <v>2167</v>
      </c>
      <c r="F93" s="50" t="s">
        <v>2223</v>
      </c>
      <c r="G93" s="2" t="s">
        <v>298</v>
      </c>
      <c r="H93" s="2" t="s">
        <v>298</v>
      </c>
      <c r="I93" s="50" t="s">
        <v>3120</v>
      </c>
      <c r="J93" s="50" t="s">
        <v>3305</v>
      </c>
      <c r="K93" s="4">
        <v>5.22</v>
      </c>
      <c r="L93" s="31">
        <v>0.77605810202658199</v>
      </c>
      <c r="M93" s="50"/>
      <c r="N93" s="4"/>
      <c r="O93" s="44">
        <v>45737.375</v>
      </c>
      <c r="P93" s="2"/>
      <c r="Q93"/>
      <c r="R93"/>
    </row>
    <row r="94" spans="1:18" x14ac:dyDescent="0.3">
      <c r="A94" s="3">
        <v>70799</v>
      </c>
      <c r="B94" s="3">
        <v>0</v>
      </c>
      <c r="C94" s="2" t="s">
        <v>2167</v>
      </c>
      <c r="D94" s="45"/>
      <c r="E94" s="4" t="s">
        <v>2079</v>
      </c>
      <c r="F94" s="50" t="s">
        <v>2102</v>
      </c>
      <c r="G94" s="2" t="s">
        <v>298</v>
      </c>
      <c r="H94" s="2" t="s">
        <v>298</v>
      </c>
      <c r="I94" s="50" t="s">
        <v>2971</v>
      </c>
      <c r="J94" s="50" t="s">
        <v>3303</v>
      </c>
      <c r="K94" s="4">
        <v>4.97</v>
      </c>
      <c r="L94" s="31">
        <v>0</v>
      </c>
      <c r="M94" s="50"/>
      <c r="N94" s="4"/>
      <c r="O94" s="44">
        <v>45737.291666666664</v>
      </c>
      <c r="P94" s="2"/>
      <c r="Q94"/>
      <c r="R94"/>
    </row>
    <row r="95" spans="1:18" x14ac:dyDescent="0.3">
      <c r="A95" s="3">
        <v>71054</v>
      </c>
      <c r="B95" s="3">
        <v>0</v>
      </c>
      <c r="C95" s="2" t="s">
        <v>2167</v>
      </c>
      <c r="D95" s="45"/>
      <c r="E95" s="4" t="s">
        <v>2167</v>
      </c>
      <c r="F95" s="50" t="s">
        <v>2181</v>
      </c>
      <c r="G95" s="2" t="s">
        <v>323</v>
      </c>
      <c r="H95" s="2" t="s">
        <v>323</v>
      </c>
      <c r="I95" s="50" t="s">
        <v>3113</v>
      </c>
      <c r="J95" s="50" t="s">
        <v>3306</v>
      </c>
      <c r="K95" s="4">
        <v>14.68</v>
      </c>
      <c r="L95" s="31">
        <v>2.3154416326433398</v>
      </c>
      <c r="M95" s="50"/>
      <c r="N95" s="4"/>
      <c r="O95" s="44">
        <v>45737.25</v>
      </c>
      <c r="P95" s="2"/>
      <c r="Q95"/>
      <c r="R95"/>
    </row>
    <row r="96" spans="1:18" x14ac:dyDescent="0.3">
      <c r="A96" s="3">
        <v>71058</v>
      </c>
      <c r="B96" s="3">
        <v>0</v>
      </c>
      <c r="C96" s="2" t="s">
        <v>2167</v>
      </c>
      <c r="D96" s="45"/>
      <c r="E96" s="4" t="s">
        <v>2167</v>
      </c>
      <c r="F96" s="50" t="s">
        <v>2184</v>
      </c>
      <c r="G96" s="2" t="s">
        <v>300</v>
      </c>
      <c r="H96" s="2" t="s">
        <v>300</v>
      </c>
      <c r="I96" s="50" t="s">
        <v>3112</v>
      </c>
      <c r="J96" s="50" t="s">
        <v>3307</v>
      </c>
      <c r="K96" s="4">
        <v>8.2799999999999994</v>
      </c>
      <c r="L96" s="31">
        <v>0.30128515698015701</v>
      </c>
      <c r="M96" s="50"/>
      <c r="N96" s="4">
        <v>0</v>
      </c>
      <c r="O96" s="44">
        <v>45737.25</v>
      </c>
      <c r="P96" s="2"/>
      <c r="Q96"/>
      <c r="R96"/>
    </row>
    <row r="97" spans="1:18" x14ac:dyDescent="0.3">
      <c r="A97" s="3">
        <v>71231</v>
      </c>
      <c r="B97" s="3">
        <v>0</v>
      </c>
      <c r="C97" s="2" t="s">
        <v>2167</v>
      </c>
      <c r="D97" s="45"/>
      <c r="E97" s="4" t="s">
        <v>1967</v>
      </c>
      <c r="F97" s="50" t="s">
        <v>2019</v>
      </c>
      <c r="G97" s="2" t="s">
        <v>323</v>
      </c>
      <c r="H97" s="2" t="s">
        <v>323</v>
      </c>
      <c r="I97" s="50" t="s">
        <v>2945</v>
      </c>
      <c r="J97" s="50" t="s">
        <v>3310</v>
      </c>
      <c r="K97" s="4">
        <v>5.7</v>
      </c>
      <c r="L97" s="31">
        <v>34.887701168656299</v>
      </c>
      <c r="M97" s="50"/>
      <c r="N97" s="4"/>
      <c r="O97" s="44">
        <v>45737.354166666664</v>
      </c>
      <c r="P97" s="2"/>
      <c r="Q97"/>
      <c r="R97"/>
    </row>
    <row r="98" spans="1:18" x14ac:dyDescent="0.3">
      <c r="A98" s="3">
        <v>99031</v>
      </c>
      <c r="B98" s="3">
        <v>187</v>
      </c>
      <c r="C98" s="2" t="s">
        <v>2167</v>
      </c>
      <c r="D98" s="45"/>
      <c r="E98" s="4" t="s">
        <v>2167</v>
      </c>
      <c r="F98" s="50" t="s">
        <v>2245</v>
      </c>
      <c r="G98" s="2" t="s">
        <v>300</v>
      </c>
      <c r="H98" s="2" t="s">
        <v>300</v>
      </c>
      <c r="I98" s="50" t="s">
        <v>3114</v>
      </c>
      <c r="J98" s="50" t="s">
        <v>3311</v>
      </c>
      <c r="L98" s="31">
        <v>0.55407596938312098</v>
      </c>
      <c r="M98" s="50"/>
      <c r="N98" s="4"/>
      <c r="O98" s="44"/>
      <c r="P98" s="2"/>
      <c r="Q98"/>
      <c r="R98"/>
    </row>
    <row r="99" spans="1:18" x14ac:dyDescent="0.3">
      <c r="A99" s="3">
        <v>73538</v>
      </c>
      <c r="B99" s="3">
        <v>0</v>
      </c>
      <c r="C99" s="2" t="s">
        <v>2167</v>
      </c>
      <c r="D99" s="45"/>
      <c r="E99" s="4" t="s">
        <v>2167</v>
      </c>
      <c r="F99" s="50" t="s">
        <v>2235</v>
      </c>
      <c r="G99" s="2" t="s">
        <v>300</v>
      </c>
      <c r="H99" s="2" t="s">
        <v>300</v>
      </c>
      <c r="I99" s="50" t="s">
        <v>3118</v>
      </c>
      <c r="J99" s="50" t="s">
        <v>3314</v>
      </c>
      <c r="K99" s="4">
        <v>8</v>
      </c>
      <c r="L99" s="31">
        <v>27.3143764287233</v>
      </c>
      <c r="M99" s="50"/>
      <c r="N99" s="4"/>
      <c r="O99" s="44">
        <v>45737.333333333336</v>
      </c>
      <c r="P99" s="2"/>
      <c r="Q99"/>
      <c r="R99"/>
    </row>
    <row r="100" spans="1:18" x14ac:dyDescent="0.3">
      <c r="A100" s="3">
        <v>73063</v>
      </c>
      <c r="B100" s="3">
        <v>2</v>
      </c>
      <c r="C100" s="2" t="s">
        <v>2167</v>
      </c>
      <c r="D100" s="45"/>
      <c r="E100" s="4" t="s">
        <v>2167</v>
      </c>
      <c r="F100" s="50" t="s">
        <v>2212</v>
      </c>
      <c r="G100" s="2" t="s">
        <v>323</v>
      </c>
      <c r="H100" s="2" t="s">
        <v>323</v>
      </c>
      <c r="I100" s="50" t="s">
        <v>3111</v>
      </c>
      <c r="J100" s="50" t="s">
        <v>3309</v>
      </c>
      <c r="K100" s="4">
        <v>6.16</v>
      </c>
      <c r="L100" s="31">
        <v>2.17171508818865</v>
      </c>
      <c r="M100" s="50"/>
      <c r="N100" s="4"/>
      <c r="O100" s="44">
        <v>45737.291666666664</v>
      </c>
      <c r="P100" s="2"/>
      <c r="Q100"/>
      <c r="R100"/>
    </row>
    <row r="101" spans="1:18" x14ac:dyDescent="0.3">
      <c r="A101" s="3">
        <v>71411</v>
      </c>
      <c r="B101" s="3">
        <v>0</v>
      </c>
      <c r="C101" s="2" t="s">
        <v>2167</v>
      </c>
      <c r="D101" s="45"/>
      <c r="E101" s="4" t="s">
        <v>2167</v>
      </c>
      <c r="F101" s="50" t="s">
        <v>2210</v>
      </c>
      <c r="G101" s="2" t="s">
        <v>300</v>
      </c>
      <c r="H101" s="2" t="s">
        <v>300</v>
      </c>
      <c r="I101" s="50" t="s">
        <v>3117</v>
      </c>
      <c r="J101" s="50" t="s">
        <v>3313</v>
      </c>
      <c r="K101" s="4">
        <v>16.57</v>
      </c>
      <c r="L101" s="31">
        <v>6.5059885866940004</v>
      </c>
      <c r="M101" s="50"/>
      <c r="N101" s="4"/>
      <c r="O101" s="44">
        <v>45737.333333333336</v>
      </c>
      <c r="P101" s="2"/>
      <c r="Q101"/>
      <c r="R101"/>
    </row>
    <row r="102" spans="1:18" x14ac:dyDescent="0.3">
      <c r="A102" s="3">
        <v>99031</v>
      </c>
      <c r="B102" s="3">
        <v>66</v>
      </c>
      <c r="C102" s="2" t="s">
        <v>2167</v>
      </c>
      <c r="D102" s="45"/>
      <c r="E102" s="4" t="s">
        <v>2167</v>
      </c>
      <c r="F102" s="50" t="s">
        <v>2242</v>
      </c>
      <c r="G102" s="2" t="s">
        <v>300</v>
      </c>
      <c r="H102" s="2" t="s">
        <v>300</v>
      </c>
      <c r="I102" s="50" t="s">
        <v>3116</v>
      </c>
      <c r="J102" s="50" t="s">
        <v>3312</v>
      </c>
      <c r="K102" s="4">
        <v>17.079999999999998</v>
      </c>
      <c r="L102" s="31">
        <v>1.97151596657932</v>
      </c>
      <c r="M102" s="50"/>
      <c r="N102" s="4"/>
      <c r="O102" s="44">
        <v>45737.25</v>
      </c>
      <c r="P102" s="2"/>
      <c r="Q102"/>
      <c r="R102"/>
    </row>
    <row r="103" spans="1:18" x14ac:dyDescent="0.3">
      <c r="A103" s="3">
        <v>71211</v>
      </c>
      <c r="B103" s="3">
        <v>0</v>
      </c>
      <c r="C103" s="2" t="s">
        <v>2167</v>
      </c>
      <c r="D103" s="45"/>
      <c r="E103" s="4" t="s">
        <v>2167</v>
      </c>
      <c r="F103" s="50" t="s">
        <v>2197</v>
      </c>
      <c r="G103" s="2" t="s">
        <v>299</v>
      </c>
      <c r="H103" s="2" t="s">
        <v>299</v>
      </c>
      <c r="I103" s="50" t="s">
        <v>3115</v>
      </c>
      <c r="J103" s="50" t="s">
        <v>3315</v>
      </c>
      <c r="K103" s="4">
        <v>18.64</v>
      </c>
      <c r="L103" s="31">
        <v>7.2954607699066401</v>
      </c>
      <c r="M103" s="50"/>
      <c r="N103" s="4"/>
      <c r="O103" s="44">
        <v>45737.333333333336</v>
      </c>
      <c r="P103" s="2"/>
      <c r="Q103"/>
      <c r="R103"/>
    </row>
    <row r="104" spans="1:18" x14ac:dyDescent="0.3">
      <c r="A104" s="3">
        <v>71059</v>
      </c>
      <c r="B104" s="3">
        <v>0</v>
      </c>
      <c r="C104" s="2" t="s">
        <v>2167</v>
      </c>
      <c r="D104" s="45"/>
      <c r="E104" s="4" t="s">
        <v>2167</v>
      </c>
      <c r="F104" s="50" t="s">
        <v>2187</v>
      </c>
      <c r="G104" s="2" t="s">
        <v>300</v>
      </c>
      <c r="H104" s="2" t="s">
        <v>300</v>
      </c>
      <c r="I104" s="50" t="s">
        <v>3119</v>
      </c>
      <c r="J104" s="50" t="s">
        <v>3417</v>
      </c>
      <c r="K104" s="4">
        <v>10.23</v>
      </c>
      <c r="L104" s="31">
        <v>0.525676114484668</v>
      </c>
      <c r="M104" s="50"/>
      <c r="N104" s="4"/>
      <c r="O104" s="44">
        <v>45737.479166666664</v>
      </c>
      <c r="P104" s="2"/>
      <c r="Q104"/>
      <c r="R104"/>
    </row>
    <row r="105" spans="1:18" x14ac:dyDescent="0.3">
      <c r="A105" s="3">
        <v>71207</v>
      </c>
      <c r="B105" s="3">
        <v>0</v>
      </c>
      <c r="C105" s="2" t="s">
        <v>2167</v>
      </c>
      <c r="D105" s="45"/>
      <c r="E105" s="4" t="s">
        <v>2167</v>
      </c>
      <c r="F105" s="50" t="s">
        <v>2194</v>
      </c>
      <c r="G105" s="2" t="s">
        <v>299</v>
      </c>
      <c r="H105" s="2" t="s">
        <v>299</v>
      </c>
      <c r="I105" s="50" t="s">
        <v>2983</v>
      </c>
      <c r="J105" s="50" t="s">
        <v>3316</v>
      </c>
      <c r="K105" s="4">
        <v>7.72</v>
      </c>
      <c r="L105" s="31">
        <v>5.0028813853859901</v>
      </c>
      <c r="M105" s="50"/>
      <c r="N105" s="4"/>
      <c r="O105" s="44">
        <v>45737.291666666664</v>
      </c>
      <c r="P105" s="2"/>
      <c r="Q105"/>
      <c r="R105"/>
    </row>
    <row r="106" spans="1:18" x14ac:dyDescent="0.3">
      <c r="A106" s="3">
        <v>71198</v>
      </c>
      <c r="B106" s="3">
        <v>0</v>
      </c>
      <c r="C106" s="2" t="s">
        <v>2167</v>
      </c>
      <c r="D106" s="45"/>
      <c r="E106" s="4" t="s">
        <v>1967</v>
      </c>
      <c r="F106" s="50" t="s">
        <v>1989</v>
      </c>
      <c r="G106" s="2" t="s">
        <v>302</v>
      </c>
      <c r="H106" s="2" t="s">
        <v>302</v>
      </c>
      <c r="I106" s="50" t="s">
        <v>2946</v>
      </c>
      <c r="J106" s="50" t="s">
        <v>3317</v>
      </c>
      <c r="K106" s="4">
        <v>7.45</v>
      </c>
      <c r="L106" s="31">
        <v>23.202719990163999</v>
      </c>
      <c r="M106" s="50"/>
      <c r="N106" s="4"/>
      <c r="O106" s="44"/>
      <c r="P106" s="2"/>
      <c r="Q106"/>
      <c r="R106"/>
    </row>
    <row r="107" spans="1:18" x14ac:dyDescent="0.3">
      <c r="A107" s="3">
        <v>71237</v>
      </c>
      <c r="B107" s="3">
        <v>0</v>
      </c>
      <c r="C107" s="2" t="s">
        <v>2167</v>
      </c>
      <c r="D107" s="45"/>
      <c r="E107" s="4" t="s">
        <v>2167</v>
      </c>
      <c r="F107" s="50" t="s">
        <v>2203</v>
      </c>
      <c r="G107" s="2" t="s">
        <v>300</v>
      </c>
      <c r="H107" s="2" t="s">
        <v>300</v>
      </c>
      <c r="I107" s="50" t="s">
        <v>2990</v>
      </c>
      <c r="J107" s="50" t="s">
        <v>3418</v>
      </c>
      <c r="K107" s="4">
        <v>16.73</v>
      </c>
      <c r="L107" s="31">
        <v>16.831709291786002</v>
      </c>
      <c r="M107" s="50"/>
      <c r="N107" s="4"/>
      <c r="O107" s="44">
        <v>45737.583333333336</v>
      </c>
      <c r="P107" s="2"/>
      <c r="Q107"/>
      <c r="R107"/>
    </row>
    <row r="108" spans="1:18" x14ac:dyDescent="0.3">
      <c r="A108" s="3">
        <v>71199</v>
      </c>
      <c r="B108" s="3">
        <v>0</v>
      </c>
      <c r="C108" s="2" t="s">
        <v>2167</v>
      </c>
      <c r="D108" s="45"/>
      <c r="E108" s="4" t="s">
        <v>1967</v>
      </c>
      <c r="F108" s="50" t="s">
        <v>1992</v>
      </c>
      <c r="G108" s="2" t="s">
        <v>303</v>
      </c>
      <c r="H108" s="2" t="s">
        <v>303</v>
      </c>
      <c r="I108" s="50" t="s">
        <v>2951</v>
      </c>
      <c r="J108" s="50" t="s">
        <v>3319</v>
      </c>
      <c r="K108" s="4">
        <v>26.36</v>
      </c>
      <c r="L108" s="31">
        <v>1.04225970618427</v>
      </c>
      <c r="M108" s="50"/>
      <c r="N108" s="4"/>
      <c r="O108" s="44">
        <v>45737.625</v>
      </c>
      <c r="P108" s="2"/>
      <c r="Q108"/>
      <c r="R108"/>
    </row>
    <row r="109" spans="1:18" x14ac:dyDescent="0.3">
      <c r="A109" s="3">
        <v>73498</v>
      </c>
      <c r="B109" s="3">
        <v>0</v>
      </c>
      <c r="C109" s="2" t="s">
        <v>2167</v>
      </c>
      <c r="D109" s="45"/>
      <c r="E109" s="4" t="s">
        <v>2167</v>
      </c>
      <c r="F109" s="50" t="s">
        <v>2226</v>
      </c>
      <c r="G109" s="2" t="s">
        <v>300</v>
      </c>
      <c r="H109" s="2" t="s">
        <v>300</v>
      </c>
      <c r="I109" s="50" t="s">
        <v>2996</v>
      </c>
      <c r="J109" s="50" t="s">
        <v>3318</v>
      </c>
      <c r="K109" s="4">
        <v>9.0399999999999991</v>
      </c>
      <c r="L109" s="31">
        <v>13.608863402158001</v>
      </c>
      <c r="M109" s="50"/>
      <c r="N109" s="4"/>
      <c r="O109" s="44">
        <v>45737.583333333336</v>
      </c>
      <c r="P109" s="2"/>
      <c r="Q109"/>
      <c r="R109"/>
    </row>
    <row r="110" spans="1:18" x14ac:dyDescent="0.3">
      <c r="A110" s="3">
        <v>70740</v>
      </c>
      <c r="B110" s="3">
        <v>0</v>
      </c>
      <c r="C110" s="2" t="s">
        <v>2251</v>
      </c>
      <c r="D110" s="45"/>
      <c r="E110" s="4" t="s">
        <v>2079</v>
      </c>
      <c r="F110" s="50" t="s">
        <v>2099</v>
      </c>
      <c r="G110" s="2" t="s">
        <v>300</v>
      </c>
      <c r="H110" s="2" t="s">
        <v>300</v>
      </c>
      <c r="I110" s="50" t="s">
        <v>2959</v>
      </c>
      <c r="J110" s="50" t="s">
        <v>3706</v>
      </c>
      <c r="K110" s="4">
        <v>6.1</v>
      </c>
      <c r="L110" s="31">
        <v>0.60144388108900904</v>
      </c>
      <c r="M110" s="50"/>
      <c r="N110" s="4"/>
      <c r="O110" s="44"/>
      <c r="P110" s="2"/>
      <c r="Q110"/>
      <c r="R110"/>
    </row>
    <row r="111" spans="1:18" x14ac:dyDescent="0.3">
      <c r="A111" s="3">
        <v>73162</v>
      </c>
      <c r="B111" s="3">
        <v>0</v>
      </c>
      <c r="C111" s="2" t="s">
        <v>2251</v>
      </c>
      <c r="D111" s="45"/>
      <c r="E111" s="4" t="s">
        <v>2340</v>
      </c>
      <c r="F111" s="50" t="s">
        <v>2373</v>
      </c>
      <c r="G111" s="2" t="s">
        <v>300</v>
      </c>
      <c r="H111" s="2" t="s">
        <v>300</v>
      </c>
      <c r="I111" s="50" t="s">
        <v>3033</v>
      </c>
      <c r="J111" s="50" t="s">
        <v>3707</v>
      </c>
      <c r="K111" s="4">
        <v>169.52</v>
      </c>
      <c r="L111" s="31">
        <v>1.98220636496106</v>
      </c>
      <c r="M111" s="50"/>
      <c r="N111" s="4"/>
      <c r="O111" s="44">
        <v>45737.25</v>
      </c>
      <c r="P111" s="2"/>
      <c r="Q111"/>
      <c r="R111"/>
    </row>
    <row r="112" spans="1:18" x14ac:dyDescent="0.3">
      <c r="A112" s="3">
        <v>73614</v>
      </c>
      <c r="B112" s="3">
        <v>0</v>
      </c>
      <c r="C112" s="2" t="s">
        <v>2251</v>
      </c>
      <c r="D112" s="45"/>
      <c r="E112" s="4" t="s">
        <v>2251</v>
      </c>
      <c r="F112" s="50" t="s">
        <v>3121</v>
      </c>
      <c r="G112" s="2" t="s">
        <v>323</v>
      </c>
      <c r="H112" s="2" t="s">
        <v>323</v>
      </c>
      <c r="I112" s="50" t="s">
        <v>3122</v>
      </c>
      <c r="J112" s="50" t="s">
        <v>3708</v>
      </c>
      <c r="L112" s="31">
        <v>2.9959367504447698</v>
      </c>
      <c r="M112" s="50"/>
      <c r="N112" s="4"/>
      <c r="O112" s="44"/>
      <c r="P112" s="2"/>
      <c r="Q112"/>
      <c r="R112"/>
    </row>
    <row r="113" spans="1:18" x14ac:dyDescent="0.3">
      <c r="A113" s="3">
        <v>70666</v>
      </c>
      <c r="B113" s="3">
        <v>0</v>
      </c>
      <c r="C113" s="2" t="s">
        <v>2251</v>
      </c>
      <c r="D113" s="45"/>
      <c r="E113" s="4" t="s">
        <v>2079</v>
      </c>
      <c r="F113" s="50" t="s">
        <v>2093</v>
      </c>
      <c r="G113" s="2" t="s">
        <v>323</v>
      </c>
      <c r="H113" s="2" t="s">
        <v>323</v>
      </c>
      <c r="I113" s="50" t="s">
        <v>2955</v>
      </c>
      <c r="J113" s="50" t="s">
        <v>3709</v>
      </c>
      <c r="K113" s="4">
        <v>9.41</v>
      </c>
      <c r="L113" s="31">
        <v>3.9555453179035598</v>
      </c>
      <c r="M113" s="50"/>
      <c r="N113" s="4"/>
      <c r="O113" s="44"/>
      <c r="P113" s="2"/>
      <c r="Q113"/>
      <c r="R113"/>
    </row>
    <row r="114" spans="1:18" x14ac:dyDescent="0.3">
      <c r="A114" s="3">
        <v>70500</v>
      </c>
      <c r="B114" s="3">
        <v>0</v>
      </c>
      <c r="C114" s="2" t="s">
        <v>2251</v>
      </c>
      <c r="D114" s="45"/>
      <c r="E114" s="4" t="s">
        <v>2251</v>
      </c>
      <c r="F114" s="50" t="s">
        <v>2259</v>
      </c>
      <c r="G114" s="2" t="s">
        <v>303</v>
      </c>
      <c r="H114" s="2" t="s">
        <v>303</v>
      </c>
      <c r="I114" s="50" t="s">
        <v>3124</v>
      </c>
      <c r="J114" s="50" t="s">
        <v>3710</v>
      </c>
      <c r="K114" s="4">
        <v>10.95</v>
      </c>
      <c r="L114" s="31">
        <v>0.17646415121106401</v>
      </c>
      <c r="M114" s="50"/>
      <c r="N114" s="4"/>
      <c r="O114" s="44"/>
      <c r="P114" s="2"/>
      <c r="Q114"/>
      <c r="R114"/>
    </row>
    <row r="115" spans="1:18" x14ac:dyDescent="0.3">
      <c r="A115" s="3">
        <v>99053</v>
      </c>
      <c r="B115" s="3">
        <v>17</v>
      </c>
      <c r="C115" s="2" t="s">
        <v>2251</v>
      </c>
      <c r="D115" s="45"/>
      <c r="E115" s="4" t="s">
        <v>2079</v>
      </c>
      <c r="F115" s="50" t="s">
        <v>2159</v>
      </c>
      <c r="G115" s="2" t="s">
        <v>298</v>
      </c>
      <c r="H115" s="2" t="s">
        <v>298</v>
      </c>
      <c r="I115" s="50" t="s">
        <v>2964</v>
      </c>
      <c r="J115" s="50" t="s">
        <v>3711</v>
      </c>
      <c r="L115" s="31">
        <v>3.5482995448553298</v>
      </c>
      <c r="M115" s="50"/>
      <c r="N115" s="4"/>
      <c r="O115" s="44"/>
      <c r="P115" s="2"/>
      <c r="Q115"/>
      <c r="R115"/>
    </row>
    <row r="116" spans="1:18" x14ac:dyDescent="0.3">
      <c r="A116" s="3">
        <v>70634</v>
      </c>
      <c r="B116" s="3">
        <v>0</v>
      </c>
      <c r="C116" s="2" t="s">
        <v>2251</v>
      </c>
      <c r="D116" s="45"/>
      <c r="E116" s="4" t="s">
        <v>2079</v>
      </c>
      <c r="F116" s="50" t="s">
        <v>2090</v>
      </c>
      <c r="G116" s="2" t="s">
        <v>300</v>
      </c>
      <c r="H116" s="2" t="s">
        <v>300</v>
      </c>
      <c r="I116" s="50" t="s">
        <v>2956</v>
      </c>
      <c r="J116" s="50" t="s">
        <v>3712</v>
      </c>
      <c r="K116" s="4">
        <v>11.64</v>
      </c>
      <c r="L116" s="31">
        <v>0.32778431511741202</v>
      </c>
      <c r="M116" s="50"/>
      <c r="N116" s="4">
        <v>37</v>
      </c>
      <c r="O116" s="44">
        <v>45737.25</v>
      </c>
      <c r="P116" s="2"/>
      <c r="Q116"/>
      <c r="R116"/>
    </row>
    <row r="117" spans="1:18" x14ac:dyDescent="0.3">
      <c r="A117" s="3">
        <v>70963</v>
      </c>
      <c r="B117" s="3">
        <v>0</v>
      </c>
      <c r="C117" s="2" t="s">
        <v>2251</v>
      </c>
      <c r="D117" s="45"/>
      <c r="E117" s="4" t="s">
        <v>2340</v>
      </c>
      <c r="F117" s="50" t="s">
        <v>2365</v>
      </c>
      <c r="G117" s="2" t="s">
        <v>298</v>
      </c>
      <c r="H117" s="2" t="s">
        <v>298</v>
      </c>
      <c r="I117" s="50" t="s">
        <v>3034</v>
      </c>
      <c r="J117" s="50" t="s">
        <v>3713</v>
      </c>
      <c r="K117" s="4">
        <v>3.53</v>
      </c>
      <c r="L117" s="31">
        <v>0.70887791625918295</v>
      </c>
      <c r="M117" s="50"/>
      <c r="N117" s="4"/>
      <c r="O117" s="44">
        <v>45737.375</v>
      </c>
      <c r="P117" s="2"/>
      <c r="Q117"/>
      <c r="R117"/>
    </row>
    <row r="118" spans="1:18" x14ac:dyDescent="0.3">
      <c r="A118" s="3">
        <v>73489</v>
      </c>
      <c r="B118" s="3">
        <v>1</v>
      </c>
      <c r="C118" s="2" t="s">
        <v>2251</v>
      </c>
      <c r="D118" s="45"/>
      <c r="E118" s="4" t="s">
        <v>2251</v>
      </c>
      <c r="F118" s="50" t="s">
        <v>2308</v>
      </c>
      <c r="G118" s="2" t="s">
        <v>300</v>
      </c>
      <c r="H118" s="2" t="s">
        <v>300</v>
      </c>
      <c r="I118" s="50" t="s">
        <v>3123</v>
      </c>
      <c r="J118" s="50" t="s">
        <v>3714</v>
      </c>
      <c r="L118" s="31">
        <v>4.2280141976327696</v>
      </c>
      <c r="M118" s="50"/>
      <c r="N118" s="4"/>
      <c r="O118" s="44"/>
      <c r="P118" s="2"/>
      <c r="Q118"/>
      <c r="R118"/>
    </row>
    <row r="119" spans="1:18" x14ac:dyDescent="0.3">
      <c r="A119" s="3">
        <v>70502</v>
      </c>
      <c r="B119" s="3">
        <v>0</v>
      </c>
      <c r="C119" s="2" t="s">
        <v>2251</v>
      </c>
      <c r="D119" s="45"/>
      <c r="E119" s="4" t="s">
        <v>2079</v>
      </c>
      <c r="F119" s="50" t="s">
        <v>2084</v>
      </c>
      <c r="G119" s="2" t="s">
        <v>323</v>
      </c>
      <c r="H119" s="2" t="s">
        <v>323</v>
      </c>
      <c r="I119" s="50" t="s">
        <v>2958</v>
      </c>
      <c r="J119" s="50" t="s">
        <v>3715</v>
      </c>
      <c r="K119" s="4">
        <v>8.26</v>
      </c>
      <c r="L119" s="31">
        <v>0.429529836231268</v>
      </c>
      <c r="M119" s="50"/>
      <c r="N119" s="4"/>
      <c r="O119" s="44"/>
      <c r="P119" s="2"/>
      <c r="Q119"/>
      <c r="R119"/>
    </row>
    <row r="120" spans="1:18" x14ac:dyDescent="0.3">
      <c r="A120" s="3">
        <v>70961</v>
      </c>
      <c r="B120" s="3">
        <v>0</v>
      </c>
      <c r="C120" s="2" t="s">
        <v>2251</v>
      </c>
      <c r="D120" s="45"/>
      <c r="E120" s="4" t="s">
        <v>2340</v>
      </c>
      <c r="F120" s="50" t="s">
        <v>2362</v>
      </c>
      <c r="G120" s="2" t="s">
        <v>303</v>
      </c>
      <c r="H120" s="2" t="s">
        <v>303</v>
      </c>
      <c r="I120" s="50" t="s">
        <v>3037</v>
      </c>
      <c r="J120" s="50" t="s">
        <v>3716</v>
      </c>
      <c r="K120" s="4">
        <v>5.0999999999999996</v>
      </c>
      <c r="L120" s="31">
        <v>0.22003457668054699</v>
      </c>
      <c r="M120" s="50"/>
      <c r="N120" s="4"/>
      <c r="O120" s="44">
        <v>45737.333333333336</v>
      </c>
      <c r="P120" s="2"/>
      <c r="Q120"/>
      <c r="R120"/>
    </row>
    <row r="121" spans="1:18" x14ac:dyDescent="0.3">
      <c r="A121" s="3">
        <v>70106</v>
      </c>
      <c r="B121" s="3">
        <v>0</v>
      </c>
      <c r="C121" s="2" t="s">
        <v>2251</v>
      </c>
      <c r="D121" s="45"/>
      <c r="E121" s="4" t="s">
        <v>2251</v>
      </c>
      <c r="F121" s="50" t="s">
        <v>2253</v>
      </c>
      <c r="G121" s="2" t="s">
        <v>300</v>
      </c>
      <c r="H121" s="2" t="s">
        <v>300</v>
      </c>
      <c r="I121" s="50" t="s">
        <v>3026</v>
      </c>
      <c r="J121" s="50" t="s">
        <v>3717</v>
      </c>
      <c r="K121" s="4">
        <v>7.21</v>
      </c>
      <c r="L121" s="31">
        <v>5.9893470544551498E-2</v>
      </c>
      <c r="M121" s="50"/>
      <c r="N121" s="4"/>
      <c r="O121" s="44"/>
      <c r="P121" s="2"/>
      <c r="Q121"/>
      <c r="R121"/>
    </row>
    <row r="122" spans="1:18" x14ac:dyDescent="0.3">
      <c r="A122" s="3">
        <v>73470</v>
      </c>
      <c r="B122" s="3">
        <v>2</v>
      </c>
      <c r="C122" s="2" t="s">
        <v>2251</v>
      </c>
      <c r="D122" s="45"/>
      <c r="E122" s="4" t="s">
        <v>2340</v>
      </c>
      <c r="F122" s="50" t="s">
        <v>2382</v>
      </c>
      <c r="G122" s="2" t="s">
        <v>300</v>
      </c>
      <c r="H122" s="2" t="s">
        <v>300</v>
      </c>
      <c r="I122" s="50" t="s">
        <v>3035</v>
      </c>
      <c r="J122" s="50" t="s">
        <v>3718</v>
      </c>
      <c r="L122" s="31">
        <v>2.6047171209542102</v>
      </c>
      <c r="M122" s="50"/>
      <c r="N122" s="4"/>
      <c r="O122" s="44"/>
      <c r="P122" s="2"/>
      <c r="Q122"/>
      <c r="R122"/>
    </row>
    <row r="123" spans="1:18" x14ac:dyDescent="0.3">
      <c r="A123" s="3">
        <v>73515</v>
      </c>
      <c r="B123" s="3">
        <v>0</v>
      </c>
      <c r="C123" s="2" t="s">
        <v>2251</v>
      </c>
      <c r="D123" s="45"/>
      <c r="E123" s="4" t="s">
        <v>2251</v>
      </c>
      <c r="F123" s="50" t="s">
        <v>2311</v>
      </c>
      <c r="G123" s="2" t="s">
        <v>323</v>
      </c>
      <c r="H123" s="2" t="s">
        <v>323</v>
      </c>
      <c r="I123" s="50" t="s">
        <v>3006</v>
      </c>
      <c r="J123" s="50" t="s">
        <v>3719</v>
      </c>
      <c r="K123" s="4">
        <v>6.59</v>
      </c>
      <c r="L123" s="31">
        <v>5.9893470544494697E-2</v>
      </c>
      <c r="M123" s="50"/>
      <c r="N123" s="4"/>
      <c r="O123" s="44">
        <v>45737.333333333336</v>
      </c>
      <c r="P123" s="2"/>
      <c r="Q123"/>
      <c r="R123"/>
    </row>
    <row r="124" spans="1:18" x14ac:dyDescent="0.3">
      <c r="A124" s="3">
        <v>70623</v>
      </c>
      <c r="B124" s="3">
        <v>0</v>
      </c>
      <c r="C124" s="2" t="s">
        <v>2251</v>
      </c>
      <c r="D124" s="45"/>
      <c r="E124" s="4" t="s">
        <v>2251</v>
      </c>
      <c r="F124" s="50" t="s">
        <v>2265</v>
      </c>
      <c r="G124" s="2" t="s">
        <v>300</v>
      </c>
      <c r="H124" s="2" t="s">
        <v>300</v>
      </c>
      <c r="I124" s="50" t="s">
        <v>3125</v>
      </c>
      <c r="J124" s="50" t="s">
        <v>3720</v>
      </c>
      <c r="K124" s="4">
        <v>1.5</v>
      </c>
      <c r="L124" s="31">
        <v>2.6448522329331201</v>
      </c>
      <c r="M124" s="50"/>
      <c r="N124" s="4">
        <v>17</v>
      </c>
      <c r="O124" s="44">
        <v>45737.333333333336</v>
      </c>
      <c r="P124" s="2"/>
      <c r="Q124"/>
      <c r="R124"/>
    </row>
    <row r="125" spans="1:18" x14ac:dyDescent="0.3">
      <c r="A125" s="3">
        <v>99053</v>
      </c>
      <c r="B125" s="3">
        <v>6</v>
      </c>
      <c r="C125" s="2" t="s">
        <v>2251</v>
      </c>
      <c r="D125" s="45"/>
      <c r="E125" s="4" t="s">
        <v>2340</v>
      </c>
      <c r="F125" s="50" t="s">
        <v>2397</v>
      </c>
      <c r="G125" s="2" t="s">
        <v>297</v>
      </c>
      <c r="H125" s="2" t="s">
        <v>297</v>
      </c>
      <c r="I125" s="50" t="s">
        <v>3030</v>
      </c>
      <c r="J125" s="50" t="s">
        <v>3721</v>
      </c>
      <c r="K125" s="4">
        <v>9.8699999999999992</v>
      </c>
      <c r="L125" s="31">
        <v>0.77144666053334299</v>
      </c>
      <c r="M125" s="50"/>
      <c r="N125" s="4"/>
      <c r="O125" s="44">
        <v>45737.333333333336</v>
      </c>
      <c r="P125" s="2"/>
      <c r="Q125"/>
      <c r="R125"/>
    </row>
    <row r="126" spans="1:18" x14ac:dyDescent="0.3">
      <c r="A126" s="3">
        <v>70703</v>
      </c>
      <c r="B126" s="3">
        <v>0</v>
      </c>
      <c r="C126" s="2" t="s">
        <v>2251</v>
      </c>
      <c r="D126" s="45"/>
      <c r="E126" s="4" t="s">
        <v>2340</v>
      </c>
      <c r="F126" s="50" t="s">
        <v>2359</v>
      </c>
      <c r="G126" s="2" t="s">
        <v>298</v>
      </c>
      <c r="H126" s="2" t="s">
        <v>298</v>
      </c>
      <c r="I126" s="50" t="s">
        <v>3032</v>
      </c>
      <c r="J126" s="50" t="s">
        <v>3722</v>
      </c>
      <c r="K126" s="4">
        <v>3.12</v>
      </c>
      <c r="L126" s="31">
        <v>0.27358997791179701</v>
      </c>
      <c r="M126" s="50"/>
      <c r="N126" s="4"/>
      <c r="O126" s="44">
        <v>45737.333333333336</v>
      </c>
      <c r="P126" s="2"/>
      <c r="Q126"/>
      <c r="R126"/>
    </row>
    <row r="127" spans="1:18" x14ac:dyDescent="0.3">
      <c r="A127" s="3">
        <v>99152</v>
      </c>
      <c r="B127" s="3">
        <v>6</v>
      </c>
      <c r="C127" s="2" t="s">
        <v>2340</v>
      </c>
      <c r="D127" s="45"/>
      <c r="E127" s="4" t="s">
        <v>2079</v>
      </c>
      <c r="F127" s="50" t="s">
        <v>2165</v>
      </c>
      <c r="G127" s="2" t="s">
        <v>299</v>
      </c>
      <c r="H127" s="2" t="s">
        <v>299</v>
      </c>
      <c r="I127" s="50" t="s">
        <v>2965</v>
      </c>
      <c r="J127" s="50" t="s">
        <v>3321</v>
      </c>
      <c r="K127" s="4">
        <v>52.28</v>
      </c>
      <c r="L127" s="31">
        <v>6.6278403569012898</v>
      </c>
      <c r="M127" s="50"/>
      <c r="N127" s="4"/>
      <c r="O127" s="44">
        <v>45737.25</v>
      </c>
      <c r="P127" s="2"/>
      <c r="Q127"/>
      <c r="R127"/>
    </row>
    <row r="128" spans="1:18" x14ac:dyDescent="0.3">
      <c r="A128" s="3">
        <v>99152</v>
      </c>
      <c r="B128" s="3">
        <v>8</v>
      </c>
      <c r="C128" s="2" t="s">
        <v>2340</v>
      </c>
      <c r="D128" s="45"/>
      <c r="E128" s="4" t="s">
        <v>2340</v>
      </c>
      <c r="F128" s="50" t="s">
        <v>2074</v>
      </c>
      <c r="G128" s="2" t="s">
        <v>301</v>
      </c>
      <c r="H128" s="2" t="s">
        <v>301</v>
      </c>
      <c r="I128" s="50" t="s">
        <v>2948</v>
      </c>
      <c r="J128" s="50" t="s">
        <v>3320</v>
      </c>
      <c r="K128" s="4">
        <v>12.27</v>
      </c>
      <c r="L128" s="31">
        <v>6.6331685110926601</v>
      </c>
      <c r="M128" s="50"/>
      <c r="N128" s="4"/>
      <c r="O128" s="44"/>
      <c r="P128" s="2"/>
      <c r="Q128"/>
      <c r="R128"/>
    </row>
    <row r="129" spans="1:18" x14ac:dyDescent="0.3">
      <c r="A129" s="3">
        <v>99152</v>
      </c>
      <c r="B129" s="3">
        <v>8</v>
      </c>
      <c r="C129" s="2" t="s">
        <v>2340</v>
      </c>
      <c r="D129" s="45"/>
      <c r="E129" s="4" t="s">
        <v>1967</v>
      </c>
      <c r="F129" s="50" t="s">
        <v>2074</v>
      </c>
      <c r="G129" s="2" t="s">
        <v>301</v>
      </c>
      <c r="H129" s="2" t="s">
        <v>301</v>
      </c>
      <c r="I129" s="50" t="s">
        <v>2948</v>
      </c>
      <c r="J129" s="50" t="s">
        <v>3322</v>
      </c>
      <c r="K129" s="4">
        <v>12.27</v>
      </c>
      <c r="L129" s="31">
        <v>0</v>
      </c>
      <c r="M129" s="50"/>
      <c r="N129" s="4"/>
      <c r="O129" s="44"/>
      <c r="P129" s="2"/>
      <c r="Q129"/>
      <c r="R129"/>
    </row>
    <row r="130" spans="1:18" x14ac:dyDescent="0.3">
      <c r="A130" s="3">
        <v>70518</v>
      </c>
      <c r="B130" s="3">
        <v>0</v>
      </c>
      <c r="C130" s="2" t="s">
        <v>2340</v>
      </c>
      <c r="D130" s="45"/>
      <c r="E130" s="4" t="s">
        <v>1967</v>
      </c>
      <c r="F130" s="50" t="s">
        <v>1973</v>
      </c>
      <c r="G130" s="2" t="s">
        <v>300</v>
      </c>
      <c r="H130" s="2" t="s">
        <v>300</v>
      </c>
      <c r="I130" s="50" t="s">
        <v>2952</v>
      </c>
      <c r="J130" s="50" t="s">
        <v>3323</v>
      </c>
      <c r="K130" s="4">
        <v>20.7</v>
      </c>
      <c r="L130" s="31">
        <v>5.2011239286512101</v>
      </c>
      <c r="M130" s="50"/>
      <c r="N130" s="4">
        <v>9</v>
      </c>
      <c r="O130" s="44">
        <v>45737.25</v>
      </c>
      <c r="P130" s="2"/>
      <c r="Q130"/>
      <c r="R130"/>
    </row>
    <row r="131" spans="1:18" x14ac:dyDescent="0.3">
      <c r="A131" s="3">
        <v>70541</v>
      </c>
      <c r="B131" s="3">
        <v>0</v>
      </c>
      <c r="C131" s="2" t="s">
        <v>2340</v>
      </c>
      <c r="D131" s="45"/>
      <c r="E131" s="4" t="s">
        <v>2340</v>
      </c>
      <c r="F131" s="50" t="s">
        <v>2345</v>
      </c>
      <c r="G131" s="2" t="s">
        <v>302</v>
      </c>
      <c r="H131" s="2" t="s">
        <v>302</v>
      </c>
      <c r="I131" s="50" t="s">
        <v>3131</v>
      </c>
      <c r="J131" s="50" t="s">
        <v>3325</v>
      </c>
      <c r="K131" s="4">
        <v>0.13</v>
      </c>
      <c r="L131" s="31">
        <v>2.3983792532235402</v>
      </c>
      <c r="M131" s="50"/>
      <c r="N131" s="4"/>
      <c r="O131" s="44">
        <v>45737.291666666664</v>
      </c>
      <c r="P131" s="2"/>
      <c r="Q131"/>
      <c r="R131"/>
    </row>
    <row r="132" spans="1:18" x14ac:dyDescent="0.3">
      <c r="A132" s="3">
        <v>70588</v>
      </c>
      <c r="B132" s="3">
        <v>0</v>
      </c>
      <c r="C132" s="2" t="s">
        <v>2340</v>
      </c>
      <c r="D132" s="45"/>
      <c r="E132" s="4" t="s">
        <v>1967</v>
      </c>
      <c r="F132" s="50" t="s">
        <v>1978</v>
      </c>
      <c r="G132" s="2" t="s">
        <v>300</v>
      </c>
      <c r="H132" s="2" t="s">
        <v>300</v>
      </c>
      <c r="I132" s="50" t="s">
        <v>2953</v>
      </c>
      <c r="J132" s="50" t="s">
        <v>3344</v>
      </c>
      <c r="K132" s="4">
        <v>3.2</v>
      </c>
      <c r="L132" s="31">
        <v>2.50127151980996</v>
      </c>
      <c r="M132" s="50"/>
      <c r="N132" s="4">
        <v>14</v>
      </c>
      <c r="O132" s="44">
        <v>45737.291666666664</v>
      </c>
      <c r="P132" s="2"/>
      <c r="Q132"/>
      <c r="R132"/>
    </row>
    <row r="133" spans="1:18" x14ac:dyDescent="0.3">
      <c r="A133" s="3">
        <v>73603</v>
      </c>
      <c r="B133" s="3">
        <v>0</v>
      </c>
      <c r="C133" s="2" t="s">
        <v>2340</v>
      </c>
      <c r="D133" s="45"/>
      <c r="E133" s="4" t="s">
        <v>2340</v>
      </c>
      <c r="F133" s="50" t="s">
        <v>2392</v>
      </c>
      <c r="G133" s="2" t="s">
        <v>299</v>
      </c>
      <c r="H133" s="2" t="s">
        <v>299</v>
      </c>
      <c r="I133" s="50" t="s">
        <v>3135</v>
      </c>
      <c r="J133" s="50" t="s">
        <v>3324</v>
      </c>
      <c r="L133" s="31">
        <v>3.0125978179275998</v>
      </c>
      <c r="M133" s="50"/>
      <c r="N133" s="4"/>
      <c r="O133" s="44"/>
      <c r="P133" s="2"/>
      <c r="Q133"/>
      <c r="R133"/>
    </row>
    <row r="134" spans="1:18" x14ac:dyDescent="0.3">
      <c r="A134" s="3">
        <v>73506</v>
      </c>
      <c r="B134" s="3">
        <v>0</v>
      </c>
      <c r="C134" s="2" t="s">
        <v>2340</v>
      </c>
      <c r="D134" s="45"/>
      <c r="E134" s="4" t="s">
        <v>2340</v>
      </c>
      <c r="F134" s="50" t="s">
        <v>2385</v>
      </c>
      <c r="G134" s="2" t="s">
        <v>300</v>
      </c>
      <c r="H134" s="2" t="s">
        <v>300</v>
      </c>
      <c r="I134" s="50" t="s">
        <v>3031</v>
      </c>
      <c r="J134" s="50" t="s">
        <v>3326</v>
      </c>
      <c r="K134" s="4">
        <v>15.24</v>
      </c>
      <c r="L134" s="31">
        <v>1.8956984262913501</v>
      </c>
      <c r="M134" s="50" t="s">
        <v>2387</v>
      </c>
      <c r="N134" s="4">
        <v>31</v>
      </c>
      <c r="O134" s="44">
        <v>45737.291666666664</v>
      </c>
      <c r="P134" s="2"/>
      <c r="Q134"/>
      <c r="R134"/>
    </row>
    <row r="135" spans="1:18" x14ac:dyDescent="0.3">
      <c r="A135" s="3">
        <v>73571</v>
      </c>
      <c r="B135" s="3">
        <v>0</v>
      </c>
      <c r="C135" s="2" t="s">
        <v>2340</v>
      </c>
      <c r="D135" s="45"/>
      <c r="E135" s="4" t="s">
        <v>2340</v>
      </c>
      <c r="F135" s="50" t="s">
        <v>2389</v>
      </c>
      <c r="G135" s="2" t="s">
        <v>300</v>
      </c>
      <c r="H135" s="2" t="s">
        <v>300</v>
      </c>
      <c r="I135" s="50" t="s">
        <v>3127</v>
      </c>
      <c r="J135" s="50" t="s">
        <v>3327</v>
      </c>
      <c r="L135" s="31">
        <v>3.21175038442016</v>
      </c>
      <c r="M135" s="50"/>
      <c r="N135" s="4">
        <v>20</v>
      </c>
      <c r="O135" s="44"/>
      <c r="P135" s="2"/>
      <c r="Q135"/>
      <c r="R135"/>
    </row>
    <row r="136" spans="1:18" x14ac:dyDescent="0.3">
      <c r="A136" s="3">
        <v>73365</v>
      </c>
      <c r="B136" s="3">
        <v>0</v>
      </c>
      <c r="C136" s="2" t="s">
        <v>2340</v>
      </c>
      <c r="D136" s="45"/>
      <c r="E136" s="4" t="s">
        <v>2340</v>
      </c>
      <c r="F136" s="50" t="s">
        <v>2376</v>
      </c>
      <c r="G136" s="2" t="s">
        <v>300</v>
      </c>
      <c r="H136" s="2" t="s">
        <v>300</v>
      </c>
      <c r="I136" s="50" t="s">
        <v>3129</v>
      </c>
      <c r="J136" s="50" t="s">
        <v>3328</v>
      </c>
      <c r="K136" s="4">
        <v>13.59</v>
      </c>
      <c r="L136" s="31">
        <v>0.307485235854983</v>
      </c>
      <c r="M136" s="50" t="s">
        <v>2378</v>
      </c>
      <c r="N136" s="4">
        <v>12</v>
      </c>
      <c r="O136" s="44">
        <v>45737.291666666664</v>
      </c>
      <c r="P136" s="2"/>
      <c r="Q136"/>
      <c r="R136"/>
    </row>
    <row r="137" spans="1:18" x14ac:dyDescent="0.3">
      <c r="A137" s="3">
        <v>70595</v>
      </c>
      <c r="B137" s="3">
        <v>0</v>
      </c>
      <c r="C137" s="2" t="s">
        <v>2340</v>
      </c>
      <c r="D137" s="45"/>
      <c r="E137" s="4" t="s">
        <v>2340</v>
      </c>
      <c r="F137" s="50" t="s">
        <v>2352</v>
      </c>
      <c r="G137" s="2" t="s">
        <v>302</v>
      </c>
      <c r="H137" s="2" t="s">
        <v>302</v>
      </c>
      <c r="I137" s="50" t="s">
        <v>3130</v>
      </c>
      <c r="J137" s="50" t="s">
        <v>3141</v>
      </c>
      <c r="K137" s="4">
        <v>3.37</v>
      </c>
      <c r="L137" s="31">
        <v>0.85997435636818398</v>
      </c>
      <c r="M137" s="50"/>
      <c r="N137" s="4"/>
      <c r="O137" s="44">
        <v>45737.333333333336</v>
      </c>
      <c r="P137" s="2"/>
      <c r="Q137"/>
      <c r="R137"/>
    </row>
    <row r="138" spans="1:18" x14ac:dyDescent="0.3">
      <c r="A138" s="3">
        <v>73606</v>
      </c>
      <c r="B138" s="3">
        <v>0</v>
      </c>
      <c r="C138" s="2" t="s">
        <v>2340</v>
      </c>
      <c r="D138" s="45"/>
      <c r="E138" s="4" t="s">
        <v>2340</v>
      </c>
      <c r="F138" s="50" t="s">
        <v>2395</v>
      </c>
      <c r="G138" s="2" t="s">
        <v>297</v>
      </c>
      <c r="H138" s="2" t="s">
        <v>297</v>
      </c>
      <c r="I138" s="50" t="s">
        <v>3128</v>
      </c>
      <c r="J138" s="50" t="s">
        <v>3329</v>
      </c>
      <c r="L138" s="31">
        <v>0.75733433291315999</v>
      </c>
      <c r="M138" s="50"/>
      <c r="N138" s="4"/>
      <c r="O138" s="44"/>
      <c r="P138" s="2"/>
      <c r="Q138"/>
      <c r="R138"/>
    </row>
    <row r="139" spans="1:18" x14ac:dyDescent="0.3">
      <c r="A139" s="3">
        <v>70634</v>
      </c>
      <c r="B139" s="3">
        <v>1</v>
      </c>
      <c r="C139" s="2" t="s">
        <v>2340</v>
      </c>
      <c r="D139" s="45"/>
      <c r="E139" s="4" t="s">
        <v>2251</v>
      </c>
      <c r="F139" s="50" t="s">
        <v>2267</v>
      </c>
      <c r="G139" s="2" t="s">
        <v>300</v>
      </c>
      <c r="H139" s="2" t="s">
        <v>300</v>
      </c>
      <c r="I139" s="50" t="s">
        <v>3011</v>
      </c>
      <c r="J139" s="50" t="s">
        <v>3419</v>
      </c>
      <c r="K139" s="4">
        <v>5.86</v>
      </c>
      <c r="L139" s="31">
        <v>0.58113646507263195</v>
      </c>
      <c r="M139" s="50"/>
      <c r="N139" s="4">
        <v>17</v>
      </c>
      <c r="O139" s="44">
        <v>45737.333333333336</v>
      </c>
      <c r="P139" s="2"/>
      <c r="Q139"/>
      <c r="R139"/>
    </row>
    <row r="140" spans="1:18" x14ac:dyDescent="0.3">
      <c r="A140" s="3">
        <v>70707</v>
      </c>
      <c r="B140" s="3">
        <v>0</v>
      </c>
      <c r="C140" s="2" t="s">
        <v>2340</v>
      </c>
      <c r="D140" s="45"/>
      <c r="E140" s="4" t="s">
        <v>2079</v>
      </c>
      <c r="F140" s="50" t="s">
        <v>2096</v>
      </c>
      <c r="G140" s="2" t="s">
        <v>303</v>
      </c>
      <c r="H140" s="2" t="s">
        <v>303</v>
      </c>
      <c r="I140" s="50" t="s">
        <v>2954</v>
      </c>
      <c r="J140" s="50" t="s">
        <v>3330</v>
      </c>
      <c r="K140" s="4">
        <v>14.59</v>
      </c>
      <c r="L140" s="31">
        <v>1.7925144266337201</v>
      </c>
      <c r="M140" s="50"/>
      <c r="N140" s="4"/>
      <c r="O140" s="44">
        <v>45737.333333333336</v>
      </c>
      <c r="P140" s="2"/>
      <c r="Q140"/>
      <c r="R140"/>
    </row>
    <row r="141" spans="1:18" x14ac:dyDescent="0.3">
      <c r="A141" s="3">
        <v>73099</v>
      </c>
      <c r="B141" s="3">
        <v>0</v>
      </c>
      <c r="C141" s="2" t="s">
        <v>2340</v>
      </c>
      <c r="D141" s="45"/>
      <c r="E141" s="4" t="s">
        <v>2340</v>
      </c>
      <c r="F141" s="50" t="s">
        <v>2368</v>
      </c>
      <c r="G141" s="2" t="s">
        <v>300</v>
      </c>
      <c r="H141" s="2" t="s">
        <v>300</v>
      </c>
      <c r="I141" s="50" t="s">
        <v>3134</v>
      </c>
      <c r="J141" s="50" t="s">
        <v>3332</v>
      </c>
      <c r="K141" s="4">
        <v>35.89</v>
      </c>
      <c r="L141" s="31">
        <v>2.4421060625463702</v>
      </c>
      <c r="M141" s="50"/>
      <c r="N141" s="4">
        <v>21</v>
      </c>
      <c r="O141" s="44">
        <v>45737.333333333336</v>
      </c>
      <c r="P141" s="2"/>
      <c r="Q141"/>
      <c r="R141"/>
    </row>
    <row r="142" spans="1:18" x14ac:dyDescent="0.3">
      <c r="A142" s="3">
        <v>73063</v>
      </c>
      <c r="B142" s="3">
        <v>11</v>
      </c>
      <c r="C142" s="2" t="s">
        <v>2340</v>
      </c>
      <c r="D142" s="45"/>
      <c r="E142" s="4" t="s">
        <v>2079</v>
      </c>
      <c r="F142" s="50" t="s">
        <v>2133</v>
      </c>
      <c r="G142" s="2" t="s">
        <v>303</v>
      </c>
      <c r="H142" s="2" t="s">
        <v>303</v>
      </c>
      <c r="I142" s="50" t="s">
        <v>2963</v>
      </c>
      <c r="J142" s="50" t="s">
        <v>3331</v>
      </c>
      <c r="L142" s="31">
        <v>0.69769003987312295</v>
      </c>
      <c r="M142" s="50"/>
      <c r="N142" s="4"/>
      <c r="O142" s="44"/>
      <c r="P142" s="2"/>
      <c r="Q142"/>
      <c r="R142"/>
    </row>
    <row r="143" spans="1:18" x14ac:dyDescent="0.3">
      <c r="A143" s="3">
        <v>73099</v>
      </c>
      <c r="B143" s="3">
        <v>1</v>
      </c>
      <c r="C143" s="2" t="s">
        <v>2340</v>
      </c>
      <c r="D143" s="45"/>
      <c r="E143" s="4" t="s">
        <v>2340</v>
      </c>
      <c r="F143" s="50" t="s">
        <v>2370</v>
      </c>
      <c r="G143" s="2" t="s">
        <v>300</v>
      </c>
      <c r="H143" s="2" t="s">
        <v>300</v>
      </c>
      <c r="I143" s="50" t="s">
        <v>3137</v>
      </c>
      <c r="J143" s="50" t="s">
        <v>3333</v>
      </c>
      <c r="K143" s="4">
        <v>1.07</v>
      </c>
      <c r="L143" s="31">
        <v>0</v>
      </c>
      <c r="M143" s="50"/>
      <c r="N143" s="4">
        <v>9</v>
      </c>
      <c r="O143" s="44">
        <v>45737.333333333336</v>
      </c>
      <c r="P143" s="2"/>
      <c r="Q143"/>
      <c r="R143"/>
    </row>
    <row r="144" spans="1:18" x14ac:dyDescent="0.3">
      <c r="A144" s="3">
        <v>70545</v>
      </c>
      <c r="B144" s="3">
        <v>0</v>
      </c>
      <c r="C144" s="2" t="s">
        <v>2340</v>
      </c>
      <c r="D144" s="45"/>
      <c r="E144" s="4" t="s">
        <v>2340</v>
      </c>
      <c r="F144" s="50" t="s">
        <v>2348</v>
      </c>
      <c r="G144" s="2" t="s">
        <v>303</v>
      </c>
      <c r="H144" s="2" t="s">
        <v>303</v>
      </c>
      <c r="I144" s="50" t="s">
        <v>3138</v>
      </c>
      <c r="J144" s="50" t="s">
        <v>3336</v>
      </c>
      <c r="L144" s="31">
        <v>1.5811518356204</v>
      </c>
      <c r="M144" s="50" t="s">
        <v>2350</v>
      </c>
      <c r="N144" s="4"/>
      <c r="O144" s="44">
        <v>45737.375</v>
      </c>
      <c r="P144" s="2"/>
      <c r="Q144"/>
      <c r="R144"/>
    </row>
    <row r="145" spans="1:18" x14ac:dyDescent="0.3">
      <c r="A145" s="3">
        <v>99178</v>
      </c>
      <c r="B145" s="3">
        <v>0</v>
      </c>
      <c r="C145" s="2" t="s">
        <v>2340</v>
      </c>
      <c r="D145" s="45"/>
      <c r="E145" s="4" t="s">
        <v>2251</v>
      </c>
      <c r="F145" s="50" t="s">
        <v>2335</v>
      </c>
      <c r="G145" s="2" t="s">
        <v>300</v>
      </c>
      <c r="H145" s="2" t="s">
        <v>300</v>
      </c>
      <c r="I145" s="50" t="s">
        <v>3002</v>
      </c>
      <c r="J145" s="50" t="s">
        <v>3346</v>
      </c>
      <c r="K145" s="4">
        <v>23.05</v>
      </c>
      <c r="L145" s="31">
        <v>4.6921825557947203</v>
      </c>
      <c r="M145" s="50"/>
      <c r="N145" s="4"/>
      <c r="O145" s="44">
        <v>45737.333333333336</v>
      </c>
      <c r="P145" s="2"/>
      <c r="Q145"/>
      <c r="R145"/>
    </row>
    <row r="146" spans="1:18" x14ac:dyDescent="0.3">
      <c r="A146" s="3">
        <v>70622</v>
      </c>
      <c r="B146" s="3">
        <v>0</v>
      </c>
      <c r="C146" s="2" t="s">
        <v>2340</v>
      </c>
      <c r="D146" s="45"/>
      <c r="E146" s="4" t="s">
        <v>2340</v>
      </c>
      <c r="F146" s="50" t="s">
        <v>1986</v>
      </c>
      <c r="G146" s="2" t="s">
        <v>323</v>
      </c>
      <c r="H146" s="2" t="s">
        <v>323</v>
      </c>
      <c r="I146" s="50" t="s">
        <v>3139</v>
      </c>
      <c r="J146" s="50" t="s">
        <v>3334</v>
      </c>
      <c r="K146" s="4">
        <v>5.98</v>
      </c>
      <c r="L146" s="31">
        <v>5.1157212629914302</v>
      </c>
      <c r="M146" s="50"/>
      <c r="N146" s="4"/>
      <c r="O146" s="44">
        <v>45737.375</v>
      </c>
      <c r="P146" s="2"/>
      <c r="Q146"/>
      <c r="R146"/>
    </row>
    <row r="147" spans="1:18" x14ac:dyDescent="0.3">
      <c r="A147" s="3">
        <v>73102</v>
      </c>
      <c r="B147" s="3">
        <v>0</v>
      </c>
      <c r="C147" s="2" t="s">
        <v>2340</v>
      </c>
      <c r="D147" s="45"/>
      <c r="E147" s="4" t="s">
        <v>2340</v>
      </c>
      <c r="F147" s="50" t="s">
        <v>3132</v>
      </c>
      <c r="G147" s="2" t="s">
        <v>303</v>
      </c>
      <c r="H147" s="2" t="s">
        <v>303</v>
      </c>
      <c r="I147" s="50" t="s">
        <v>3133</v>
      </c>
      <c r="J147" s="50" t="s">
        <v>3335</v>
      </c>
      <c r="L147" s="31">
        <v>0</v>
      </c>
      <c r="M147" s="50"/>
      <c r="N147" s="4">
        <v>0</v>
      </c>
      <c r="O147" s="44">
        <v>45737.333333333336</v>
      </c>
      <c r="P147" s="2"/>
      <c r="Q147"/>
      <c r="R147"/>
    </row>
    <row r="148" spans="1:18" x14ac:dyDescent="0.3">
      <c r="A148" s="3">
        <v>99058</v>
      </c>
      <c r="B148" s="3">
        <v>48</v>
      </c>
      <c r="C148" s="2" t="s">
        <v>2340</v>
      </c>
      <c r="D148" s="45"/>
      <c r="E148" s="4" t="s">
        <v>2340</v>
      </c>
      <c r="F148" s="50" t="s">
        <v>2400</v>
      </c>
      <c r="G148" s="2" t="s">
        <v>300</v>
      </c>
      <c r="H148" s="2" t="s">
        <v>300</v>
      </c>
      <c r="I148" s="50" t="s">
        <v>3036</v>
      </c>
      <c r="J148" s="50" t="s">
        <v>3337</v>
      </c>
      <c r="K148" s="4">
        <v>17.2</v>
      </c>
      <c r="L148" s="31">
        <v>2.3587080184370302</v>
      </c>
      <c r="M148" s="50"/>
      <c r="N148" s="4"/>
      <c r="O148" s="44">
        <v>45737.333333333336</v>
      </c>
      <c r="P148" s="2"/>
      <c r="Q148"/>
      <c r="R148"/>
    </row>
    <row r="149" spans="1:18" x14ac:dyDescent="0.3">
      <c r="A149" s="3">
        <v>70603</v>
      </c>
      <c r="B149" s="3">
        <v>0</v>
      </c>
      <c r="C149" s="2" t="s">
        <v>2340</v>
      </c>
      <c r="D149" s="45"/>
      <c r="E149" s="4" t="s">
        <v>2079</v>
      </c>
      <c r="F149" s="50" t="s">
        <v>2087</v>
      </c>
      <c r="G149" s="2" t="s">
        <v>323</v>
      </c>
      <c r="H149" s="2" t="s">
        <v>323</v>
      </c>
      <c r="I149" s="50" t="s">
        <v>2966</v>
      </c>
      <c r="J149" s="50" t="s">
        <v>3339</v>
      </c>
      <c r="K149" s="4">
        <v>6.24</v>
      </c>
      <c r="L149" s="31">
        <v>0.67324090376496304</v>
      </c>
      <c r="M149" s="50"/>
      <c r="N149" s="4"/>
      <c r="O149" s="44">
        <v>45737.333333333336</v>
      </c>
      <c r="P149" s="2"/>
      <c r="Q149"/>
      <c r="R149"/>
    </row>
    <row r="150" spans="1:18" x14ac:dyDescent="0.3">
      <c r="A150" s="3">
        <v>70655</v>
      </c>
      <c r="B150" s="3">
        <v>0</v>
      </c>
      <c r="C150" s="2" t="s">
        <v>2340</v>
      </c>
      <c r="D150" s="45"/>
      <c r="E150" s="4" t="s">
        <v>2340</v>
      </c>
      <c r="F150" s="50" t="s">
        <v>2356</v>
      </c>
      <c r="G150" s="2" t="s">
        <v>323</v>
      </c>
      <c r="H150" s="2" t="s">
        <v>323</v>
      </c>
      <c r="I150" s="50" t="s">
        <v>3126</v>
      </c>
      <c r="J150" s="50" t="s">
        <v>3338</v>
      </c>
      <c r="K150" s="4">
        <v>20.77</v>
      </c>
      <c r="L150" s="31">
        <v>1.82109474949539</v>
      </c>
      <c r="M150" s="50"/>
      <c r="N150" s="4"/>
      <c r="O150" s="44"/>
      <c r="P150" s="2"/>
      <c r="Q150"/>
      <c r="R150"/>
    </row>
    <row r="151" spans="1:18" x14ac:dyDescent="0.3">
      <c r="A151" s="3">
        <v>73607</v>
      </c>
      <c r="B151" s="3">
        <v>0</v>
      </c>
      <c r="C151" s="2" t="s">
        <v>2340</v>
      </c>
      <c r="D151" s="45"/>
      <c r="E151" s="4" t="s">
        <v>1967</v>
      </c>
      <c r="F151" s="50" t="s">
        <v>2048</v>
      </c>
      <c r="G151" s="2" t="s">
        <v>297</v>
      </c>
      <c r="H151" s="2" t="s">
        <v>297</v>
      </c>
      <c r="I151" s="50" t="s">
        <v>2949</v>
      </c>
      <c r="J151" s="50" t="s">
        <v>3341</v>
      </c>
      <c r="L151" s="31">
        <v>5.7656367346644402</v>
      </c>
      <c r="M151" s="50"/>
      <c r="N151" s="4"/>
      <c r="O151" s="44"/>
      <c r="P151" s="2"/>
      <c r="Q151"/>
      <c r="R151"/>
    </row>
    <row r="152" spans="1:18" x14ac:dyDescent="0.3">
      <c r="A152" s="3">
        <v>70523</v>
      </c>
      <c r="B152" s="3">
        <v>0</v>
      </c>
      <c r="C152" s="2" t="s">
        <v>2340</v>
      </c>
      <c r="D152" s="45"/>
      <c r="E152" s="4" t="s">
        <v>2340</v>
      </c>
      <c r="F152" s="50" t="s">
        <v>2342</v>
      </c>
      <c r="G152" s="2" t="s">
        <v>302</v>
      </c>
      <c r="H152" s="2" t="s">
        <v>302</v>
      </c>
      <c r="I152" s="50" t="s">
        <v>3140</v>
      </c>
      <c r="J152" s="50" t="s">
        <v>3340</v>
      </c>
      <c r="K152" s="4">
        <v>8.25</v>
      </c>
      <c r="L152" s="31">
        <v>2.3601628430187702</v>
      </c>
      <c r="M152" s="50"/>
      <c r="N152" s="4"/>
      <c r="O152" s="44">
        <v>45737.333333333336</v>
      </c>
      <c r="P152" s="2"/>
      <c r="Q152"/>
      <c r="R152"/>
    </row>
    <row r="153" spans="1:18" x14ac:dyDescent="0.3">
      <c r="A153" s="3">
        <v>73594</v>
      </c>
      <c r="B153" s="3">
        <v>0</v>
      </c>
      <c r="C153" s="2" t="s">
        <v>2340</v>
      </c>
      <c r="D153" s="45"/>
      <c r="E153" s="4" t="s">
        <v>2251</v>
      </c>
      <c r="F153" s="50" t="s">
        <v>2323</v>
      </c>
      <c r="G153" s="2" t="s">
        <v>298</v>
      </c>
      <c r="H153" s="2" t="s">
        <v>298</v>
      </c>
      <c r="I153" s="50" t="s">
        <v>3025</v>
      </c>
      <c r="J153" s="50" t="s">
        <v>3342</v>
      </c>
      <c r="L153" s="31">
        <v>0.13674411363899699</v>
      </c>
      <c r="M153" s="50"/>
      <c r="N153" s="4"/>
      <c r="O153" s="44"/>
      <c r="P153" s="2"/>
      <c r="Q153"/>
      <c r="R153"/>
    </row>
    <row r="154" spans="1:18" x14ac:dyDescent="0.3">
      <c r="A154" s="3">
        <v>73393</v>
      </c>
      <c r="B154" s="3">
        <v>0</v>
      </c>
      <c r="C154" s="2" t="s">
        <v>2340</v>
      </c>
      <c r="D154" s="45"/>
      <c r="E154" s="4" t="s">
        <v>2340</v>
      </c>
      <c r="F154" s="50" t="s">
        <v>2380</v>
      </c>
      <c r="G154" s="2" t="s">
        <v>297</v>
      </c>
      <c r="H154" s="2" t="s">
        <v>297</v>
      </c>
      <c r="I154" s="50" t="s">
        <v>3136</v>
      </c>
      <c r="J154" s="50" t="s">
        <v>3343</v>
      </c>
      <c r="K154" s="4">
        <v>3.95</v>
      </c>
      <c r="L154" s="31">
        <v>1.0653412621468299</v>
      </c>
      <c r="M154" s="50"/>
      <c r="N154" s="4"/>
      <c r="O154" s="44">
        <v>45737.333333333336</v>
      </c>
      <c r="P154" s="2"/>
      <c r="Q154"/>
      <c r="R154"/>
    </row>
    <row r="155" spans="1:18" x14ac:dyDescent="0.3">
      <c r="A155" s="3">
        <v>73613</v>
      </c>
      <c r="B155" s="3">
        <v>0</v>
      </c>
      <c r="C155" s="2" t="s">
        <v>2340</v>
      </c>
      <c r="D155" s="45"/>
      <c r="E155" s="4" t="s">
        <v>1967</v>
      </c>
      <c r="F155" s="50" t="s">
        <v>2051</v>
      </c>
      <c r="G155" s="2" t="s">
        <v>297</v>
      </c>
      <c r="H155" s="2" t="s">
        <v>297</v>
      </c>
      <c r="I155" s="50" t="s">
        <v>2950</v>
      </c>
      <c r="J155" s="50" t="s">
        <v>3345</v>
      </c>
      <c r="L155" s="31">
        <v>0.66648324765264999</v>
      </c>
      <c r="M155" s="50"/>
      <c r="N155" s="4"/>
      <c r="O155" s="44"/>
      <c r="P155" s="2"/>
      <c r="Q155"/>
      <c r="R155"/>
    </row>
    <row r="156" spans="1:18" x14ac:dyDescent="0.3">
      <c r="A156" s="3">
        <v>99047</v>
      </c>
      <c r="B156" s="3">
        <v>3</v>
      </c>
      <c r="C156" s="2" t="s">
        <v>2340</v>
      </c>
      <c r="D156" s="45"/>
      <c r="E156" s="4" t="s">
        <v>2079</v>
      </c>
      <c r="F156" s="50" t="s">
        <v>2155</v>
      </c>
      <c r="G156" s="2" t="s">
        <v>303</v>
      </c>
      <c r="H156" s="2" t="s">
        <v>303</v>
      </c>
      <c r="I156" s="50" t="s">
        <v>2981</v>
      </c>
      <c r="J156" s="50" t="s">
        <v>3347</v>
      </c>
      <c r="K156" s="4">
        <v>20.399999999999999</v>
      </c>
      <c r="L156" s="31">
        <v>0.51010892167687405</v>
      </c>
      <c r="M156" s="50"/>
      <c r="N156" s="4"/>
      <c r="O156" s="44">
        <v>45737.375</v>
      </c>
      <c r="P156" s="2"/>
      <c r="Q156"/>
      <c r="R156"/>
    </row>
    <row r="157" spans="1:18" x14ac:dyDescent="0.3">
      <c r="A157" s="3">
        <v>99137</v>
      </c>
      <c r="B157" s="3">
        <v>0</v>
      </c>
      <c r="C157" s="2" t="s">
        <v>664</v>
      </c>
      <c r="D157" s="45"/>
      <c r="E157" s="4" t="s">
        <v>630</v>
      </c>
      <c r="F157" s="50" t="s">
        <v>741</v>
      </c>
      <c r="G157" s="2" t="s">
        <v>323</v>
      </c>
      <c r="H157" s="2" t="s">
        <v>323</v>
      </c>
      <c r="I157" s="50" t="s">
        <v>977</v>
      </c>
      <c r="J157" s="50" t="s">
        <v>3421</v>
      </c>
      <c r="K157" s="4">
        <v>11.75</v>
      </c>
      <c r="L157" s="31">
        <v>43.921382916512997</v>
      </c>
      <c r="M157" s="50"/>
      <c r="N157" s="4"/>
      <c r="O157" s="44"/>
      <c r="P157" s="2"/>
      <c r="Q157"/>
      <c r="R157"/>
    </row>
    <row r="158" spans="1:18" x14ac:dyDescent="0.3">
      <c r="A158" s="3">
        <v>73190</v>
      </c>
      <c r="B158" s="3">
        <v>0</v>
      </c>
      <c r="C158" s="2" t="s">
        <v>664</v>
      </c>
      <c r="D158" s="45"/>
      <c r="E158" s="4" t="s">
        <v>630</v>
      </c>
      <c r="F158" s="50" t="s">
        <v>755</v>
      </c>
      <c r="G158" s="2" t="s">
        <v>300</v>
      </c>
      <c r="H158" s="2" t="s">
        <v>300</v>
      </c>
      <c r="I158" s="50" t="s">
        <v>1141</v>
      </c>
      <c r="J158" s="50" t="s">
        <v>3420</v>
      </c>
      <c r="K158" s="4">
        <v>3.65</v>
      </c>
      <c r="L158" s="31">
        <v>1.4852427112925799</v>
      </c>
      <c r="M158" s="50"/>
      <c r="N158" s="4"/>
      <c r="O158" s="44"/>
      <c r="P158" s="2"/>
      <c r="Q158"/>
      <c r="R158"/>
    </row>
    <row r="159" spans="1:18" x14ac:dyDescent="0.3">
      <c r="A159" s="3">
        <v>99138</v>
      </c>
      <c r="B159" s="3">
        <v>4</v>
      </c>
      <c r="C159" s="2" t="s">
        <v>664</v>
      </c>
      <c r="D159" s="45"/>
      <c r="E159" s="4" t="s">
        <v>629</v>
      </c>
      <c r="F159" s="50" t="s">
        <v>747</v>
      </c>
      <c r="G159" s="2" t="s">
        <v>300</v>
      </c>
      <c r="H159" s="2" t="s">
        <v>300</v>
      </c>
      <c r="I159" s="50" t="s">
        <v>935</v>
      </c>
      <c r="J159" s="50" t="s">
        <v>3422</v>
      </c>
      <c r="L159" s="31">
        <v>59.584761399227503</v>
      </c>
      <c r="M159" s="50" t="s">
        <v>934</v>
      </c>
      <c r="N159" s="4"/>
      <c r="O159" s="44"/>
      <c r="P159" s="2"/>
      <c r="Q159"/>
      <c r="R159"/>
    </row>
    <row r="160" spans="1:18" x14ac:dyDescent="0.3">
      <c r="A160" s="3">
        <v>99138</v>
      </c>
      <c r="B160" s="3">
        <v>1</v>
      </c>
      <c r="C160" s="2" t="s">
        <v>664</v>
      </c>
      <c r="D160" s="45"/>
      <c r="E160" s="4" t="s">
        <v>629</v>
      </c>
      <c r="F160" s="50" t="s">
        <v>893</v>
      </c>
      <c r="G160" s="2" t="s">
        <v>300</v>
      </c>
      <c r="H160" s="2" t="s">
        <v>300</v>
      </c>
      <c r="I160" s="50" t="s">
        <v>944</v>
      </c>
      <c r="J160" s="50" t="s">
        <v>3457</v>
      </c>
      <c r="L160" s="31">
        <v>0.87117761436815</v>
      </c>
      <c r="M160" s="50" t="s">
        <v>921</v>
      </c>
      <c r="N160" s="4"/>
      <c r="O160" s="44"/>
      <c r="P160" s="2"/>
      <c r="Q160"/>
      <c r="R160"/>
    </row>
    <row r="161" spans="1:18" x14ac:dyDescent="0.3">
      <c r="A161" s="3">
        <v>73389</v>
      </c>
      <c r="B161" s="3">
        <v>0</v>
      </c>
      <c r="C161" s="2" t="s">
        <v>664</v>
      </c>
      <c r="D161" s="45"/>
      <c r="E161" s="4" t="s">
        <v>629</v>
      </c>
      <c r="F161" s="50" t="s">
        <v>884</v>
      </c>
      <c r="G161" s="2" t="s">
        <v>300</v>
      </c>
      <c r="H161" s="2" t="s">
        <v>300</v>
      </c>
      <c r="I161" s="50" t="s">
        <v>919</v>
      </c>
      <c r="J161" s="50" t="s">
        <v>3423</v>
      </c>
      <c r="L161" s="31">
        <v>3.6056276116244699</v>
      </c>
      <c r="M161" s="50" t="s">
        <v>921</v>
      </c>
      <c r="N161" s="4"/>
      <c r="O161" s="44"/>
      <c r="P161" s="2"/>
      <c r="Q161"/>
      <c r="R161"/>
    </row>
    <row r="162" spans="1:18" x14ac:dyDescent="0.3">
      <c r="A162" s="3">
        <v>99138</v>
      </c>
      <c r="B162" s="3">
        <v>2</v>
      </c>
      <c r="C162" s="2" t="s">
        <v>664</v>
      </c>
      <c r="D162" s="45"/>
      <c r="E162" s="4" t="s">
        <v>629</v>
      </c>
      <c r="F162" s="50" t="s">
        <v>757</v>
      </c>
      <c r="G162" s="2" t="s">
        <v>300</v>
      </c>
      <c r="H162" s="2" t="s">
        <v>300</v>
      </c>
      <c r="I162" s="50" t="s">
        <v>1065</v>
      </c>
      <c r="J162" s="50" t="s">
        <v>3424</v>
      </c>
      <c r="K162" s="4">
        <v>10.26</v>
      </c>
      <c r="L162" s="31">
        <v>2.3512884420244702</v>
      </c>
      <c r="M162" s="50"/>
      <c r="N162" s="4"/>
      <c r="O162" s="44"/>
      <c r="P162" s="2"/>
      <c r="Q162"/>
      <c r="R162"/>
    </row>
    <row r="163" spans="1:18" x14ac:dyDescent="0.3">
      <c r="A163" s="3">
        <v>73394</v>
      </c>
      <c r="B163" s="3">
        <v>0</v>
      </c>
      <c r="C163" s="2" t="s">
        <v>664</v>
      </c>
      <c r="D163" s="45"/>
      <c r="E163" s="4" t="s">
        <v>629</v>
      </c>
      <c r="F163" s="50" t="s">
        <v>660</v>
      </c>
      <c r="G163" s="2" t="s">
        <v>298</v>
      </c>
      <c r="H163" s="2" t="s">
        <v>298</v>
      </c>
      <c r="I163" s="50" t="s">
        <v>922</v>
      </c>
      <c r="J163" s="50" t="s">
        <v>3426</v>
      </c>
      <c r="L163" s="31">
        <v>0</v>
      </c>
      <c r="M163" s="50"/>
      <c r="N163" s="4"/>
      <c r="O163" s="44"/>
      <c r="P163" s="2"/>
      <c r="Q163"/>
      <c r="R163"/>
    </row>
    <row r="164" spans="1:18" x14ac:dyDescent="0.3">
      <c r="A164" s="3">
        <v>70011</v>
      </c>
      <c r="B164" s="3">
        <v>0</v>
      </c>
      <c r="C164" s="2" t="s">
        <v>664</v>
      </c>
      <c r="D164" s="45"/>
      <c r="E164" s="4" t="s">
        <v>629</v>
      </c>
      <c r="F164" s="50" t="s">
        <v>598</v>
      </c>
      <c r="G164" s="2" t="s">
        <v>300</v>
      </c>
      <c r="H164" s="2" t="s">
        <v>300</v>
      </c>
      <c r="I164" s="50" t="s">
        <v>1043</v>
      </c>
      <c r="J164" s="50" t="s">
        <v>3425</v>
      </c>
      <c r="L164" s="31">
        <v>0.45317635228354902</v>
      </c>
      <c r="M164" s="50" t="s">
        <v>1045</v>
      </c>
      <c r="N164" s="4"/>
      <c r="O164" s="44"/>
      <c r="P164" s="2"/>
      <c r="Q164"/>
      <c r="R164"/>
    </row>
    <row r="165" spans="1:18" x14ac:dyDescent="0.3">
      <c r="A165" s="3">
        <v>73584</v>
      </c>
      <c r="B165" s="3">
        <v>0</v>
      </c>
      <c r="C165" s="2" t="s">
        <v>664</v>
      </c>
      <c r="D165" s="45"/>
      <c r="E165" s="4" t="s">
        <v>632</v>
      </c>
      <c r="F165" s="50" t="s">
        <v>1249</v>
      </c>
      <c r="G165" s="2" t="s">
        <v>300</v>
      </c>
      <c r="H165" s="2" t="s">
        <v>300</v>
      </c>
      <c r="I165" s="50" t="s">
        <v>1250</v>
      </c>
      <c r="J165" s="50" t="s">
        <v>3428</v>
      </c>
      <c r="L165" s="31">
        <v>12.6836807432278</v>
      </c>
      <c r="M165" s="50" t="s">
        <v>1170</v>
      </c>
      <c r="N165" s="4"/>
      <c r="O165" s="44"/>
      <c r="P165" s="2"/>
      <c r="Q165"/>
      <c r="R165"/>
    </row>
    <row r="166" spans="1:18" x14ac:dyDescent="0.3">
      <c r="A166" s="3">
        <v>70013</v>
      </c>
      <c r="B166" s="3">
        <v>0</v>
      </c>
      <c r="C166" s="2" t="s">
        <v>664</v>
      </c>
      <c r="D166" s="45"/>
      <c r="E166" s="4" t="s">
        <v>629</v>
      </c>
      <c r="F166" s="50" t="s">
        <v>600</v>
      </c>
      <c r="G166" s="2" t="s">
        <v>300</v>
      </c>
      <c r="H166" s="2" t="s">
        <v>300</v>
      </c>
      <c r="I166" s="50" t="s">
        <v>1046</v>
      </c>
      <c r="J166" s="50" t="s">
        <v>3447</v>
      </c>
      <c r="L166" s="31">
        <v>1.34038388614496</v>
      </c>
      <c r="M166" s="50" t="s">
        <v>1048</v>
      </c>
      <c r="N166" s="4">
        <v>15</v>
      </c>
      <c r="O166" s="44"/>
      <c r="P166" s="2"/>
      <c r="Q166"/>
      <c r="R166"/>
    </row>
    <row r="167" spans="1:18" x14ac:dyDescent="0.3">
      <c r="A167" s="3">
        <v>70846</v>
      </c>
      <c r="B167" s="3">
        <v>0</v>
      </c>
      <c r="C167" s="2" t="s">
        <v>664</v>
      </c>
      <c r="D167" s="45"/>
      <c r="E167" s="4" t="s">
        <v>629</v>
      </c>
      <c r="F167" s="50" t="s">
        <v>903</v>
      </c>
      <c r="G167" s="2" t="s">
        <v>323</v>
      </c>
      <c r="H167" s="2" t="s">
        <v>323</v>
      </c>
      <c r="I167" s="50" t="s">
        <v>1069</v>
      </c>
      <c r="J167" s="50" t="s">
        <v>3427</v>
      </c>
      <c r="K167" s="4">
        <v>7.34</v>
      </c>
      <c r="L167" s="31">
        <v>0.52052355298135899</v>
      </c>
      <c r="M167" s="50"/>
      <c r="N167" s="4"/>
      <c r="O167" s="44"/>
      <c r="P167" s="2"/>
      <c r="Q167"/>
      <c r="R167"/>
    </row>
    <row r="168" spans="1:18" x14ac:dyDescent="0.3">
      <c r="A168" s="3">
        <v>70897</v>
      </c>
      <c r="B168" s="3">
        <v>0</v>
      </c>
      <c r="C168" s="2" t="s">
        <v>664</v>
      </c>
      <c r="D168" s="45"/>
      <c r="E168" s="4" t="s">
        <v>632</v>
      </c>
      <c r="F168" s="50" t="s">
        <v>1286</v>
      </c>
      <c r="G168" s="2" t="s">
        <v>300</v>
      </c>
      <c r="H168" s="2" t="s">
        <v>300</v>
      </c>
      <c r="I168" s="50" t="s">
        <v>1287</v>
      </c>
      <c r="J168" s="50" t="s">
        <v>3431</v>
      </c>
      <c r="L168" s="31">
        <v>0</v>
      </c>
      <c r="M168" s="50" t="s">
        <v>1170</v>
      </c>
      <c r="N168" s="4"/>
      <c r="O168" s="44"/>
      <c r="P168" s="2"/>
      <c r="Q168"/>
      <c r="R168"/>
    </row>
    <row r="169" spans="1:18" x14ac:dyDescent="0.3">
      <c r="A169" s="3">
        <v>70897</v>
      </c>
      <c r="B169" s="3">
        <v>2</v>
      </c>
      <c r="C169" s="2" t="s">
        <v>664</v>
      </c>
      <c r="D169" s="45"/>
      <c r="E169" s="4" t="s">
        <v>632</v>
      </c>
      <c r="F169" s="50" t="s">
        <v>1314</v>
      </c>
      <c r="G169" s="2" t="s">
        <v>300</v>
      </c>
      <c r="H169" s="2" t="s">
        <v>300</v>
      </c>
      <c r="I169" s="50" t="s">
        <v>1315</v>
      </c>
      <c r="J169" s="50" t="s">
        <v>3430</v>
      </c>
      <c r="L169" s="31">
        <v>0</v>
      </c>
      <c r="M169" s="50" t="s">
        <v>1170</v>
      </c>
      <c r="N169" s="4"/>
      <c r="O169" s="44"/>
      <c r="P169" s="2"/>
      <c r="Q169"/>
      <c r="R169"/>
    </row>
    <row r="170" spans="1:18" x14ac:dyDescent="0.3">
      <c r="A170" s="3">
        <v>70897</v>
      </c>
      <c r="B170" s="3">
        <v>1</v>
      </c>
      <c r="C170" s="2" t="s">
        <v>664</v>
      </c>
      <c r="D170" s="45"/>
      <c r="E170" s="4" t="s">
        <v>632</v>
      </c>
      <c r="F170" s="50" t="s">
        <v>1197</v>
      </c>
      <c r="G170" s="2" t="s">
        <v>300</v>
      </c>
      <c r="H170" s="2" t="s">
        <v>300</v>
      </c>
      <c r="I170" s="50" t="s">
        <v>1198</v>
      </c>
      <c r="J170" s="50" t="s">
        <v>3429</v>
      </c>
      <c r="L170" s="31">
        <v>0</v>
      </c>
      <c r="M170" s="50" t="s">
        <v>1042</v>
      </c>
      <c r="N170" s="4"/>
      <c r="O170" s="44"/>
      <c r="P170" s="2"/>
      <c r="Q170"/>
      <c r="R170"/>
    </row>
    <row r="171" spans="1:18" x14ac:dyDescent="0.3">
      <c r="A171" s="3">
        <v>70900</v>
      </c>
      <c r="B171" s="3">
        <v>0</v>
      </c>
      <c r="C171" s="2" t="s">
        <v>664</v>
      </c>
      <c r="D171" s="45"/>
      <c r="E171" s="4" t="s">
        <v>632</v>
      </c>
      <c r="F171" s="50" t="s">
        <v>1290</v>
      </c>
      <c r="G171" s="2" t="s">
        <v>300</v>
      </c>
      <c r="H171" s="2" t="s">
        <v>300</v>
      </c>
      <c r="I171" s="50" t="s">
        <v>1291</v>
      </c>
      <c r="J171" s="50" t="s">
        <v>3432</v>
      </c>
      <c r="L171" s="31">
        <v>0</v>
      </c>
      <c r="M171" s="50" t="s">
        <v>1170</v>
      </c>
      <c r="N171" s="4"/>
      <c r="O171" s="44"/>
      <c r="P171" s="2"/>
      <c r="Q171"/>
      <c r="R171"/>
    </row>
    <row r="172" spans="1:18" x14ac:dyDescent="0.3">
      <c r="A172" s="3">
        <v>70900</v>
      </c>
      <c r="B172" s="3">
        <v>1</v>
      </c>
      <c r="C172" s="2" t="s">
        <v>664</v>
      </c>
      <c r="D172" s="45"/>
      <c r="E172" s="4" t="s">
        <v>632</v>
      </c>
      <c r="F172" s="50" t="s">
        <v>1298</v>
      </c>
      <c r="G172" s="2" t="s">
        <v>300</v>
      </c>
      <c r="H172" s="2" t="s">
        <v>300</v>
      </c>
      <c r="I172" s="50" t="s">
        <v>1299</v>
      </c>
      <c r="J172" s="50" t="s">
        <v>3433</v>
      </c>
      <c r="L172" s="31">
        <v>0</v>
      </c>
      <c r="M172" s="50" t="s">
        <v>1170</v>
      </c>
      <c r="N172" s="4"/>
      <c r="O172" s="44"/>
      <c r="P172" s="2"/>
      <c r="Q172"/>
      <c r="R172"/>
    </row>
    <row r="173" spans="1:18" x14ac:dyDescent="0.3">
      <c r="A173" s="3">
        <v>70900</v>
      </c>
      <c r="B173" s="3">
        <v>4</v>
      </c>
      <c r="C173" s="2" t="s">
        <v>664</v>
      </c>
      <c r="D173" s="45"/>
      <c r="E173" s="4" t="s">
        <v>632</v>
      </c>
      <c r="F173" s="50" t="s">
        <v>1262</v>
      </c>
      <c r="G173" s="2" t="s">
        <v>300</v>
      </c>
      <c r="H173" s="2" t="s">
        <v>300</v>
      </c>
      <c r="I173" s="50" t="s">
        <v>1263</v>
      </c>
      <c r="J173" s="50" t="s">
        <v>3436</v>
      </c>
      <c r="L173" s="31">
        <v>0</v>
      </c>
      <c r="M173" s="50" t="s">
        <v>1170</v>
      </c>
      <c r="N173" s="4"/>
      <c r="O173" s="44"/>
      <c r="P173" s="2"/>
      <c r="Q173"/>
      <c r="R173"/>
    </row>
    <row r="174" spans="1:18" x14ac:dyDescent="0.3">
      <c r="A174" s="3">
        <v>70900</v>
      </c>
      <c r="B174" s="3">
        <v>3</v>
      </c>
      <c r="C174" s="2" t="s">
        <v>664</v>
      </c>
      <c r="D174" s="45"/>
      <c r="E174" s="4" t="s">
        <v>632</v>
      </c>
      <c r="F174" s="50" t="s">
        <v>1296</v>
      </c>
      <c r="G174" s="2" t="s">
        <v>300</v>
      </c>
      <c r="H174" s="2" t="s">
        <v>300</v>
      </c>
      <c r="I174" s="50" t="s">
        <v>1297</v>
      </c>
      <c r="J174" s="50" t="s">
        <v>3435</v>
      </c>
      <c r="L174" s="31">
        <v>0</v>
      </c>
      <c r="M174" s="50" t="s">
        <v>1170</v>
      </c>
      <c r="N174" s="4"/>
      <c r="O174" s="44"/>
      <c r="P174" s="2"/>
      <c r="Q174"/>
      <c r="R174"/>
    </row>
    <row r="175" spans="1:18" x14ac:dyDescent="0.3">
      <c r="A175" s="3">
        <v>70900</v>
      </c>
      <c r="B175" s="3">
        <v>2</v>
      </c>
      <c r="C175" s="2" t="s">
        <v>664</v>
      </c>
      <c r="D175" s="45"/>
      <c r="E175" s="4" t="s">
        <v>632</v>
      </c>
      <c r="F175" s="50" t="s">
        <v>1168</v>
      </c>
      <c r="G175" s="2" t="s">
        <v>300</v>
      </c>
      <c r="H175" s="2" t="s">
        <v>300</v>
      </c>
      <c r="I175" s="50" t="s">
        <v>1169</v>
      </c>
      <c r="J175" s="50" t="s">
        <v>3434</v>
      </c>
      <c r="L175" s="31">
        <v>0</v>
      </c>
      <c r="M175" s="50" t="s">
        <v>1170</v>
      </c>
      <c r="N175" s="4"/>
      <c r="O175" s="44"/>
      <c r="P175" s="2"/>
      <c r="Q175"/>
      <c r="R175"/>
    </row>
    <row r="176" spans="1:18" x14ac:dyDescent="0.3">
      <c r="A176" s="3">
        <v>70901</v>
      </c>
      <c r="B176" s="3">
        <v>0</v>
      </c>
      <c r="C176" s="2" t="s">
        <v>664</v>
      </c>
      <c r="D176" s="45"/>
      <c r="E176" s="4" t="s">
        <v>632</v>
      </c>
      <c r="F176" s="50" t="s">
        <v>1292</v>
      </c>
      <c r="G176" s="2" t="s">
        <v>300</v>
      </c>
      <c r="H176" s="2" t="s">
        <v>300</v>
      </c>
      <c r="I176" s="50" t="s">
        <v>1293</v>
      </c>
      <c r="J176" s="50" t="s">
        <v>3438</v>
      </c>
      <c r="L176" s="31">
        <v>0</v>
      </c>
      <c r="M176" s="50" t="s">
        <v>1170</v>
      </c>
      <c r="N176" s="4"/>
      <c r="O176" s="44"/>
      <c r="P176" s="2"/>
      <c r="Q176"/>
      <c r="R176"/>
    </row>
    <row r="177" spans="1:18" x14ac:dyDescent="0.3">
      <c r="A177" s="3">
        <v>70901</v>
      </c>
      <c r="B177" s="3">
        <v>1</v>
      </c>
      <c r="C177" s="2" t="s">
        <v>664</v>
      </c>
      <c r="D177" s="45"/>
      <c r="E177" s="4" t="s">
        <v>632</v>
      </c>
      <c r="F177" s="50" t="s">
        <v>1266</v>
      </c>
      <c r="G177" s="2" t="s">
        <v>300</v>
      </c>
      <c r="H177" s="2" t="s">
        <v>300</v>
      </c>
      <c r="I177" s="50" t="s">
        <v>1267</v>
      </c>
      <c r="J177" s="50" t="s">
        <v>3437</v>
      </c>
      <c r="L177" s="31">
        <v>0</v>
      </c>
      <c r="M177" s="50" t="s">
        <v>1170</v>
      </c>
      <c r="N177" s="4"/>
      <c r="O177" s="44"/>
      <c r="P177" s="2"/>
      <c r="Q177"/>
      <c r="R177"/>
    </row>
    <row r="178" spans="1:18" x14ac:dyDescent="0.3">
      <c r="A178" s="3">
        <v>70904</v>
      </c>
      <c r="B178" s="3">
        <v>0</v>
      </c>
      <c r="C178" s="2" t="s">
        <v>664</v>
      </c>
      <c r="D178" s="45"/>
      <c r="E178" s="4" t="s">
        <v>632</v>
      </c>
      <c r="F178" s="50" t="s">
        <v>1294</v>
      </c>
      <c r="G178" s="2" t="s">
        <v>300</v>
      </c>
      <c r="H178" s="2" t="s">
        <v>300</v>
      </c>
      <c r="I178" s="50" t="s">
        <v>1295</v>
      </c>
      <c r="J178" s="50" t="s">
        <v>3440</v>
      </c>
      <c r="L178" s="31">
        <v>0</v>
      </c>
      <c r="M178" s="50" t="s">
        <v>1170</v>
      </c>
      <c r="N178" s="4"/>
      <c r="O178" s="44"/>
      <c r="P178" s="2"/>
      <c r="Q178"/>
      <c r="R178"/>
    </row>
    <row r="179" spans="1:18" x14ac:dyDescent="0.3">
      <c r="A179" s="3">
        <v>73415</v>
      </c>
      <c r="B179" s="3">
        <v>0</v>
      </c>
      <c r="C179" s="2" t="s">
        <v>664</v>
      </c>
      <c r="D179" s="45"/>
      <c r="E179" s="4" t="s">
        <v>632</v>
      </c>
      <c r="F179" s="50" t="s">
        <v>1165</v>
      </c>
      <c r="G179" s="2" t="s">
        <v>300</v>
      </c>
      <c r="H179" s="2" t="s">
        <v>300</v>
      </c>
      <c r="I179" s="50" t="s">
        <v>1166</v>
      </c>
      <c r="J179" s="50" t="s">
        <v>3439</v>
      </c>
      <c r="L179" s="31">
        <v>0</v>
      </c>
      <c r="M179" s="50" t="s">
        <v>1056</v>
      </c>
      <c r="N179" s="4"/>
      <c r="O179" s="44"/>
      <c r="P179" s="2"/>
      <c r="Q179"/>
      <c r="R179"/>
    </row>
    <row r="180" spans="1:18" x14ac:dyDescent="0.3">
      <c r="A180" s="3">
        <v>73415</v>
      </c>
      <c r="B180" s="3">
        <v>4</v>
      </c>
      <c r="C180" s="2" t="s">
        <v>664</v>
      </c>
      <c r="D180" s="45"/>
      <c r="E180" s="4" t="s">
        <v>632</v>
      </c>
      <c r="F180" s="50" t="s">
        <v>1180</v>
      </c>
      <c r="G180" s="2" t="s">
        <v>300</v>
      </c>
      <c r="H180" s="2" t="s">
        <v>300</v>
      </c>
      <c r="I180" s="50" t="s">
        <v>1181</v>
      </c>
      <c r="J180" s="50" t="s">
        <v>3441</v>
      </c>
      <c r="L180" s="31">
        <v>0</v>
      </c>
      <c r="M180" s="50" t="s">
        <v>1182</v>
      </c>
      <c r="N180" s="4"/>
      <c r="O180" s="44"/>
      <c r="P180" s="2"/>
      <c r="Q180"/>
      <c r="R180"/>
    </row>
    <row r="181" spans="1:18" x14ac:dyDescent="0.3">
      <c r="A181" s="3">
        <v>73474</v>
      </c>
      <c r="B181" s="3">
        <v>0</v>
      </c>
      <c r="C181" s="2" t="s">
        <v>664</v>
      </c>
      <c r="D181" s="45"/>
      <c r="E181" s="4" t="s">
        <v>632</v>
      </c>
      <c r="F181" s="50" t="s">
        <v>1176</v>
      </c>
      <c r="G181" s="2" t="s">
        <v>300</v>
      </c>
      <c r="H181" s="2" t="s">
        <v>300</v>
      </c>
      <c r="I181" s="50" t="s">
        <v>1177</v>
      </c>
      <c r="J181" s="50" t="s">
        <v>3442</v>
      </c>
      <c r="L181" s="31">
        <v>0</v>
      </c>
      <c r="M181" s="50" t="s">
        <v>1170</v>
      </c>
      <c r="N181" s="4"/>
      <c r="O181" s="44"/>
      <c r="P181" s="2"/>
      <c r="Q181"/>
      <c r="R181"/>
    </row>
    <row r="182" spans="1:18" x14ac:dyDescent="0.3">
      <c r="A182" s="3">
        <v>73474</v>
      </c>
      <c r="B182" s="3">
        <v>1</v>
      </c>
      <c r="C182" s="2" t="s">
        <v>664</v>
      </c>
      <c r="D182" s="45"/>
      <c r="E182" s="4" t="s">
        <v>632</v>
      </c>
      <c r="F182" s="50" t="s">
        <v>1264</v>
      </c>
      <c r="G182" s="2" t="s">
        <v>300</v>
      </c>
      <c r="H182" s="2" t="s">
        <v>300</v>
      </c>
      <c r="I182" s="50" t="s">
        <v>1265</v>
      </c>
      <c r="J182" s="50" t="s">
        <v>3443</v>
      </c>
      <c r="L182" s="31">
        <v>0</v>
      </c>
      <c r="M182" s="50" t="s">
        <v>1170</v>
      </c>
      <c r="N182" s="4"/>
      <c r="O182" s="44"/>
      <c r="P182" s="2"/>
      <c r="Q182"/>
      <c r="R182"/>
    </row>
    <row r="183" spans="1:18" x14ac:dyDescent="0.3">
      <c r="A183" s="3">
        <v>73502</v>
      </c>
      <c r="B183" s="3">
        <v>0</v>
      </c>
      <c r="C183" s="2" t="s">
        <v>664</v>
      </c>
      <c r="D183" s="45"/>
      <c r="E183" s="4" t="s">
        <v>632</v>
      </c>
      <c r="F183" s="50" t="s">
        <v>1204</v>
      </c>
      <c r="G183" s="2" t="s">
        <v>300</v>
      </c>
      <c r="H183" s="2" t="s">
        <v>300</v>
      </c>
      <c r="I183" s="50" t="s">
        <v>1205</v>
      </c>
      <c r="J183" s="50" t="s">
        <v>3444</v>
      </c>
      <c r="L183" s="31">
        <v>0</v>
      </c>
      <c r="M183" s="50" t="s">
        <v>1206</v>
      </c>
      <c r="N183" s="4"/>
      <c r="O183" s="44"/>
      <c r="P183" s="2"/>
      <c r="Q183"/>
      <c r="R183"/>
    </row>
    <row r="184" spans="1:18" x14ac:dyDescent="0.3">
      <c r="A184" s="3">
        <v>99031</v>
      </c>
      <c r="B184" s="3">
        <v>182</v>
      </c>
      <c r="C184" s="2" t="s">
        <v>664</v>
      </c>
      <c r="D184" s="45"/>
      <c r="E184" s="4" t="s">
        <v>629</v>
      </c>
      <c r="F184" s="50" t="s">
        <v>608</v>
      </c>
      <c r="G184" s="2" t="s">
        <v>300</v>
      </c>
      <c r="H184" s="2" t="s">
        <v>300</v>
      </c>
      <c r="I184" s="50" t="s">
        <v>1021</v>
      </c>
      <c r="J184" s="50" t="s">
        <v>3448</v>
      </c>
      <c r="L184" s="31">
        <v>11.857321808159901</v>
      </c>
      <c r="M184" s="50"/>
      <c r="N184" s="4"/>
      <c r="O184" s="44"/>
      <c r="P184" s="2"/>
      <c r="Q184"/>
      <c r="R184"/>
    </row>
    <row r="185" spans="1:18" x14ac:dyDescent="0.3">
      <c r="A185" s="3">
        <v>70010</v>
      </c>
      <c r="B185" s="3">
        <v>0</v>
      </c>
      <c r="C185" s="2" t="s">
        <v>664</v>
      </c>
      <c r="D185" s="45"/>
      <c r="E185" s="4" t="s">
        <v>629</v>
      </c>
      <c r="F185" s="50" t="s">
        <v>758</v>
      </c>
      <c r="G185" s="2" t="s">
        <v>300</v>
      </c>
      <c r="H185" s="2" t="s">
        <v>300</v>
      </c>
      <c r="I185" s="50" t="s">
        <v>1040</v>
      </c>
      <c r="J185" s="50" t="s">
        <v>3445</v>
      </c>
      <c r="L185" s="31">
        <v>1.04528723414151</v>
      </c>
      <c r="M185" s="50" t="s">
        <v>3348</v>
      </c>
      <c r="N185" s="4"/>
      <c r="O185" s="44"/>
      <c r="P185" s="2"/>
      <c r="Q185"/>
      <c r="R185"/>
    </row>
    <row r="186" spans="1:18" x14ac:dyDescent="0.3">
      <c r="A186" s="3">
        <v>73596</v>
      </c>
      <c r="B186" s="3">
        <v>0</v>
      </c>
      <c r="C186" s="2" t="s">
        <v>664</v>
      </c>
      <c r="D186" s="45"/>
      <c r="E186" s="4" t="s">
        <v>632</v>
      </c>
      <c r="F186" s="50" t="s">
        <v>1200</v>
      </c>
      <c r="G186" s="2" t="s">
        <v>303</v>
      </c>
      <c r="H186" s="2" t="s">
        <v>303</v>
      </c>
      <c r="I186" s="50" t="s">
        <v>1201</v>
      </c>
      <c r="J186" s="50" t="s">
        <v>3446</v>
      </c>
      <c r="L186" s="31">
        <v>0</v>
      </c>
      <c r="M186" s="50" t="s">
        <v>1203</v>
      </c>
      <c r="N186" s="4"/>
      <c r="O186" s="44"/>
      <c r="P186" s="2"/>
      <c r="Q186"/>
      <c r="R186"/>
    </row>
    <row r="187" spans="1:18" x14ac:dyDescent="0.3">
      <c r="A187" s="3">
        <v>73519</v>
      </c>
      <c r="B187" s="3">
        <v>0</v>
      </c>
      <c r="C187" s="2" t="s">
        <v>664</v>
      </c>
      <c r="D187" s="45"/>
      <c r="E187" s="4" t="s">
        <v>629</v>
      </c>
      <c r="F187" s="50" t="s">
        <v>606</v>
      </c>
      <c r="G187" s="2" t="s">
        <v>300</v>
      </c>
      <c r="H187" s="2" t="s">
        <v>300</v>
      </c>
      <c r="I187" s="50" t="s">
        <v>962</v>
      </c>
      <c r="J187" s="50" t="s">
        <v>3449</v>
      </c>
      <c r="K187" s="4">
        <v>7.77</v>
      </c>
      <c r="L187" s="31">
        <v>0.99107003665426396</v>
      </c>
      <c r="M187" s="50"/>
      <c r="N187" s="4"/>
      <c r="O187" s="44"/>
      <c r="P187" s="2"/>
      <c r="Q187"/>
      <c r="R187"/>
    </row>
    <row r="188" spans="1:18" x14ac:dyDescent="0.3">
      <c r="A188" s="3">
        <v>73425</v>
      </c>
      <c r="B188" s="3">
        <v>0</v>
      </c>
      <c r="C188" s="2" t="s">
        <v>664</v>
      </c>
      <c r="D188" s="45"/>
      <c r="E188" s="4" t="s">
        <v>629</v>
      </c>
      <c r="F188" s="50" t="s">
        <v>662</v>
      </c>
      <c r="G188" s="2" t="s">
        <v>300</v>
      </c>
      <c r="H188" s="2" t="s">
        <v>300</v>
      </c>
      <c r="I188" s="50" t="s">
        <v>929</v>
      </c>
      <c r="J188" s="50" t="s">
        <v>3451</v>
      </c>
      <c r="L188" s="31">
        <v>0.60646270407823999</v>
      </c>
      <c r="M188" s="50" t="s">
        <v>931</v>
      </c>
      <c r="N188" s="4"/>
      <c r="O188" s="44"/>
      <c r="P188" s="2"/>
      <c r="Q188"/>
      <c r="R188"/>
    </row>
    <row r="189" spans="1:18" x14ac:dyDescent="0.3">
      <c r="A189" s="3">
        <v>70897</v>
      </c>
      <c r="B189" s="3">
        <v>4</v>
      </c>
      <c r="C189" s="2" t="s">
        <v>664</v>
      </c>
      <c r="D189" s="45"/>
      <c r="E189" s="4" t="s">
        <v>629</v>
      </c>
      <c r="F189" s="50" t="s">
        <v>639</v>
      </c>
      <c r="G189" s="2" t="s">
        <v>300</v>
      </c>
      <c r="H189" s="2" t="s">
        <v>300</v>
      </c>
      <c r="I189" s="50" t="s">
        <v>1034</v>
      </c>
      <c r="J189" s="50" t="s">
        <v>3453</v>
      </c>
      <c r="L189" s="31">
        <v>0.75032407855462702</v>
      </c>
      <c r="M189" s="50" t="s">
        <v>1036</v>
      </c>
      <c r="N189" s="4"/>
      <c r="O189" s="44"/>
      <c r="P189" s="2"/>
      <c r="Q189"/>
      <c r="R189"/>
    </row>
    <row r="190" spans="1:18" x14ac:dyDescent="0.3">
      <c r="A190" s="3">
        <v>99138</v>
      </c>
      <c r="B190" s="3">
        <v>8</v>
      </c>
      <c r="C190" s="2" t="s">
        <v>664</v>
      </c>
      <c r="D190" s="45"/>
      <c r="E190" s="4" t="s">
        <v>629</v>
      </c>
      <c r="F190" s="50" t="s">
        <v>759</v>
      </c>
      <c r="G190" s="2" t="s">
        <v>300</v>
      </c>
      <c r="H190" s="2" t="s">
        <v>300</v>
      </c>
      <c r="I190" s="50" t="s">
        <v>932</v>
      </c>
      <c r="J190" s="50" t="s">
        <v>3450</v>
      </c>
      <c r="L190" s="31">
        <v>1.12123155554701</v>
      </c>
      <c r="M190" s="50" t="s">
        <v>934</v>
      </c>
      <c r="N190" s="4"/>
      <c r="O190" s="44"/>
      <c r="P190" s="2"/>
      <c r="Q190"/>
      <c r="R190"/>
    </row>
    <row r="191" spans="1:18" x14ac:dyDescent="0.3">
      <c r="A191" s="3">
        <v>73557</v>
      </c>
      <c r="B191" s="3">
        <v>0</v>
      </c>
      <c r="C191" s="2" t="s">
        <v>664</v>
      </c>
      <c r="D191" s="45"/>
      <c r="E191" s="4" t="s">
        <v>629</v>
      </c>
      <c r="F191" s="50" t="s">
        <v>689</v>
      </c>
      <c r="G191" s="2" t="s">
        <v>300</v>
      </c>
      <c r="H191" s="2" t="s">
        <v>300</v>
      </c>
      <c r="I191" s="50" t="s">
        <v>993</v>
      </c>
      <c r="J191" s="50" t="s">
        <v>3456</v>
      </c>
      <c r="K191" s="4">
        <v>9.3000000000000007</v>
      </c>
      <c r="L191" s="31">
        <v>1.1412525485321201</v>
      </c>
      <c r="M191" s="50" t="s">
        <v>995</v>
      </c>
      <c r="N191" s="4"/>
      <c r="O191" s="44"/>
      <c r="P191" s="2"/>
      <c r="Q191"/>
      <c r="R191"/>
    </row>
    <row r="192" spans="1:18" x14ac:dyDescent="0.3">
      <c r="A192" s="3">
        <v>70845</v>
      </c>
      <c r="B192" s="3">
        <v>0</v>
      </c>
      <c r="C192" s="2" t="s">
        <v>664</v>
      </c>
      <c r="D192" s="45"/>
      <c r="E192" s="4" t="s">
        <v>629</v>
      </c>
      <c r="F192" s="50" t="s">
        <v>883</v>
      </c>
      <c r="G192" s="2" t="s">
        <v>323</v>
      </c>
      <c r="H192" s="2" t="s">
        <v>323</v>
      </c>
      <c r="I192" s="50" t="s">
        <v>1067</v>
      </c>
      <c r="J192" s="50" t="s">
        <v>3452</v>
      </c>
      <c r="K192" s="4">
        <v>1.4</v>
      </c>
      <c r="L192" s="31">
        <v>0.47030390302512598</v>
      </c>
      <c r="M192" s="50"/>
      <c r="N192" s="4"/>
      <c r="O192" s="44"/>
      <c r="P192" s="2"/>
      <c r="Q192"/>
      <c r="R192"/>
    </row>
    <row r="193" spans="1:18" x14ac:dyDescent="0.3">
      <c r="A193" s="3">
        <v>71366</v>
      </c>
      <c r="B193" s="3">
        <v>0</v>
      </c>
      <c r="C193" s="2" t="s">
        <v>664</v>
      </c>
      <c r="D193" s="45"/>
      <c r="E193" s="4" t="s">
        <v>629</v>
      </c>
      <c r="F193" s="50" t="s">
        <v>650</v>
      </c>
      <c r="G193" s="2" t="s">
        <v>303</v>
      </c>
      <c r="H193" s="2" t="s">
        <v>303</v>
      </c>
      <c r="I193" s="50" t="s">
        <v>1124</v>
      </c>
      <c r="J193" s="50" t="s">
        <v>3455</v>
      </c>
      <c r="K193" s="4">
        <v>12.43</v>
      </c>
      <c r="L193" s="31">
        <v>1.08565888259642</v>
      </c>
      <c r="M193" s="50"/>
      <c r="N193" s="4"/>
      <c r="O193" s="44"/>
      <c r="P193" s="2"/>
      <c r="Q193"/>
      <c r="R193"/>
    </row>
    <row r="194" spans="1:18" x14ac:dyDescent="0.3">
      <c r="A194" s="3">
        <v>99138</v>
      </c>
      <c r="B194" s="3">
        <v>6</v>
      </c>
      <c r="C194" s="2" t="s">
        <v>664</v>
      </c>
      <c r="D194" s="45"/>
      <c r="E194" s="4" t="s">
        <v>629</v>
      </c>
      <c r="F194" s="50" t="s">
        <v>891</v>
      </c>
      <c r="G194" s="2" t="s">
        <v>300</v>
      </c>
      <c r="H194" s="2" t="s">
        <v>300</v>
      </c>
      <c r="I194" s="50" t="s">
        <v>946</v>
      </c>
      <c r="J194" s="50" t="s">
        <v>3454</v>
      </c>
      <c r="L194" s="31">
        <v>0.454447092347607</v>
      </c>
      <c r="M194" s="50" t="s">
        <v>948</v>
      </c>
      <c r="N194" s="4">
        <v>0</v>
      </c>
      <c r="O194" s="44"/>
      <c r="P194" s="2"/>
      <c r="Q194"/>
      <c r="R194"/>
    </row>
    <row r="195" spans="1:18" x14ac:dyDescent="0.3">
      <c r="A195" s="3">
        <v>99138</v>
      </c>
      <c r="B195" s="3">
        <v>0</v>
      </c>
      <c r="C195" s="2" t="s">
        <v>664</v>
      </c>
      <c r="D195" s="45"/>
      <c r="E195" s="4" t="s">
        <v>629</v>
      </c>
      <c r="F195" s="50" t="s">
        <v>890</v>
      </c>
      <c r="G195" s="2" t="s">
        <v>300</v>
      </c>
      <c r="H195" s="2" t="s">
        <v>300</v>
      </c>
      <c r="I195" s="50" t="s">
        <v>1054</v>
      </c>
      <c r="J195" s="50" t="s">
        <v>3459</v>
      </c>
      <c r="L195" s="31">
        <v>0.85629165464422397</v>
      </c>
      <c r="M195" s="50" t="s">
        <v>1056</v>
      </c>
      <c r="N195" s="4">
        <v>1</v>
      </c>
      <c r="O195" s="44"/>
      <c r="P195" s="2"/>
      <c r="Q195"/>
      <c r="R195"/>
    </row>
    <row r="196" spans="1:18" x14ac:dyDescent="0.3">
      <c r="A196" s="3">
        <v>73526</v>
      </c>
      <c r="B196" s="3">
        <v>0</v>
      </c>
      <c r="C196" s="2" t="s">
        <v>664</v>
      </c>
      <c r="D196" s="45"/>
      <c r="E196" s="4" t="s">
        <v>629</v>
      </c>
      <c r="F196" s="50" t="s">
        <v>900</v>
      </c>
      <c r="G196" s="2" t="s">
        <v>323</v>
      </c>
      <c r="H196" s="2" t="s">
        <v>323</v>
      </c>
      <c r="I196" s="50" t="s">
        <v>974</v>
      </c>
      <c r="J196" s="50" t="s">
        <v>3460</v>
      </c>
      <c r="L196" s="31">
        <v>0.198994825520458</v>
      </c>
      <c r="M196" s="50" t="s">
        <v>976</v>
      </c>
      <c r="N196" s="4"/>
      <c r="O196" s="44"/>
      <c r="P196" s="2"/>
      <c r="Q196"/>
      <c r="R196"/>
    </row>
    <row r="197" spans="1:18" x14ac:dyDescent="0.3">
      <c r="A197" s="3">
        <v>99138</v>
      </c>
      <c r="B197" s="3">
        <v>5</v>
      </c>
      <c r="C197" s="2" t="s">
        <v>664</v>
      </c>
      <c r="D197" s="45"/>
      <c r="E197" s="4" t="s">
        <v>629</v>
      </c>
      <c r="F197" s="50" t="s">
        <v>894</v>
      </c>
      <c r="G197" s="2" t="s">
        <v>300</v>
      </c>
      <c r="H197" s="2" t="s">
        <v>300</v>
      </c>
      <c r="I197" s="50" t="s">
        <v>949</v>
      </c>
      <c r="J197" s="50" t="s">
        <v>3458</v>
      </c>
      <c r="L197" s="31">
        <v>0.87551806474596106</v>
      </c>
      <c r="M197" s="50" t="s">
        <v>951</v>
      </c>
      <c r="N197" s="4"/>
      <c r="O197" s="44"/>
      <c r="P197" s="2"/>
      <c r="Q197"/>
      <c r="R197"/>
    </row>
    <row r="198" spans="1:18" x14ac:dyDescent="0.3">
      <c r="A198" s="3">
        <v>99138</v>
      </c>
      <c r="B198" s="3">
        <v>3</v>
      </c>
      <c r="C198" s="2" t="s">
        <v>664</v>
      </c>
      <c r="D198" s="45"/>
      <c r="E198" s="4" t="s">
        <v>629</v>
      </c>
      <c r="F198" s="50" t="s">
        <v>892</v>
      </c>
      <c r="G198" s="2" t="s">
        <v>300</v>
      </c>
      <c r="H198" s="2" t="s">
        <v>300</v>
      </c>
      <c r="I198" s="50" t="s">
        <v>939</v>
      </c>
      <c r="J198" s="50" t="s">
        <v>3461</v>
      </c>
      <c r="L198" s="31">
        <v>2.0434027623904898</v>
      </c>
      <c r="M198" s="50" t="s">
        <v>934</v>
      </c>
      <c r="N198" s="4"/>
      <c r="O198" s="44"/>
      <c r="P198" s="2"/>
      <c r="Q198"/>
      <c r="R198"/>
    </row>
    <row r="199" spans="1:18" x14ac:dyDescent="0.3">
      <c r="A199" s="3">
        <v>73262</v>
      </c>
      <c r="B199" s="3">
        <v>0</v>
      </c>
      <c r="C199" s="2" t="s">
        <v>664</v>
      </c>
      <c r="D199" s="45"/>
      <c r="E199" s="4" t="s">
        <v>629</v>
      </c>
      <c r="F199" s="50" t="s">
        <v>656</v>
      </c>
      <c r="G199" s="2" t="s">
        <v>300</v>
      </c>
      <c r="H199" s="2" t="s">
        <v>300</v>
      </c>
      <c r="I199" s="50" t="s">
        <v>1149</v>
      </c>
      <c r="J199" s="50" t="s">
        <v>3463</v>
      </c>
      <c r="L199" s="31">
        <v>42.380354449023201</v>
      </c>
      <c r="M199" s="50"/>
      <c r="N199" s="4">
        <v>7</v>
      </c>
      <c r="O199" s="44"/>
      <c r="P199" s="2"/>
      <c r="Q199"/>
      <c r="R199"/>
    </row>
    <row r="200" spans="1:18" x14ac:dyDescent="0.3">
      <c r="A200" s="3">
        <v>71145</v>
      </c>
      <c r="B200" s="3">
        <v>0</v>
      </c>
      <c r="C200" s="2" t="s">
        <v>664</v>
      </c>
      <c r="D200" s="45"/>
      <c r="E200" s="4" t="s">
        <v>629</v>
      </c>
      <c r="F200" s="50" t="s">
        <v>646</v>
      </c>
      <c r="G200" s="2" t="s">
        <v>300</v>
      </c>
      <c r="H200" s="2" t="s">
        <v>300</v>
      </c>
      <c r="I200" s="50" t="s">
        <v>1099</v>
      </c>
      <c r="J200" s="50" t="s">
        <v>3462</v>
      </c>
      <c r="K200" s="4">
        <v>7.6</v>
      </c>
      <c r="L200" s="31">
        <v>10.3481135291402</v>
      </c>
      <c r="M200" s="50"/>
      <c r="N200" s="4">
        <v>21</v>
      </c>
      <c r="O200" s="44"/>
      <c r="P200" s="2"/>
      <c r="Q200"/>
      <c r="R200"/>
    </row>
    <row r="201" spans="1:18" x14ac:dyDescent="0.3">
      <c r="A201" s="3">
        <v>71159</v>
      </c>
      <c r="B201" s="3">
        <v>0</v>
      </c>
      <c r="C201" s="2" t="s">
        <v>664</v>
      </c>
      <c r="D201" s="45"/>
      <c r="E201" s="4" t="s">
        <v>630</v>
      </c>
      <c r="F201" s="50" t="s">
        <v>622</v>
      </c>
      <c r="G201" s="2" t="s">
        <v>300</v>
      </c>
      <c r="H201" s="2" t="s">
        <v>300</v>
      </c>
      <c r="I201" s="50" t="s">
        <v>1110</v>
      </c>
      <c r="J201" s="50" t="s">
        <v>3464</v>
      </c>
      <c r="K201" s="4">
        <v>9.15</v>
      </c>
      <c r="L201" s="31">
        <v>4.49037252847506</v>
      </c>
      <c r="M201" s="50"/>
      <c r="N201" s="4">
        <v>21</v>
      </c>
      <c r="O201" s="44"/>
      <c r="P201" s="2"/>
      <c r="Q201"/>
      <c r="R201"/>
    </row>
    <row r="202" spans="1:18" x14ac:dyDescent="0.3">
      <c r="A202" s="3">
        <v>99031</v>
      </c>
      <c r="B202" s="3">
        <v>61</v>
      </c>
      <c r="C202" s="2" t="s">
        <v>630</v>
      </c>
      <c r="D202" s="45"/>
      <c r="E202" s="4" t="s">
        <v>664</v>
      </c>
      <c r="F202" s="50" t="s">
        <v>707</v>
      </c>
      <c r="G202" s="2" t="s">
        <v>300</v>
      </c>
      <c r="H202" s="2" t="s">
        <v>300</v>
      </c>
      <c r="I202" s="50" t="s">
        <v>1316</v>
      </c>
      <c r="J202" s="50" t="s">
        <v>3466</v>
      </c>
      <c r="K202" s="4">
        <v>13.86</v>
      </c>
      <c r="L202" s="31">
        <v>2.68647891560467</v>
      </c>
      <c r="M202" s="50"/>
      <c r="N202" s="4"/>
      <c r="O202" s="44"/>
      <c r="P202" s="2"/>
      <c r="Q202"/>
      <c r="R202"/>
    </row>
    <row r="203" spans="1:18" x14ac:dyDescent="0.3">
      <c r="A203" s="3">
        <v>73577</v>
      </c>
      <c r="B203" s="3">
        <v>0</v>
      </c>
      <c r="C203" s="2" t="s">
        <v>630</v>
      </c>
      <c r="D203" s="45"/>
      <c r="E203" s="4" t="s">
        <v>632</v>
      </c>
      <c r="F203" s="50" t="s">
        <v>695</v>
      </c>
      <c r="G203" s="2" t="s">
        <v>300</v>
      </c>
      <c r="H203" s="2" t="s">
        <v>300</v>
      </c>
      <c r="I203" s="50" t="s">
        <v>1013</v>
      </c>
      <c r="J203" s="50" t="s">
        <v>3485</v>
      </c>
      <c r="L203" s="31">
        <v>0.69994935371892097</v>
      </c>
      <c r="M203" s="50"/>
      <c r="N203" s="4"/>
      <c r="O203" s="44"/>
      <c r="P203" s="2"/>
      <c r="Q203"/>
      <c r="R203"/>
    </row>
    <row r="204" spans="1:18" x14ac:dyDescent="0.3">
      <c r="A204" s="3">
        <v>73595</v>
      </c>
      <c r="B204" s="3">
        <v>0</v>
      </c>
      <c r="C204" s="2" t="s">
        <v>630</v>
      </c>
      <c r="D204" s="45"/>
      <c r="E204" s="4" t="s">
        <v>664</v>
      </c>
      <c r="F204" s="50" t="s">
        <v>703</v>
      </c>
      <c r="G204" s="2" t="s">
        <v>300</v>
      </c>
      <c r="H204" s="2" t="s">
        <v>300</v>
      </c>
      <c r="I204" s="50" t="s">
        <v>3349</v>
      </c>
      <c r="J204" s="50" t="s">
        <v>3467</v>
      </c>
      <c r="L204" s="31">
        <v>5.0174909717396199</v>
      </c>
      <c r="M204" s="50"/>
      <c r="N204" s="4"/>
      <c r="O204" s="44"/>
      <c r="P204" s="2"/>
      <c r="Q204"/>
      <c r="R204"/>
    </row>
    <row r="205" spans="1:18" x14ac:dyDescent="0.3">
      <c r="A205" s="3">
        <v>70613</v>
      </c>
      <c r="B205" s="3">
        <v>3</v>
      </c>
      <c r="C205" s="2" t="s">
        <v>630</v>
      </c>
      <c r="D205" s="45"/>
      <c r="E205" s="4" t="s">
        <v>632</v>
      </c>
      <c r="F205" s="50" t="s">
        <v>904</v>
      </c>
      <c r="G205" s="2" t="s">
        <v>297</v>
      </c>
      <c r="H205" s="2" t="s">
        <v>297</v>
      </c>
      <c r="I205" s="50" t="s">
        <v>1017</v>
      </c>
      <c r="J205" s="50" t="s">
        <v>3468</v>
      </c>
      <c r="L205" s="31">
        <v>0.70173246656406696</v>
      </c>
      <c r="M205" s="50"/>
      <c r="N205" s="4"/>
      <c r="O205" s="44"/>
      <c r="P205" s="2"/>
      <c r="Q205"/>
      <c r="R205"/>
    </row>
    <row r="206" spans="1:18" x14ac:dyDescent="0.3">
      <c r="A206" s="3">
        <v>73578</v>
      </c>
      <c r="B206" s="3">
        <v>0</v>
      </c>
      <c r="C206" s="2" t="s">
        <v>630</v>
      </c>
      <c r="D206" s="45"/>
      <c r="E206" s="4" t="s">
        <v>664</v>
      </c>
      <c r="F206" s="50" t="s">
        <v>697</v>
      </c>
      <c r="G206" s="2" t="s">
        <v>300</v>
      </c>
      <c r="H206" s="2" t="s">
        <v>300</v>
      </c>
      <c r="I206" s="50" t="s">
        <v>1232</v>
      </c>
      <c r="J206" s="50" t="s">
        <v>3487</v>
      </c>
      <c r="L206" s="31">
        <v>5.1255330200842799</v>
      </c>
      <c r="M206" s="50" t="s">
        <v>1234</v>
      </c>
      <c r="N206" s="4"/>
      <c r="O206" s="44"/>
      <c r="P206" s="2"/>
      <c r="Q206"/>
      <c r="R206"/>
    </row>
    <row r="207" spans="1:18" x14ac:dyDescent="0.3">
      <c r="A207" s="3">
        <v>233684</v>
      </c>
      <c r="B207" s="3">
        <v>0</v>
      </c>
      <c r="C207" s="2" t="s">
        <v>630</v>
      </c>
      <c r="D207" s="45"/>
      <c r="E207" s="4" t="s">
        <v>664</v>
      </c>
      <c r="F207" s="50" t="s">
        <v>1236</v>
      </c>
      <c r="G207" s="2" t="s">
        <v>303</v>
      </c>
      <c r="H207" s="2" t="s">
        <v>303</v>
      </c>
      <c r="I207" s="50" t="s">
        <v>1237</v>
      </c>
      <c r="J207" s="50" t="s">
        <v>3472</v>
      </c>
      <c r="L207" s="31">
        <v>8.9749276729942604</v>
      </c>
      <c r="M207" s="50"/>
      <c r="N207" s="4"/>
      <c r="O207" s="44"/>
      <c r="P207" s="2"/>
      <c r="Q207"/>
      <c r="R207"/>
    </row>
    <row r="208" spans="1:18" x14ac:dyDescent="0.3">
      <c r="A208" s="3">
        <v>99031</v>
      </c>
      <c r="B208" s="3">
        <v>97</v>
      </c>
      <c r="C208" s="2" t="s">
        <v>630</v>
      </c>
      <c r="D208" s="45"/>
      <c r="E208" s="4" t="s">
        <v>664</v>
      </c>
      <c r="F208" s="50" t="s">
        <v>719</v>
      </c>
      <c r="G208" s="2" t="s">
        <v>300</v>
      </c>
      <c r="H208" s="2" t="s">
        <v>300</v>
      </c>
      <c r="I208" s="50" t="s">
        <v>1326</v>
      </c>
      <c r="J208" s="50" t="s">
        <v>3473</v>
      </c>
      <c r="K208" s="4">
        <v>5.98</v>
      </c>
      <c r="L208" s="31">
        <v>9.6244689246543906</v>
      </c>
      <c r="M208" s="50"/>
      <c r="N208" s="4"/>
      <c r="O208" s="44"/>
      <c r="P208" s="2"/>
      <c r="Q208"/>
      <c r="R208"/>
    </row>
    <row r="209" spans="1:18" x14ac:dyDescent="0.3">
      <c r="A209" s="3">
        <v>73521</v>
      </c>
      <c r="B209" s="3">
        <v>0</v>
      </c>
      <c r="C209" s="2" t="s">
        <v>630</v>
      </c>
      <c r="D209" s="45"/>
      <c r="E209" s="4" t="s">
        <v>664</v>
      </c>
      <c r="F209" s="50" t="s">
        <v>1210</v>
      </c>
      <c r="G209" s="2" t="s">
        <v>303</v>
      </c>
      <c r="H209" s="2" t="s">
        <v>303</v>
      </c>
      <c r="I209" s="50" t="s">
        <v>1211</v>
      </c>
      <c r="J209" s="50" t="s">
        <v>3476</v>
      </c>
      <c r="K209" s="4">
        <v>9.8000000000000007</v>
      </c>
      <c r="L209" s="31">
        <v>12.372255471071201</v>
      </c>
      <c r="M209" s="50"/>
      <c r="N209" s="4"/>
      <c r="O209" s="44"/>
      <c r="P209" s="2"/>
      <c r="Q209"/>
      <c r="R209"/>
    </row>
    <row r="210" spans="1:18" x14ac:dyDescent="0.3">
      <c r="A210" s="3">
        <v>73264</v>
      </c>
      <c r="B210" s="3">
        <v>0</v>
      </c>
      <c r="C210" s="2" t="s">
        <v>630</v>
      </c>
      <c r="D210" s="45"/>
      <c r="E210" s="4" t="s">
        <v>664</v>
      </c>
      <c r="F210" s="50" t="s">
        <v>859</v>
      </c>
      <c r="G210" s="2" t="s">
        <v>323</v>
      </c>
      <c r="H210" s="2" t="s">
        <v>323</v>
      </c>
      <c r="I210" s="50" t="s">
        <v>1151</v>
      </c>
      <c r="J210" s="50" t="s">
        <v>3477</v>
      </c>
      <c r="K210" s="4">
        <v>14.2</v>
      </c>
      <c r="L210" s="31">
        <v>0.85620009721762402</v>
      </c>
      <c r="M210" s="50"/>
      <c r="N210" s="4"/>
      <c r="O210" s="44"/>
      <c r="P210" s="2"/>
      <c r="Q210"/>
      <c r="R210"/>
    </row>
    <row r="211" spans="1:18" x14ac:dyDescent="0.3">
      <c r="A211" s="3">
        <v>70852</v>
      </c>
      <c r="B211" s="3">
        <v>0</v>
      </c>
      <c r="C211" s="2" t="s">
        <v>630</v>
      </c>
      <c r="D211" s="45"/>
      <c r="E211" s="4" t="s">
        <v>664</v>
      </c>
      <c r="F211" s="50" t="s">
        <v>1276</v>
      </c>
      <c r="G211" s="2" t="s">
        <v>300</v>
      </c>
      <c r="H211" s="2" t="s">
        <v>300</v>
      </c>
      <c r="I211" s="50" t="s">
        <v>1277</v>
      </c>
      <c r="J211" s="50" t="s">
        <v>3470</v>
      </c>
      <c r="L211" s="31">
        <v>15.966830342675101</v>
      </c>
      <c r="M211" s="50" t="s">
        <v>1164</v>
      </c>
      <c r="N211" s="4"/>
      <c r="O211" s="44"/>
      <c r="P211" s="2"/>
      <c r="Q211"/>
      <c r="R211"/>
    </row>
    <row r="212" spans="1:18" x14ac:dyDescent="0.3">
      <c r="A212" s="3">
        <v>99061</v>
      </c>
      <c r="B212" s="3">
        <v>106</v>
      </c>
      <c r="C212" s="2" t="s">
        <v>630</v>
      </c>
      <c r="D212" s="45"/>
      <c r="E212" s="4" t="s">
        <v>629</v>
      </c>
      <c r="F212" s="50" t="s">
        <v>733</v>
      </c>
      <c r="G212" s="2" t="s">
        <v>300</v>
      </c>
      <c r="H212" s="2" t="s">
        <v>300</v>
      </c>
      <c r="I212" s="50" t="s">
        <v>1073</v>
      </c>
      <c r="J212" s="50" t="s">
        <v>3471</v>
      </c>
      <c r="K212" s="4">
        <v>20.23</v>
      </c>
      <c r="L212" s="31">
        <v>5.5432635368023302</v>
      </c>
      <c r="M212" s="50"/>
      <c r="N212" s="4">
        <v>6</v>
      </c>
      <c r="O212" s="44"/>
      <c r="P212" s="2"/>
      <c r="Q212"/>
      <c r="R212"/>
    </row>
    <row r="213" spans="1:18" x14ac:dyDescent="0.3">
      <c r="A213" s="3">
        <v>99161</v>
      </c>
      <c r="B213" s="3">
        <v>106</v>
      </c>
      <c r="C213" s="2" t="s">
        <v>630</v>
      </c>
      <c r="D213" s="45"/>
      <c r="E213" s="4" t="s">
        <v>629</v>
      </c>
      <c r="F213" s="50" t="s">
        <v>895</v>
      </c>
      <c r="G213" s="2" t="s">
        <v>300</v>
      </c>
      <c r="H213" s="2" t="s">
        <v>300</v>
      </c>
      <c r="I213" s="50" t="s">
        <v>952</v>
      </c>
      <c r="J213" s="50" t="s">
        <v>3478</v>
      </c>
      <c r="L213" s="31">
        <v>0</v>
      </c>
      <c r="M213" s="50"/>
      <c r="N213" s="4"/>
      <c r="O213" s="44"/>
      <c r="P213" s="2"/>
      <c r="Q213"/>
      <c r="R213"/>
    </row>
    <row r="214" spans="1:18" x14ac:dyDescent="0.3">
      <c r="A214" s="3">
        <v>73544</v>
      </c>
      <c r="B214" s="3">
        <v>0</v>
      </c>
      <c r="C214" s="2" t="s">
        <v>630</v>
      </c>
      <c r="D214" s="45"/>
      <c r="E214" s="4" t="s">
        <v>664</v>
      </c>
      <c r="F214" s="50" t="s">
        <v>685</v>
      </c>
      <c r="G214" s="2" t="s">
        <v>303</v>
      </c>
      <c r="H214" s="2" t="s">
        <v>303</v>
      </c>
      <c r="I214" s="50" t="s">
        <v>1218</v>
      </c>
      <c r="J214" s="50" t="s">
        <v>3474</v>
      </c>
      <c r="K214" s="4">
        <v>4.6399999999999997</v>
      </c>
      <c r="L214" s="31">
        <v>11.585712641115499</v>
      </c>
      <c r="M214" s="50"/>
      <c r="N214" s="4"/>
      <c r="O214" s="44"/>
      <c r="P214" s="2"/>
      <c r="Q214"/>
      <c r="R214"/>
    </row>
    <row r="215" spans="1:18" x14ac:dyDescent="0.3">
      <c r="A215" s="3">
        <v>99047</v>
      </c>
      <c r="B215" s="3">
        <v>7</v>
      </c>
      <c r="C215" s="2" t="s">
        <v>630</v>
      </c>
      <c r="D215" s="45"/>
      <c r="E215" s="4" t="s">
        <v>629</v>
      </c>
      <c r="F215" s="50" t="s">
        <v>889</v>
      </c>
      <c r="G215" s="2" t="s">
        <v>302</v>
      </c>
      <c r="H215" s="2" t="s">
        <v>302</v>
      </c>
      <c r="I215" s="50" t="s">
        <v>1071</v>
      </c>
      <c r="J215" s="50" t="s">
        <v>3480</v>
      </c>
      <c r="K215" s="4">
        <v>12.97</v>
      </c>
      <c r="L215" s="31">
        <v>3.4773436916372602</v>
      </c>
      <c r="M215" s="50"/>
      <c r="N215" s="4"/>
      <c r="O215" s="44"/>
      <c r="P215" s="2"/>
      <c r="Q215"/>
      <c r="R215"/>
    </row>
    <row r="216" spans="1:18" x14ac:dyDescent="0.3">
      <c r="A216" s="3">
        <v>73490</v>
      </c>
      <c r="B216" s="3">
        <v>0</v>
      </c>
      <c r="C216" s="2" t="s">
        <v>630</v>
      </c>
      <c r="D216" s="45"/>
      <c r="E216" s="4" t="s">
        <v>629</v>
      </c>
      <c r="F216" s="50" t="s">
        <v>896</v>
      </c>
      <c r="G216" s="2" t="s">
        <v>300</v>
      </c>
      <c r="H216" s="2" t="s">
        <v>300</v>
      </c>
      <c r="I216" s="50" t="s">
        <v>956</v>
      </c>
      <c r="J216" s="50" t="s">
        <v>3481</v>
      </c>
      <c r="K216" s="4">
        <v>7.63</v>
      </c>
      <c r="L216" s="31">
        <v>0.29378897453665298</v>
      </c>
      <c r="M216" s="50"/>
      <c r="N216" s="4"/>
      <c r="O216" s="44"/>
      <c r="P216" s="2"/>
      <c r="Q216"/>
      <c r="R216"/>
    </row>
    <row r="217" spans="1:18" x14ac:dyDescent="0.3">
      <c r="A217" s="3">
        <v>73366</v>
      </c>
      <c r="B217" s="3">
        <v>0</v>
      </c>
      <c r="C217" s="2" t="s">
        <v>630</v>
      </c>
      <c r="D217" s="45"/>
      <c r="E217" s="4" t="s">
        <v>664</v>
      </c>
      <c r="F217" s="50" t="s">
        <v>1157</v>
      </c>
      <c r="G217" s="2" t="s">
        <v>300</v>
      </c>
      <c r="H217" s="2" t="s">
        <v>300</v>
      </c>
      <c r="I217" s="50" t="s">
        <v>1158</v>
      </c>
      <c r="J217" s="50" t="s">
        <v>3469</v>
      </c>
      <c r="K217" s="4">
        <v>2.25</v>
      </c>
      <c r="L217" s="31">
        <v>5.3971214744880696</v>
      </c>
      <c r="M217" s="50" t="s">
        <v>1160</v>
      </c>
      <c r="N217" s="4"/>
      <c r="O217" s="44"/>
      <c r="P217" s="2"/>
      <c r="Q217"/>
      <c r="R217"/>
    </row>
    <row r="218" spans="1:18" x14ac:dyDescent="0.3">
      <c r="A218" s="3">
        <v>73591</v>
      </c>
      <c r="B218" s="3">
        <v>0</v>
      </c>
      <c r="C218" s="2" t="s">
        <v>630</v>
      </c>
      <c r="D218" s="45"/>
      <c r="E218" s="4" t="s">
        <v>629</v>
      </c>
      <c r="F218" s="50" t="s">
        <v>898</v>
      </c>
      <c r="G218" s="2" t="s">
        <v>303</v>
      </c>
      <c r="H218" s="2" t="s">
        <v>303</v>
      </c>
      <c r="I218" s="50" t="s">
        <v>1032</v>
      </c>
      <c r="J218" s="50" t="s">
        <v>3483</v>
      </c>
      <c r="L218" s="31">
        <v>2.9204752473075399</v>
      </c>
      <c r="M218" s="50"/>
      <c r="N218" s="4"/>
      <c r="O218" s="44"/>
      <c r="P218" s="2"/>
      <c r="Q218"/>
      <c r="R218"/>
    </row>
    <row r="219" spans="1:18" x14ac:dyDescent="0.3">
      <c r="A219" s="3">
        <v>73565</v>
      </c>
      <c r="B219" s="3">
        <v>0</v>
      </c>
      <c r="C219" s="2" t="s">
        <v>630</v>
      </c>
      <c r="D219" s="45"/>
      <c r="E219" s="4" t="s">
        <v>629</v>
      </c>
      <c r="F219" s="50" t="s">
        <v>691</v>
      </c>
      <c r="G219" s="2" t="s">
        <v>300</v>
      </c>
      <c r="H219" s="2" t="s">
        <v>300</v>
      </c>
      <c r="I219" s="50" t="s">
        <v>1002</v>
      </c>
      <c r="J219" s="50" t="s">
        <v>3484</v>
      </c>
      <c r="L219" s="31">
        <v>0.149407312254425</v>
      </c>
      <c r="M219" s="50" t="s">
        <v>1004</v>
      </c>
      <c r="N219" s="4"/>
      <c r="O219" s="44"/>
      <c r="P219" s="2"/>
      <c r="Q219"/>
      <c r="R219"/>
    </row>
    <row r="220" spans="1:18" x14ac:dyDescent="0.3">
      <c r="A220" s="3">
        <v>99031</v>
      </c>
      <c r="B220" s="3">
        <v>190</v>
      </c>
      <c r="C220" s="2" t="s">
        <v>630</v>
      </c>
      <c r="D220" s="45"/>
      <c r="E220" s="4" t="s">
        <v>664</v>
      </c>
      <c r="F220" s="50" t="s">
        <v>729</v>
      </c>
      <c r="G220" s="2" t="s">
        <v>300</v>
      </c>
      <c r="H220" s="2" t="s">
        <v>300</v>
      </c>
      <c r="I220" s="50" t="s">
        <v>1243</v>
      </c>
      <c r="J220" s="50" t="s">
        <v>3465</v>
      </c>
      <c r="L220" s="31">
        <v>2.7481460892840301</v>
      </c>
      <c r="M220" s="50"/>
      <c r="N220" s="4">
        <v>8</v>
      </c>
      <c r="O220" s="44"/>
      <c r="P220" s="2"/>
      <c r="Q220"/>
      <c r="R220"/>
    </row>
    <row r="221" spans="1:18" x14ac:dyDescent="0.3">
      <c r="A221" s="3">
        <v>99031</v>
      </c>
      <c r="B221" s="3">
        <v>191</v>
      </c>
      <c r="C221" s="2" t="s">
        <v>630</v>
      </c>
      <c r="D221" s="45"/>
      <c r="E221" s="4" t="s">
        <v>629</v>
      </c>
      <c r="F221" s="50" t="s">
        <v>731</v>
      </c>
      <c r="G221" s="2" t="s">
        <v>300</v>
      </c>
      <c r="H221" s="2" t="s">
        <v>300</v>
      </c>
      <c r="I221" s="50" t="s">
        <v>1026</v>
      </c>
      <c r="J221" s="50" t="s">
        <v>3486</v>
      </c>
      <c r="L221" s="31">
        <v>0.59243760186552696</v>
      </c>
      <c r="M221" s="50"/>
      <c r="N221" s="4">
        <v>1</v>
      </c>
      <c r="O221" s="44"/>
      <c r="P221" s="2"/>
      <c r="Q221"/>
      <c r="R221"/>
    </row>
    <row r="222" spans="1:18" x14ac:dyDescent="0.3">
      <c r="A222" s="3">
        <v>73260</v>
      </c>
      <c r="B222" s="3">
        <v>0</v>
      </c>
      <c r="C222" s="2" t="s">
        <v>630</v>
      </c>
      <c r="D222" s="45"/>
      <c r="E222" s="4" t="s">
        <v>629</v>
      </c>
      <c r="F222" s="50" t="s">
        <v>899</v>
      </c>
      <c r="G222" s="2" t="s">
        <v>323</v>
      </c>
      <c r="H222" s="2" t="s">
        <v>323</v>
      </c>
      <c r="I222" s="50" t="s">
        <v>1147</v>
      </c>
      <c r="J222" s="50" t="s">
        <v>3489</v>
      </c>
      <c r="K222" s="4">
        <v>8.0399999999999991</v>
      </c>
      <c r="L222" s="31">
        <v>2.9562094968413799</v>
      </c>
      <c r="M222" s="50"/>
      <c r="N222" s="4"/>
      <c r="O222" s="44"/>
      <c r="P222" s="2"/>
      <c r="Q222"/>
      <c r="R222"/>
    </row>
    <row r="223" spans="1:18" x14ac:dyDescent="0.3">
      <c r="A223" s="3">
        <v>73047</v>
      </c>
      <c r="B223" s="3">
        <v>0</v>
      </c>
      <c r="C223" s="2" t="s">
        <v>630</v>
      </c>
      <c r="D223" s="45"/>
      <c r="E223" s="4" t="s">
        <v>632</v>
      </c>
      <c r="F223" s="50" t="s">
        <v>852</v>
      </c>
      <c r="G223" s="2" t="s">
        <v>300</v>
      </c>
      <c r="H223" s="2" t="s">
        <v>300</v>
      </c>
      <c r="I223" s="50" t="s">
        <v>1136</v>
      </c>
      <c r="J223" s="50" t="s">
        <v>3488</v>
      </c>
      <c r="L223" s="31">
        <v>5.9250689334945204</v>
      </c>
      <c r="M223" s="50" t="s">
        <v>1138</v>
      </c>
      <c r="N223" s="4"/>
      <c r="O223" s="44"/>
      <c r="P223" s="2"/>
      <c r="Q223"/>
      <c r="R223"/>
    </row>
    <row r="224" spans="1:18" x14ac:dyDescent="0.3">
      <c r="A224" s="3">
        <v>73404</v>
      </c>
      <c r="B224" s="3">
        <v>0</v>
      </c>
      <c r="C224" s="2" t="s">
        <v>630</v>
      </c>
      <c r="D224" s="45"/>
      <c r="E224" s="4" t="s">
        <v>629</v>
      </c>
      <c r="F224" s="50" t="s">
        <v>882</v>
      </c>
      <c r="G224" s="2" t="s">
        <v>323</v>
      </c>
      <c r="H224" s="2" t="s">
        <v>323</v>
      </c>
      <c r="I224" s="50" t="s">
        <v>924</v>
      </c>
      <c r="J224" s="50" t="s">
        <v>3492</v>
      </c>
      <c r="K224" s="4">
        <v>2.0499999999999998</v>
      </c>
      <c r="L224" s="31">
        <v>4.0614881707405699</v>
      </c>
      <c r="M224" s="50"/>
      <c r="N224" s="4"/>
      <c r="O224" s="44"/>
      <c r="P224" s="2"/>
      <c r="Q224"/>
      <c r="R224"/>
    </row>
    <row r="225" spans="1:18" x14ac:dyDescent="0.3">
      <c r="A225" s="3">
        <v>99047</v>
      </c>
      <c r="B225" s="3">
        <v>8</v>
      </c>
      <c r="C225" s="2" t="s">
        <v>630</v>
      </c>
      <c r="D225" s="45"/>
      <c r="E225" s="4" t="s">
        <v>630</v>
      </c>
      <c r="F225" s="50" t="s">
        <v>868</v>
      </c>
      <c r="G225" s="2" t="s">
        <v>302</v>
      </c>
      <c r="H225" s="2" t="s">
        <v>302</v>
      </c>
      <c r="I225" s="50" t="s">
        <v>1107</v>
      </c>
      <c r="J225" s="50" t="s">
        <v>3490</v>
      </c>
      <c r="K225" s="4">
        <v>13.17</v>
      </c>
      <c r="L225" s="31">
        <v>40.702741495621702</v>
      </c>
      <c r="M225" s="50"/>
      <c r="N225" s="4"/>
      <c r="O225" s="44"/>
      <c r="P225" s="2"/>
      <c r="Q225"/>
      <c r="R225"/>
    </row>
    <row r="226" spans="1:18" x14ac:dyDescent="0.3">
      <c r="A226" s="3">
        <v>99120</v>
      </c>
      <c r="B226" s="3">
        <v>3</v>
      </c>
      <c r="C226" s="2" t="s">
        <v>630</v>
      </c>
      <c r="D226" s="45"/>
      <c r="E226" s="4" t="s">
        <v>629</v>
      </c>
      <c r="F226" s="50" t="s">
        <v>888</v>
      </c>
      <c r="G226" s="2" t="s">
        <v>302</v>
      </c>
      <c r="H226" s="2" t="s">
        <v>302</v>
      </c>
      <c r="I226" s="50" t="s">
        <v>1081</v>
      </c>
      <c r="J226" s="50" t="s">
        <v>3350</v>
      </c>
      <c r="K226" s="4">
        <v>11.88</v>
      </c>
      <c r="L226" s="31">
        <v>4.5851220207411503</v>
      </c>
      <c r="M226" s="50"/>
      <c r="N226" s="4"/>
      <c r="O226" s="44"/>
      <c r="P226" s="2"/>
      <c r="Q226"/>
      <c r="R226"/>
    </row>
    <row r="227" spans="1:18" x14ac:dyDescent="0.3">
      <c r="A227" s="3">
        <v>99031</v>
      </c>
      <c r="B227" s="3">
        <v>189</v>
      </c>
      <c r="C227" s="2" t="s">
        <v>630</v>
      </c>
      <c r="D227" s="45"/>
      <c r="E227" s="4" t="s">
        <v>664</v>
      </c>
      <c r="F227" s="50" t="s">
        <v>612</v>
      </c>
      <c r="G227" s="2" t="s">
        <v>300</v>
      </c>
      <c r="H227" s="2" t="s">
        <v>300</v>
      </c>
      <c r="I227" s="50" t="s">
        <v>1023</v>
      </c>
      <c r="J227" s="50" t="s">
        <v>3475</v>
      </c>
      <c r="L227" s="31">
        <v>10.1277165986852</v>
      </c>
      <c r="M227" s="50" t="s">
        <v>1025</v>
      </c>
      <c r="N227" s="4"/>
      <c r="O227" s="44"/>
      <c r="P227" s="2"/>
      <c r="Q227"/>
      <c r="R227"/>
    </row>
    <row r="228" spans="1:18" x14ac:dyDescent="0.3">
      <c r="A228" s="3">
        <v>73559</v>
      </c>
      <c r="B228" s="3">
        <v>1</v>
      </c>
      <c r="C228" s="2" t="s">
        <v>630</v>
      </c>
      <c r="D228" s="45"/>
      <c r="E228" s="4" t="s">
        <v>630</v>
      </c>
      <c r="F228" s="50" t="s">
        <v>870</v>
      </c>
      <c r="G228" s="2" t="s">
        <v>298</v>
      </c>
      <c r="H228" s="2" t="s">
        <v>298</v>
      </c>
      <c r="I228" s="50" t="s">
        <v>998</v>
      </c>
      <c r="J228" s="50" t="s">
        <v>3493</v>
      </c>
      <c r="K228" s="4">
        <v>7.09</v>
      </c>
      <c r="L228" s="31">
        <v>0.43030059242511198</v>
      </c>
      <c r="M228" s="50"/>
      <c r="N228" s="4"/>
      <c r="O228" s="44"/>
      <c r="P228" s="2"/>
      <c r="Q228"/>
      <c r="R228"/>
    </row>
    <row r="229" spans="1:18" x14ac:dyDescent="0.3">
      <c r="A229" s="3">
        <v>99031</v>
      </c>
      <c r="B229" s="3">
        <v>91</v>
      </c>
      <c r="C229" s="2" t="s">
        <v>630</v>
      </c>
      <c r="D229" s="45"/>
      <c r="E229" s="4" t="s">
        <v>629</v>
      </c>
      <c r="F229" s="50" t="s">
        <v>713</v>
      </c>
      <c r="G229" s="2" t="s">
        <v>300</v>
      </c>
      <c r="H229" s="2" t="s">
        <v>300</v>
      </c>
      <c r="I229" s="50" t="s">
        <v>1143</v>
      </c>
      <c r="J229" s="50" t="s">
        <v>3479</v>
      </c>
      <c r="K229" s="4">
        <v>7.06</v>
      </c>
      <c r="L229" s="31">
        <v>3.3163144448145698</v>
      </c>
      <c r="M229" s="50"/>
      <c r="N229" s="4"/>
      <c r="O229" s="44"/>
      <c r="P229" s="2"/>
      <c r="Q229"/>
      <c r="R229"/>
    </row>
    <row r="230" spans="1:18" x14ac:dyDescent="0.3">
      <c r="A230" s="3">
        <v>70883</v>
      </c>
      <c r="B230" s="3">
        <v>0</v>
      </c>
      <c r="C230" s="2" t="s">
        <v>630</v>
      </c>
      <c r="D230" s="45"/>
      <c r="E230" s="4" t="s">
        <v>629</v>
      </c>
      <c r="F230" s="50" t="s">
        <v>887</v>
      </c>
      <c r="G230" s="2" t="s">
        <v>323</v>
      </c>
      <c r="H230" s="2" t="s">
        <v>323</v>
      </c>
      <c r="I230" s="50" t="s">
        <v>1079</v>
      </c>
      <c r="J230" s="50" t="s">
        <v>3494</v>
      </c>
      <c r="K230" s="4">
        <v>7.03</v>
      </c>
      <c r="L230" s="31">
        <v>1.0131245564317599</v>
      </c>
      <c r="M230" s="50"/>
      <c r="N230" s="4"/>
      <c r="O230" s="44"/>
      <c r="P230" s="2"/>
      <c r="Q230"/>
      <c r="R230"/>
    </row>
    <row r="231" spans="1:18" x14ac:dyDescent="0.3">
      <c r="A231" s="3">
        <v>99178</v>
      </c>
      <c r="B231" s="3">
        <v>1</v>
      </c>
      <c r="C231" s="2" t="s">
        <v>630</v>
      </c>
      <c r="D231" s="45"/>
      <c r="E231" s="4" t="s">
        <v>629</v>
      </c>
      <c r="F231" s="50" t="s">
        <v>885</v>
      </c>
      <c r="G231" s="2" t="s">
        <v>323</v>
      </c>
      <c r="H231" s="2" t="s">
        <v>323</v>
      </c>
      <c r="I231" s="50" t="s">
        <v>1075</v>
      </c>
      <c r="J231" s="50" t="s">
        <v>3482</v>
      </c>
      <c r="K231" s="4">
        <v>4.79</v>
      </c>
      <c r="L231" s="31">
        <v>0.52001711686756402</v>
      </c>
      <c r="M231" s="50"/>
      <c r="N231" s="4"/>
      <c r="O231" s="44"/>
      <c r="P231" s="2"/>
      <c r="Q231"/>
      <c r="R231"/>
    </row>
    <row r="232" spans="1:18" x14ac:dyDescent="0.3">
      <c r="A232" s="3">
        <v>73523</v>
      </c>
      <c r="B232" s="3">
        <v>0</v>
      </c>
      <c r="C232" s="2" t="s">
        <v>630</v>
      </c>
      <c r="D232" s="45"/>
      <c r="E232" s="4" t="s">
        <v>630</v>
      </c>
      <c r="F232" s="50" t="s">
        <v>756</v>
      </c>
      <c r="G232" s="2" t="s">
        <v>300</v>
      </c>
      <c r="H232" s="2" t="s">
        <v>300</v>
      </c>
      <c r="I232" s="50" t="s">
        <v>966</v>
      </c>
      <c r="J232" s="50" t="s">
        <v>3500</v>
      </c>
      <c r="K232" s="4">
        <v>4.6900000000000004</v>
      </c>
      <c r="L232" s="31">
        <v>0.68726604693756599</v>
      </c>
      <c r="M232" s="50"/>
      <c r="N232" s="4"/>
      <c r="O232" s="44"/>
      <c r="P232" s="2"/>
      <c r="Q232"/>
      <c r="R232"/>
    </row>
    <row r="233" spans="1:18" x14ac:dyDescent="0.3">
      <c r="A233" s="3">
        <v>99137</v>
      </c>
      <c r="B233" s="3">
        <v>1</v>
      </c>
      <c r="C233" s="2" t="s">
        <v>630</v>
      </c>
      <c r="D233" s="45"/>
      <c r="E233" s="4" t="s">
        <v>630</v>
      </c>
      <c r="F233" s="50" t="s">
        <v>743</v>
      </c>
      <c r="G233" s="2" t="s">
        <v>323</v>
      </c>
      <c r="H233" s="2" t="s">
        <v>323</v>
      </c>
      <c r="I233" s="50" t="s">
        <v>979</v>
      </c>
      <c r="J233" s="50" t="s">
        <v>3495</v>
      </c>
      <c r="K233" s="4">
        <v>8.4</v>
      </c>
      <c r="L233" s="31">
        <v>1.12611033166849</v>
      </c>
      <c r="M233" s="50"/>
      <c r="N233" s="4"/>
      <c r="O233" s="44"/>
      <c r="P233" s="2"/>
      <c r="Q233"/>
      <c r="R233"/>
    </row>
    <row r="234" spans="1:18" x14ac:dyDescent="0.3">
      <c r="A234" s="3">
        <v>71415</v>
      </c>
      <c r="B234" s="3">
        <v>0</v>
      </c>
      <c r="C234" s="2" t="s">
        <v>630</v>
      </c>
      <c r="D234" s="45"/>
      <c r="E234" s="4" t="s">
        <v>630</v>
      </c>
      <c r="F234" s="50" t="s">
        <v>652</v>
      </c>
      <c r="G234" s="2" t="s">
        <v>303</v>
      </c>
      <c r="H234" s="2" t="s">
        <v>303</v>
      </c>
      <c r="I234" s="50" t="s">
        <v>1130</v>
      </c>
      <c r="J234" s="50" t="s">
        <v>3496</v>
      </c>
      <c r="K234" s="4">
        <v>16.64</v>
      </c>
      <c r="L234" s="31">
        <v>6.6050399917045901</v>
      </c>
      <c r="M234" s="50"/>
      <c r="N234" s="4"/>
      <c r="O234" s="44"/>
      <c r="P234" s="2"/>
      <c r="Q234"/>
      <c r="R234"/>
    </row>
    <row r="235" spans="1:18" x14ac:dyDescent="0.3">
      <c r="A235" s="3">
        <v>73561</v>
      </c>
      <c r="B235" s="3">
        <v>0</v>
      </c>
      <c r="C235" s="2" t="s">
        <v>630</v>
      </c>
      <c r="D235" s="45"/>
      <c r="E235" s="4" t="s">
        <v>629</v>
      </c>
      <c r="F235" s="50" t="s">
        <v>902</v>
      </c>
      <c r="G235" s="2" t="s">
        <v>299</v>
      </c>
      <c r="H235" s="2" t="s">
        <v>299</v>
      </c>
      <c r="I235" s="50" t="s">
        <v>1000</v>
      </c>
      <c r="J235" s="50" t="s">
        <v>3497</v>
      </c>
      <c r="K235" s="4">
        <v>1.85</v>
      </c>
      <c r="L235" s="31">
        <v>3.4223235572767401E-2</v>
      </c>
      <c r="M235" s="50"/>
      <c r="N235" s="4"/>
      <c r="O235" s="44"/>
      <c r="P235" s="2"/>
      <c r="Q235"/>
      <c r="R235"/>
    </row>
    <row r="236" spans="1:18" x14ac:dyDescent="0.3">
      <c r="A236" s="3">
        <v>73575</v>
      </c>
      <c r="B236" s="3">
        <v>0</v>
      </c>
      <c r="C236" s="2" t="s">
        <v>630</v>
      </c>
      <c r="D236" s="45"/>
      <c r="E236" s="4" t="s">
        <v>629</v>
      </c>
      <c r="F236" s="50" t="s">
        <v>901</v>
      </c>
      <c r="G236" s="2" t="s">
        <v>299</v>
      </c>
      <c r="H236" s="2" t="s">
        <v>299</v>
      </c>
      <c r="I236" s="50" t="s">
        <v>1010</v>
      </c>
      <c r="J236" s="50" t="s">
        <v>3498</v>
      </c>
      <c r="L236" s="31">
        <v>0</v>
      </c>
      <c r="M236" s="50" t="s">
        <v>1012</v>
      </c>
      <c r="N236" s="4"/>
      <c r="O236" s="44"/>
      <c r="P236" s="2"/>
      <c r="Q236"/>
      <c r="R236"/>
    </row>
    <row r="237" spans="1:18" x14ac:dyDescent="0.3">
      <c r="A237" s="3">
        <v>70876</v>
      </c>
      <c r="B237" s="3">
        <v>0</v>
      </c>
      <c r="C237" s="2" t="s">
        <v>630</v>
      </c>
      <c r="D237" s="45"/>
      <c r="E237" s="4" t="s">
        <v>629</v>
      </c>
      <c r="F237" s="50" t="s">
        <v>886</v>
      </c>
      <c r="G237" s="2" t="s">
        <v>302</v>
      </c>
      <c r="H237" s="2" t="s">
        <v>302</v>
      </c>
      <c r="I237" s="50" t="s">
        <v>1077</v>
      </c>
      <c r="J237" s="50" t="s">
        <v>3499</v>
      </c>
      <c r="K237" s="4">
        <v>2.2799999999999998</v>
      </c>
      <c r="L237" s="31">
        <v>1.7916243882649501</v>
      </c>
      <c r="M237" s="50"/>
      <c r="N237" s="4"/>
      <c r="O237" s="44"/>
      <c r="P237" s="2"/>
      <c r="Q237"/>
      <c r="R237"/>
    </row>
    <row r="238" spans="1:18" x14ac:dyDescent="0.3">
      <c r="A238" s="3">
        <v>71161</v>
      </c>
      <c r="B238" s="3">
        <v>0</v>
      </c>
      <c r="C238" s="2" t="s">
        <v>630</v>
      </c>
      <c r="D238" s="45"/>
      <c r="E238" s="4" t="s">
        <v>630</v>
      </c>
      <c r="F238" s="50" t="s">
        <v>624</v>
      </c>
      <c r="G238" s="2" t="s">
        <v>300</v>
      </c>
      <c r="H238" s="2" t="s">
        <v>300</v>
      </c>
      <c r="I238" s="50" t="s">
        <v>1114</v>
      </c>
      <c r="J238" s="50" t="s">
        <v>3491</v>
      </c>
      <c r="K238" s="4">
        <v>12.73</v>
      </c>
      <c r="L238" s="31">
        <v>39.345209736961799</v>
      </c>
      <c r="M238" s="50"/>
      <c r="N238" s="4"/>
      <c r="O238" s="44"/>
      <c r="P238" s="2"/>
      <c r="Q238"/>
      <c r="R238"/>
    </row>
    <row r="239" spans="1:18" x14ac:dyDescent="0.3">
      <c r="A239" s="3">
        <v>73568</v>
      </c>
      <c r="B239" s="3">
        <v>0</v>
      </c>
      <c r="C239" s="2" t="s">
        <v>629</v>
      </c>
      <c r="D239" s="45"/>
      <c r="E239" s="4" t="s">
        <v>664</v>
      </c>
      <c r="F239" s="50" t="s">
        <v>861</v>
      </c>
      <c r="G239" s="2" t="s">
        <v>298</v>
      </c>
      <c r="H239" s="2" t="s">
        <v>298</v>
      </c>
      <c r="I239" s="50" t="s">
        <v>1005</v>
      </c>
      <c r="J239" s="50" t="s">
        <v>3351</v>
      </c>
      <c r="L239" s="31">
        <v>60.150170696899302</v>
      </c>
      <c r="M239" s="50"/>
      <c r="N239" s="4"/>
      <c r="O239" s="44"/>
      <c r="P239" s="2"/>
      <c r="Q239"/>
      <c r="R239"/>
    </row>
    <row r="240" spans="1:18" x14ac:dyDescent="0.3">
      <c r="A240" s="3">
        <v>99137</v>
      </c>
      <c r="B240" s="3">
        <v>2</v>
      </c>
      <c r="C240" s="2" t="s">
        <v>629</v>
      </c>
      <c r="D240" s="45"/>
      <c r="E240" s="4" t="s">
        <v>664</v>
      </c>
      <c r="F240" s="50" t="s">
        <v>745</v>
      </c>
      <c r="G240" s="2" t="s">
        <v>323</v>
      </c>
      <c r="H240" s="2" t="s">
        <v>323</v>
      </c>
      <c r="I240" s="50" t="s">
        <v>981</v>
      </c>
      <c r="J240" s="50" t="s">
        <v>3353</v>
      </c>
      <c r="K240" s="4">
        <v>11.17</v>
      </c>
      <c r="L240" s="31">
        <v>0.24846281670033901</v>
      </c>
      <c r="M240" s="50"/>
      <c r="N240" s="4"/>
      <c r="O240" s="44"/>
      <c r="P240" s="2"/>
      <c r="Q240"/>
      <c r="R240"/>
    </row>
    <row r="241" spans="1:18" x14ac:dyDescent="0.3">
      <c r="A241" s="3">
        <v>71131</v>
      </c>
      <c r="B241" s="3">
        <v>0</v>
      </c>
      <c r="C241" s="2" t="s">
        <v>629</v>
      </c>
      <c r="D241" s="45"/>
      <c r="E241" s="4" t="s">
        <v>664</v>
      </c>
      <c r="F241" s="50" t="s">
        <v>860</v>
      </c>
      <c r="G241" s="2" t="s">
        <v>302</v>
      </c>
      <c r="H241" s="2" t="s">
        <v>302</v>
      </c>
      <c r="I241" s="50" t="s">
        <v>1087</v>
      </c>
      <c r="J241" s="50" t="s">
        <v>3355</v>
      </c>
      <c r="K241" s="4">
        <v>3.53</v>
      </c>
      <c r="L241" s="31">
        <v>4.2533940169960296</v>
      </c>
      <c r="M241" s="50"/>
      <c r="N241" s="4"/>
      <c r="O241" s="44"/>
      <c r="P241" s="2"/>
      <c r="Q241"/>
      <c r="R241"/>
    </row>
    <row r="242" spans="1:18" x14ac:dyDescent="0.3">
      <c r="A242" s="3">
        <v>99152</v>
      </c>
      <c r="B242" s="3">
        <v>1</v>
      </c>
      <c r="C242" s="2" t="s">
        <v>629</v>
      </c>
      <c r="D242" s="45"/>
      <c r="E242" s="4" t="s">
        <v>641</v>
      </c>
      <c r="F242" s="50" t="s">
        <v>854</v>
      </c>
      <c r="G242" s="2" t="s">
        <v>300</v>
      </c>
      <c r="H242" s="2" t="s">
        <v>300</v>
      </c>
      <c r="I242" s="50" t="s">
        <v>970</v>
      </c>
      <c r="J242" s="50" t="s">
        <v>3357</v>
      </c>
      <c r="K242" s="4">
        <v>2.31</v>
      </c>
      <c r="L242" s="31">
        <v>0.53365902788937103</v>
      </c>
      <c r="M242" s="50"/>
      <c r="N242" s="4"/>
      <c r="O242" s="44"/>
      <c r="P242" s="2"/>
      <c r="Q242"/>
      <c r="R242"/>
    </row>
    <row r="243" spans="1:18" x14ac:dyDescent="0.3">
      <c r="A243" s="3">
        <v>99212</v>
      </c>
      <c r="B243" s="3">
        <v>4</v>
      </c>
      <c r="C243" s="2" t="s">
        <v>629</v>
      </c>
      <c r="D243" s="45"/>
      <c r="E243" s="4" t="s">
        <v>664</v>
      </c>
      <c r="F243" s="50" t="s">
        <v>1304</v>
      </c>
      <c r="G243" s="2" t="s">
        <v>323</v>
      </c>
      <c r="H243" s="2" t="s">
        <v>323</v>
      </c>
      <c r="I243" s="50" t="s">
        <v>1305</v>
      </c>
      <c r="J243" s="50" t="s">
        <v>3356</v>
      </c>
      <c r="K243" s="4">
        <v>1.75</v>
      </c>
      <c r="L243" s="31">
        <v>16.451046248897899</v>
      </c>
      <c r="M243" s="50"/>
      <c r="N243" s="4"/>
      <c r="O243" s="44"/>
      <c r="P243" s="2"/>
      <c r="Q243"/>
      <c r="R243"/>
    </row>
    <row r="244" spans="1:18" x14ac:dyDescent="0.3">
      <c r="A244" s="3">
        <v>99212</v>
      </c>
      <c r="B244" s="3">
        <v>3</v>
      </c>
      <c r="C244" s="2" t="s">
        <v>629</v>
      </c>
      <c r="D244" s="45"/>
      <c r="E244" s="4" t="s">
        <v>641</v>
      </c>
      <c r="F244" s="50" t="s">
        <v>908</v>
      </c>
      <c r="G244" s="2" t="s">
        <v>323</v>
      </c>
      <c r="H244" s="2" t="s">
        <v>323</v>
      </c>
      <c r="I244" s="50" t="s">
        <v>1134</v>
      </c>
      <c r="J244" s="50" t="s">
        <v>3358</v>
      </c>
      <c r="K244" s="4">
        <v>5.72</v>
      </c>
      <c r="L244" s="31">
        <v>9.58740655332804E-2</v>
      </c>
      <c r="M244" s="50"/>
      <c r="N244" s="4"/>
      <c r="O244" s="44"/>
      <c r="P244" s="2"/>
      <c r="Q244"/>
      <c r="R244"/>
    </row>
    <row r="245" spans="1:18" x14ac:dyDescent="0.3">
      <c r="A245" s="3">
        <v>99189</v>
      </c>
      <c r="B245" s="3">
        <v>3</v>
      </c>
      <c r="C245" s="2" t="s">
        <v>629</v>
      </c>
      <c r="D245" s="45"/>
      <c r="E245" s="4" t="s">
        <v>664</v>
      </c>
      <c r="F245" s="50" t="s">
        <v>753</v>
      </c>
      <c r="G245" s="2" t="s">
        <v>323</v>
      </c>
      <c r="H245" s="2" t="s">
        <v>323</v>
      </c>
      <c r="I245" s="50" t="s">
        <v>1254</v>
      </c>
      <c r="J245" s="50" t="s">
        <v>3359</v>
      </c>
      <c r="L245" s="31">
        <v>0.42327872291207302</v>
      </c>
      <c r="M245" s="50"/>
      <c r="N245" s="4"/>
      <c r="O245" s="44"/>
      <c r="P245" s="2"/>
      <c r="Q245"/>
      <c r="R245"/>
    </row>
    <row r="246" spans="1:18" x14ac:dyDescent="0.3">
      <c r="A246" s="3">
        <v>99189</v>
      </c>
      <c r="B246" s="3">
        <v>1</v>
      </c>
      <c r="C246" s="2" t="s">
        <v>629</v>
      </c>
      <c r="D246" s="45"/>
      <c r="E246" s="4" t="s">
        <v>664</v>
      </c>
      <c r="F246" s="50" t="s">
        <v>749</v>
      </c>
      <c r="G246" s="2" t="s">
        <v>300</v>
      </c>
      <c r="H246" s="2" t="s">
        <v>300</v>
      </c>
      <c r="I246" s="50" t="s">
        <v>1245</v>
      </c>
      <c r="J246" s="50" t="s">
        <v>3383</v>
      </c>
      <c r="L246" s="31">
        <v>23.2613863535225</v>
      </c>
      <c r="M246" s="50"/>
      <c r="N246" s="4">
        <v>8</v>
      </c>
      <c r="O246" s="44"/>
      <c r="P246" s="2"/>
      <c r="Q246"/>
      <c r="R246"/>
    </row>
    <row r="247" spans="1:18" x14ac:dyDescent="0.3">
      <c r="A247" s="3">
        <v>73516</v>
      </c>
      <c r="B247" s="3">
        <v>0</v>
      </c>
      <c r="C247" s="2" t="s">
        <v>629</v>
      </c>
      <c r="D247" s="45"/>
      <c r="E247" s="4" t="s">
        <v>641</v>
      </c>
      <c r="F247" s="50" t="s">
        <v>673</v>
      </c>
      <c r="G247" s="2" t="s">
        <v>300</v>
      </c>
      <c r="H247" s="2" t="s">
        <v>300</v>
      </c>
      <c r="I247" s="50" t="s">
        <v>960</v>
      </c>
      <c r="J247" s="50" t="s">
        <v>3360</v>
      </c>
      <c r="K247" s="4">
        <v>5.32</v>
      </c>
      <c r="L247" s="31">
        <v>0.46692532300949102</v>
      </c>
      <c r="M247" s="50"/>
      <c r="N247" s="4"/>
      <c r="O247" s="44"/>
      <c r="P247" s="2"/>
      <c r="Q247"/>
      <c r="R247"/>
    </row>
    <row r="248" spans="1:18" x14ac:dyDescent="0.3">
      <c r="A248" s="3">
        <v>99031</v>
      </c>
      <c r="B248" s="3">
        <v>172</v>
      </c>
      <c r="C248" s="2" t="s">
        <v>629</v>
      </c>
      <c r="D248" s="45"/>
      <c r="E248" s="4" t="s">
        <v>641</v>
      </c>
      <c r="F248" s="50" t="s">
        <v>723</v>
      </c>
      <c r="G248" s="2" t="s">
        <v>300</v>
      </c>
      <c r="H248" s="2" t="s">
        <v>300</v>
      </c>
      <c r="I248" s="50" t="s">
        <v>1015</v>
      </c>
      <c r="J248" s="50" t="s">
        <v>3372</v>
      </c>
      <c r="L248" s="31">
        <v>6.9204140454530699E-3</v>
      </c>
      <c r="M248" s="50"/>
      <c r="N248" s="4"/>
      <c r="O248" s="44"/>
      <c r="P248" s="2"/>
      <c r="Q248"/>
      <c r="R248"/>
    </row>
    <row r="249" spans="1:18" x14ac:dyDescent="0.3">
      <c r="A249" s="3">
        <v>73470</v>
      </c>
      <c r="B249" s="3">
        <v>3</v>
      </c>
      <c r="C249" s="2" t="s">
        <v>629</v>
      </c>
      <c r="D249" s="45"/>
      <c r="E249" s="4" t="s">
        <v>664</v>
      </c>
      <c r="F249" s="50" t="s">
        <v>665</v>
      </c>
      <c r="G249" s="2" t="s">
        <v>300</v>
      </c>
      <c r="H249" s="2" t="s">
        <v>300</v>
      </c>
      <c r="I249" s="50" t="s">
        <v>1256</v>
      </c>
      <c r="J249" s="50" t="s">
        <v>3362</v>
      </c>
      <c r="L249" s="31">
        <v>6.0189463403075898</v>
      </c>
      <c r="M249" s="50" t="s">
        <v>1258</v>
      </c>
      <c r="N249" s="4"/>
      <c r="O249" s="44"/>
      <c r="P249" s="2"/>
      <c r="Q249"/>
      <c r="R249"/>
    </row>
    <row r="250" spans="1:18" x14ac:dyDescent="0.3">
      <c r="A250" s="3">
        <v>73126</v>
      </c>
      <c r="B250" s="3">
        <v>0</v>
      </c>
      <c r="C250" s="2" t="s">
        <v>629</v>
      </c>
      <c r="D250" s="45"/>
      <c r="E250" s="4" t="s">
        <v>664</v>
      </c>
      <c r="F250" s="50" t="s">
        <v>1311</v>
      </c>
      <c r="G250" s="2" t="s">
        <v>297</v>
      </c>
      <c r="H250" s="2" t="s">
        <v>297</v>
      </c>
      <c r="I250" s="50" t="s">
        <v>1312</v>
      </c>
      <c r="J250" s="50" t="s">
        <v>3361</v>
      </c>
      <c r="K250" s="4">
        <v>0.13</v>
      </c>
      <c r="L250" s="31">
        <v>7.27644435688853</v>
      </c>
      <c r="M250" s="50"/>
      <c r="N250" s="4"/>
      <c r="O250" s="44"/>
      <c r="P250" s="2"/>
      <c r="Q250"/>
      <c r="R250"/>
    </row>
    <row r="251" spans="1:18" x14ac:dyDescent="0.3">
      <c r="A251" s="3">
        <v>99031</v>
      </c>
      <c r="B251" s="3">
        <v>90</v>
      </c>
      <c r="C251" s="2" t="s">
        <v>629</v>
      </c>
      <c r="D251" s="45"/>
      <c r="E251" s="4" t="s">
        <v>664</v>
      </c>
      <c r="F251" s="50" t="s">
        <v>711</v>
      </c>
      <c r="G251" s="2" t="s">
        <v>300</v>
      </c>
      <c r="H251" s="2" t="s">
        <v>300</v>
      </c>
      <c r="I251" s="50" t="s">
        <v>1320</v>
      </c>
      <c r="J251" s="50" t="s">
        <v>3376</v>
      </c>
      <c r="K251" s="4">
        <v>18.39</v>
      </c>
      <c r="L251" s="31">
        <v>0.92209503613412402</v>
      </c>
      <c r="M251" s="50"/>
      <c r="N251" s="4"/>
      <c r="O251" s="44"/>
      <c r="P251" s="2"/>
      <c r="Q251"/>
      <c r="R251"/>
    </row>
    <row r="252" spans="1:18" x14ac:dyDescent="0.3">
      <c r="A252" s="3">
        <v>99062</v>
      </c>
      <c r="B252" s="3">
        <v>37</v>
      </c>
      <c r="C252" s="2" t="s">
        <v>629</v>
      </c>
      <c r="D252" s="45"/>
      <c r="E252" s="4" t="s">
        <v>664</v>
      </c>
      <c r="F252" s="50" t="s">
        <v>737</v>
      </c>
      <c r="G252" s="2" t="s">
        <v>300</v>
      </c>
      <c r="H252" s="2" t="s">
        <v>300</v>
      </c>
      <c r="I252" s="50" t="s">
        <v>1274</v>
      </c>
      <c r="J252" s="50" t="s">
        <v>3363</v>
      </c>
      <c r="K252" s="4">
        <v>37.520000000000003</v>
      </c>
      <c r="L252" s="31">
        <v>1.84164033830166</v>
      </c>
      <c r="M252" s="50"/>
      <c r="N252" s="4">
        <v>9</v>
      </c>
      <c r="O252" s="44"/>
      <c r="P252" s="2"/>
      <c r="Q252"/>
      <c r="R252"/>
    </row>
    <row r="253" spans="1:18" x14ac:dyDescent="0.3">
      <c r="A253" s="3">
        <v>73079</v>
      </c>
      <c r="B253" s="3">
        <v>0</v>
      </c>
      <c r="C253" s="2" t="s">
        <v>629</v>
      </c>
      <c r="D253" s="45"/>
      <c r="E253" s="4" t="s">
        <v>664</v>
      </c>
      <c r="F253" s="50" t="s">
        <v>1307</v>
      </c>
      <c r="G253" s="2" t="s">
        <v>300</v>
      </c>
      <c r="H253" s="2" t="s">
        <v>300</v>
      </c>
      <c r="I253" s="50" t="s">
        <v>1308</v>
      </c>
      <c r="J253" s="50" t="s">
        <v>3723</v>
      </c>
      <c r="L253" s="31">
        <v>0.48133118636906103</v>
      </c>
      <c r="M253" s="50"/>
      <c r="N253" s="4">
        <v>0</v>
      </c>
      <c r="O253" s="44"/>
      <c r="P253" s="2"/>
      <c r="Q253"/>
      <c r="R253"/>
    </row>
    <row r="254" spans="1:18" x14ac:dyDescent="0.3">
      <c r="A254" s="3">
        <v>99031</v>
      </c>
      <c r="B254" s="3">
        <v>181</v>
      </c>
      <c r="C254" s="2" t="s">
        <v>629</v>
      </c>
      <c r="D254" s="45"/>
      <c r="E254" s="4" t="s">
        <v>664</v>
      </c>
      <c r="F254" s="50" t="s">
        <v>727</v>
      </c>
      <c r="G254" s="2" t="s">
        <v>300</v>
      </c>
      <c r="H254" s="2" t="s">
        <v>300</v>
      </c>
      <c r="I254" s="50" t="s">
        <v>1241</v>
      </c>
      <c r="J254" s="50" t="s">
        <v>3367</v>
      </c>
      <c r="L254" s="31">
        <v>0.94836809672415301</v>
      </c>
      <c r="M254" s="50"/>
      <c r="N254" s="4"/>
      <c r="O254" s="44"/>
      <c r="P254" s="2"/>
      <c r="Q254"/>
      <c r="R254"/>
    </row>
    <row r="255" spans="1:18" x14ac:dyDescent="0.3">
      <c r="A255" s="3">
        <v>73404</v>
      </c>
      <c r="B255" s="3">
        <v>8</v>
      </c>
      <c r="C255" s="2" t="s">
        <v>629</v>
      </c>
      <c r="D255" s="45"/>
      <c r="E255" s="4" t="s">
        <v>664</v>
      </c>
      <c r="F255" s="50" t="s">
        <v>1213</v>
      </c>
      <c r="G255" s="2" t="s">
        <v>323</v>
      </c>
      <c r="H255" s="2" t="s">
        <v>323</v>
      </c>
      <c r="I255" s="50" t="s">
        <v>1214</v>
      </c>
      <c r="J255" s="50" t="s">
        <v>3365</v>
      </c>
      <c r="K255" s="4">
        <v>3.22</v>
      </c>
      <c r="L255" s="31">
        <v>0.423910537734628</v>
      </c>
      <c r="M255" s="50"/>
      <c r="N255" s="4"/>
      <c r="O255" s="44"/>
      <c r="P255" s="2"/>
      <c r="Q255"/>
      <c r="R255"/>
    </row>
    <row r="256" spans="1:18" x14ac:dyDescent="0.3">
      <c r="A256" s="3">
        <v>70832</v>
      </c>
      <c r="B256" s="3">
        <v>0</v>
      </c>
      <c r="C256" s="2" t="s">
        <v>629</v>
      </c>
      <c r="D256" s="45"/>
      <c r="E256" s="4" t="s">
        <v>664</v>
      </c>
      <c r="F256" s="50" t="s">
        <v>1271</v>
      </c>
      <c r="G256" s="2" t="s">
        <v>300</v>
      </c>
      <c r="H256" s="2" t="s">
        <v>300</v>
      </c>
      <c r="I256" s="50" t="s">
        <v>1272</v>
      </c>
      <c r="J256" s="50" t="s">
        <v>3366</v>
      </c>
      <c r="K256" s="4">
        <v>18.57</v>
      </c>
      <c r="L256" s="31">
        <v>0.67538398131728195</v>
      </c>
      <c r="M256" s="50"/>
      <c r="N256" s="4"/>
      <c r="O256" s="44"/>
      <c r="P256" s="2"/>
      <c r="Q256"/>
      <c r="R256"/>
    </row>
    <row r="257" spans="1:18" x14ac:dyDescent="0.3">
      <c r="A257" s="3">
        <v>99031</v>
      </c>
      <c r="B257" s="3">
        <v>89</v>
      </c>
      <c r="C257" s="2" t="s">
        <v>629</v>
      </c>
      <c r="D257" s="45"/>
      <c r="E257" s="4" t="s">
        <v>664</v>
      </c>
      <c r="F257" s="50" t="s">
        <v>709</v>
      </c>
      <c r="G257" s="2" t="s">
        <v>300</v>
      </c>
      <c r="H257" s="2" t="s">
        <v>300</v>
      </c>
      <c r="I257" s="50" t="s">
        <v>1318</v>
      </c>
      <c r="J257" s="50" t="s">
        <v>3364</v>
      </c>
      <c r="K257" s="4">
        <v>12.05</v>
      </c>
      <c r="L257" s="31">
        <v>1.0836324729025399</v>
      </c>
      <c r="M257" s="50"/>
      <c r="N257" s="4"/>
      <c r="O257" s="44"/>
      <c r="P257" s="2"/>
      <c r="Q257"/>
      <c r="R257"/>
    </row>
    <row r="258" spans="1:18" x14ac:dyDescent="0.3">
      <c r="A258" s="3">
        <v>73576</v>
      </c>
      <c r="B258" s="3">
        <v>0</v>
      </c>
      <c r="C258" s="2" t="s">
        <v>629</v>
      </c>
      <c r="D258" s="45"/>
      <c r="E258" s="4" t="s">
        <v>664</v>
      </c>
      <c r="F258" s="50" t="s">
        <v>1229</v>
      </c>
      <c r="G258" s="2" t="s">
        <v>300</v>
      </c>
      <c r="H258" s="2" t="s">
        <v>300</v>
      </c>
      <c r="I258" s="50" t="s">
        <v>1230</v>
      </c>
      <c r="J258" s="50" t="s">
        <v>3368</v>
      </c>
      <c r="L258" s="31">
        <v>1.4756199307739699</v>
      </c>
      <c r="M258" s="50"/>
      <c r="N258" s="4"/>
      <c r="O258" s="44"/>
      <c r="P258" s="2"/>
      <c r="Q258"/>
      <c r="R258"/>
    </row>
    <row r="259" spans="1:18" x14ac:dyDescent="0.3">
      <c r="A259" s="3">
        <v>73517</v>
      </c>
      <c r="B259" s="3">
        <v>0</v>
      </c>
      <c r="C259" s="2" t="s">
        <v>629</v>
      </c>
      <c r="D259" s="45"/>
      <c r="E259" s="4" t="s">
        <v>664</v>
      </c>
      <c r="F259" s="50" t="s">
        <v>675</v>
      </c>
      <c r="G259" s="2" t="s">
        <v>300</v>
      </c>
      <c r="H259" s="2" t="s">
        <v>300</v>
      </c>
      <c r="I259" s="50" t="s">
        <v>1207</v>
      </c>
      <c r="J259" s="50" t="s">
        <v>3369</v>
      </c>
      <c r="K259" s="4">
        <v>4.4800000000000004</v>
      </c>
      <c r="L259" s="31">
        <v>8.4960046187043208</v>
      </c>
      <c r="M259" s="50"/>
      <c r="N259" s="4"/>
      <c r="O259" s="44"/>
      <c r="P259" s="2"/>
      <c r="Q259"/>
      <c r="R259"/>
    </row>
    <row r="260" spans="1:18" x14ac:dyDescent="0.3">
      <c r="A260" s="3">
        <v>99161</v>
      </c>
      <c r="B260" s="3">
        <v>37</v>
      </c>
      <c r="C260" s="2" t="s">
        <v>629</v>
      </c>
      <c r="D260" s="45"/>
      <c r="E260" s="4" t="s">
        <v>664</v>
      </c>
      <c r="F260" s="50" t="s">
        <v>1192</v>
      </c>
      <c r="G260" s="2" t="s">
        <v>354</v>
      </c>
      <c r="H260" s="2" t="s">
        <v>354</v>
      </c>
      <c r="I260" s="50" t="s">
        <v>1193</v>
      </c>
      <c r="J260" s="50" t="s">
        <v>3370</v>
      </c>
      <c r="L260" s="31">
        <v>0</v>
      </c>
      <c r="M260" s="50"/>
      <c r="N260" s="4">
        <v>0</v>
      </c>
      <c r="O260" s="44"/>
      <c r="P260" s="2"/>
      <c r="Q260"/>
      <c r="R260"/>
    </row>
    <row r="261" spans="1:18" x14ac:dyDescent="0.3">
      <c r="A261" s="3">
        <v>73464</v>
      </c>
      <c r="B261" s="3">
        <v>0</v>
      </c>
      <c r="C261" s="2" t="s">
        <v>629</v>
      </c>
      <c r="D261" s="45"/>
      <c r="E261" s="4" t="s">
        <v>664</v>
      </c>
      <c r="F261" s="50" t="s">
        <v>1173</v>
      </c>
      <c r="G261" s="2" t="s">
        <v>323</v>
      </c>
      <c r="H261" s="2" t="s">
        <v>323</v>
      </c>
      <c r="I261" s="50" t="s">
        <v>1174</v>
      </c>
      <c r="J261" s="50" t="s">
        <v>3373</v>
      </c>
      <c r="K261" s="4">
        <v>4.58</v>
      </c>
      <c r="L261" s="31">
        <v>1.0631259400397499</v>
      </c>
      <c r="M261" s="50"/>
      <c r="N261" s="4"/>
      <c r="O261" s="44"/>
      <c r="P261" s="2"/>
      <c r="Q261"/>
      <c r="R261"/>
    </row>
    <row r="262" spans="1:18" x14ac:dyDescent="0.3">
      <c r="A262" s="3">
        <v>73063</v>
      </c>
      <c r="B262" s="3">
        <v>15</v>
      </c>
      <c r="C262" s="2" t="s">
        <v>629</v>
      </c>
      <c r="D262" s="45"/>
      <c r="E262" s="4" t="s">
        <v>664</v>
      </c>
      <c r="F262" s="50" t="s">
        <v>1259</v>
      </c>
      <c r="G262" s="2" t="s">
        <v>323</v>
      </c>
      <c r="H262" s="2" t="s">
        <v>323</v>
      </c>
      <c r="I262" s="50" t="s">
        <v>1260</v>
      </c>
      <c r="J262" s="50" t="s">
        <v>3371</v>
      </c>
      <c r="L262" s="31">
        <v>2.1455615106970098</v>
      </c>
      <c r="M262" s="50"/>
      <c r="N262" s="4"/>
      <c r="O262" s="44"/>
      <c r="P262" s="2"/>
      <c r="Q262"/>
      <c r="R262"/>
    </row>
    <row r="263" spans="1:18" x14ac:dyDescent="0.3">
      <c r="A263" s="3">
        <v>99212</v>
      </c>
      <c r="B263" s="3">
        <v>1</v>
      </c>
      <c r="C263" s="2" t="s">
        <v>629</v>
      </c>
      <c r="D263" s="45"/>
      <c r="E263" s="4" t="s">
        <v>664</v>
      </c>
      <c r="F263" s="50" t="s">
        <v>1331</v>
      </c>
      <c r="G263" s="2" t="s">
        <v>323</v>
      </c>
      <c r="H263" s="2" t="s">
        <v>323</v>
      </c>
      <c r="I263" s="50" t="s">
        <v>1332</v>
      </c>
      <c r="J263" s="50" t="s">
        <v>3375</v>
      </c>
      <c r="K263" s="4">
        <v>6.08</v>
      </c>
      <c r="L263" s="31">
        <v>0.91317715123295795</v>
      </c>
      <c r="M263" s="50"/>
      <c r="N263" s="4"/>
      <c r="O263" s="44"/>
      <c r="P263" s="2"/>
      <c r="Q263"/>
      <c r="R263"/>
    </row>
    <row r="264" spans="1:18" x14ac:dyDescent="0.3">
      <c r="A264" s="3">
        <v>73588</v>
      </c>
      <c r="B264" s="3">
        <v>0</v>
      </c>
      <c r="C264" s="2" t="s">
        <v>629</v>
      </c>
      <c r="D264" s="45"/>
      <c r="E264" s="4" t="s">
        <v>641</v>
      </c>
      <c r="F264" s="50" t="s">
        <v>858</v>
      </c>
      <c r="G264" s="2" t="s">
        <v>300</v>
      </c>
      <c r="H264" s="2" t="s">
        <v>300</v>
      </c>
      <c r="I264" s="50" t="s">
        <v>1028</v>
      </c>
      <c r="J264" s="50" t="s">
        <v>3374</v>
      </c>
      <c r="L264" s="31">
        <v>15.672403661534201</v>
      </c>
      <c r="M264" s="50"/>
      <c r="N264" s="4"/>
      <c r="O264" s="44"/>
      <c r="P264" s="2"/>
      <c r="Q264"/>
      <c r="R264"/>
    </row>
    <row r="265" spans="1:18" x14ac:dyDescent="0.3">
      <c r="A265" s="3">
        <v>73404</v>
      </c>
      <c r="B265" s="3">
        <v>1</v>
      </c>
      <c r="C265" s="2" t="s">
        <v>629</v>
      </c>
      <c r="D265" s="45"/>
      <c r="E265" s="4" t="s">
        <v>641</v>
      </c>
      <c r="F265" s="50" t="s">
        <v>907</v>
      </c>
      <c r="G265" s="2" t="s">
        <v>303</v>
      </c>
      <c r="H265" s="2" t="s">
        <v>303</v>
      </c>
      <c r="I265" s="50" t="s">
        <v>1139</v>
      </c>
      <c r="J265" s="50" t="s">
        <v>3378</v>
      </c>
      <c r="K265" s="4">
        <v>1.97</v>
      </c>
      <c r="L265" s="31">
        <v>0</v>
      </c>
      <c r="M265" s="50"/>
      <c r="N265" s="4"/>
      <c r="O265" s="44"/>
      <c r="P265" s="2"/>
      <c r="Q265"/>
      <c r="R265"/>
    </row>
    <row r="266" spans="1:18" x14ac:dyDescent="0.3">
      <c r="A266" s="3">
        <v>73499</v>
      </c>
      <c r="B266" s="3">
        <v>0</v>
      </c>
      <c r="C266" s="2" t="s">
        <v>629</v>
      </c>
      <c r="D266" s="45"/>
      <c r="E266" s="4" t="s">
        <v>664</v>
      </c>
      <c r="F266" s="50" t="s">
        <v>519</v>
      </c>
      <c r="G266" s="2" t="s">
        <v>302</v>
      </c>
      <c r="H266" s="2" t="s">
        <v>302</v>
      </c>
      <c r="I266" s="50" t="s">
        <v>1195</v>
      </c>
      <c r="J266" s="50" t="s">
        <v>3380</v>
      </c>
      <c r="K266" s="4">
        <v>4.4000000000000004</v>
      </c>
      <c r="L266" s="31">
        <v>4.6248699259012902</v>
      </c>
      <c r="M266" s="50"/>
      <c r="N266" s="4"/>
      <c r="O266" s="44"/>
      <c r="P266" s="2"/>
      <c r="Q266"/>
      <c r="R266"/>
    </row>
    <row r="267" spans="1:18" x14ac:dyDescent="0.3">
      <c r="A267" s="3">
        <v>70324</v>
      </c>
      <c r="B267" s="3">
        <v>0</v>
      </c>
      <c r="C267" s="2" t="s">
        <v>629</v>
      </c>
      <c r="D267" s="45"/>
      <c r="E267" s="4" t="s">
        <v>641</v>
      </c>
      <c r="F267" s="50" t="s">
        <v>913</v>
      </c>
      <c r="G267" s="2" t="s">
        <v>299</v>
      </c>
      <c r="H267" s="2" t="s">
        <v>299</v>
      </c>
      <c r="I267" s="50" t="s">
        <v>1057</v>
      </c>
      <c r="J267" s="50" t="s">
        <v>3379</v>
      </c>
      <c r="K267" s="4">
        <v>2.62</v>
      </c>
      <c r="L267" s="31">
        <v>0.423042692244053</v>
      </c>
      <c r="M267" s="50" t="s">
        <v>3290</v>
      </c>
      <c r="N267" s="4"/>
      <c r="O267" s="44"/>
      <c r="P267" s="2"/>
      <c r="Q267"/>
      <c r="R267"/>
    </row>
    <row r="268" spans="1:18" x14ac:dyDescent="0.3">
      <c r="A268" s="3">
        <v>71128</v>
      </c>
      <c r="B268" s="3">
        <v>0</v>
      </c>
      <c r="C268" s="2" t="s">
        <v>629</v>
      </c>
      <c r="D268" s="45"/>
      <c r="E268" s="4" t="s">
        <v>641</v>
      </c>
      <c r="F268" s="50" t="s">
        <v>642</v>
      </c>
      <c r="G268" s="2" t="s">
        <v>300</v>
      </c>
      <c r="H268" s="2" t="s">
        <v>300</v>
      </c>
      <c r="I268" s="50" t="s">
        <v>1085</v>
      </c>
      <c r="J268" s="50" t="s">
        <v>3385</v>
      </c>
      <c r="K268" s="4">
        <v>4.1399999999999997</v>
      </c>
      <c r="L268" s="31">
        <v>20.233258852735201</v>
      </c>
      <c r="M268" s="50"/>
      <c r="N268" s="4">
        <v>30</v>
      </c>
      <c r="O268" s="44"/>
      <c r="P268" s="2"/>
      <c r="Q268"/>
      <c r="R268"/>
    </row>
    <row r="269" spans="1:18" x14ac:dyDescent="0.3">
      <c r="A269" s="3">
        <v>70021</v>
      </c>
      <c r="B269" s="3">
        <v>0</v>
      </c>
      <c r="C269" s="2" t="s">
        <v>629</v>
      </c>
      <c r="D269" s="45"/>
      <c r="E269" s="4" t="s">
        <v>641</v>
      </c>
      <c r="F269" s="50" t="s">
        <v>912</v>
      </c>
      <c r="G269" s="2" t="s">
        <v>303</v>
      </c>
      <c r="H269" s="2" t="s">
        <v>303</v>
      </c>
      <c r="I269" s="50" t="s">
        <v>1049</v>
      </c>
      <c r="J269" s="50" t="s">
        <v>3381</v>
      </c>
      <c r="K269" s="4">
        <v>8.42</v>
      </c>
      <c r="L269" s="31">
        <v>1.3307244218885901</v>
      </c>
      <c r="M269" s="50" t="s">
        <v>1051</v>
      </c>
      <c r="N269" s="4"/>
      <c r="O269" s="44"/>
      <c r="P269" s="2"/>
      <c r="Q269"/>
      <c r="R269"/>
    </row>
    <row r="270" spans="1:18" x14ac:dyDescent="0.3">
      <c r="A270" s="3">
        <v>73404</v>
      </c>
      <c r="B270" s="3">
        <v>3</v>
      </c>
      <c r="C270" s="2" t="s">
        <v>629</v>
      </c>
      <c r="D270" s="45"/>
      <c r="E270" s="4" t="s">
        <v>641</v>
      </c>
      <c r="F270" s="50" t="s">
        <v>915</v>
      </c>
      <c r="G270" s="2" t="s">
        <v>303</v>
      </c>
      <c r="H270" s="2" t="s">
        <v>303</v>
      </c>
      <c r="I270" s="50" t="s">
        <v>1083</v>
      </c>
      <c r="J270" s="50" t="s">
        <v>3382</v>
      </c>
      <c r="K270" s="4">
        <v>4.28</v>
      </c>
      <c r="L270" s="31">
        <v>2.2155467104166702</v>
      </c>
      <c r="M270" s="50"/>
      <c r="N270" s="4"/>
      <c r="O270" s="44"/>
      <c r="P270" s="2"/>
      <c r="Q270"/>
      <c r="R270"/>
    </row>
    <row r="271" spans="1:18" x14ac:dyDescent="0.3">
      <c r="A271" s="3">
        <v>73508</v>
      </c>
      <c r="B271" s="3">
        <v>0</v>
      </c>
      <c r="C271" s="2" t="s">
        <v>629</v>
      </c>
      <c r="D271" s="45"/>
      <c r="E271" s="4" t="s">
        <v>641</v>
      </c>
      <c r="F271" s="50" t="s">
        <v>671</v>
      </c>
      <c r="G271" s="2" t="s">
        <v>300</v>
      </c>
      <c r="H271" s="2" t="s">
        <v>300</v>
      </c>
      <c r="I271" s="50" t="s">
        <v>958</v>
      </c>
      <c r="J271" s="50" t="s">
        <v>3389</v>
      </c>
      <c r="K271" s="4">
        <v>14.7</v>
      </c>
      <c r="L271" s="31">
        <v>3.37478786893189</v>
      </c>
      <c r="M271" s="50"/>
      <c r="N271" s="4">
        <v>39</v>
      </c>
      <c r="O271" s="44"/>
      <c r="P271" s="2"/>
      <c r="Q271"/>
      <c r="R271"/>
    </row>
    <row r="272" spans="1:18" x14ac:dyDescent="0.3">
      <c r="A272" s="3">
        <v>99189</v>
      </c>
      <c r="B272" s="3">
        <v>2</v>
      </c>
      <c r="C272" s="2" t="s">
        <v>629</v>
      </c>
      <c r="D272" s="45"/>
      <c r="E272" s="4" t="s">
        <v>664</v>
      </c>
      <c r="F272" s="50" t="s">
        <v>751</v>
      </c>
      <c r="G272" s="2" t="s">
        <v>323</v>
      </c>
      <c r="H272" s="2" t="s">
        <v>323</v>
      </c>
      <c r="I272" s="50" t="s">
        <v>1247</v>
      </c>
      <c r="J272" s="50" t="s">
        <v>3384</v>
      </c>
      <c r="L272" s="31">
        <v>9.6674509402364492</v>
      </c>
      <c r="M272" s="50"/>
      <c r="N272" s="4"/>
      <c r="O272" s="44"/>
      <c r="P272" s="2"/>
      <c r="Q272"/>
      <c r="R272"/>
    </row>
    <row r="273" spans="1:18" x14ac:dyDescent="0.3">
      <c r="A273" s="3">
        <v>71132</v>
      </c>
      <c r="B273" s="3">
        <v>0</v>
      </c>
      <c r="C273" s="2" t="s">
        <v>629</v>
      </c>
      <c r="D273" s="45"/>
      <c r="E273" s="4" t="s">
        <v>641</v>
      </c>
      <c r="F273" s="50" t="s">
        <v>644</v>
      </c>
      <c r="G273" s="2" t="s">
        <v>300</v>
      </c>
      <c r="H273" s="2" t="s">
        <v>300</v>
      </c>
      <c r="I273" s="50" t="s">
        <v>1089</v>
      </c>
      <c r="J273" s="50" t="s">
        <v>3377</v>
      </c>
      <c r="K273" s="4">
        <v>6.54</v>
      </c>
      <c r="L273" s="31">
        <v>1.9770359955728101</v>
      </c>
      <c r="M273" s="50"/>
      <c r="N273" s="4"/>
      <c r="O273" s="44"/>
      <c r="P273" s="2"/>
      <c r="Q273"/>
      <c r="R273"/>
    </row>
    <row r="274" spans="1:18" x14ac:dyDescent="0.3">
      <c r="A274" s="3">
        <v>99161</v>
      </c>
      <c r="B274" s="3">
        <v>96</v>
      </c>
      <c r="C274" s="2" t="s">
        <v>629</v>
      </c>
      <c r="D274" s="45"/>
      <c r="E274" s="4" t="s">
        <v>641</v>
      </c>
      <c r="F274" s="50" t="s">
        <v>856</v>
      </c>
      <c r="G274" s="2" t="s">
        <v>300</v>
      </c>
      <c r="H274" s="2" t="s">
        <v>300</v>
      </c>
      <c r="I274" s="50" t="s">
        <v>983</v>
      </c>
      <c r="J274" s="50" t="s">
        <v>3387</v>
      </c>
      <c r="K274" s="4">
        <v>0.17</v>
      </c>
      <c r="L274" s="31">
        <v>0</v>
      </c>
      <c r="M274" s="50"/>
      <c r="N274" s="4">
        <v>0</v>
      </c>
      <c r="O274" s="44"/>
      <c r="P274" s="2"/>
      <c r="Q274"/>
      <c r="R274"/>
    </row>
    <row r="275" spans="1:18" x14ac:dyDescent="0.3">
      <c r="A275" s="3">
        <v>99031</v>
      </c>
      <c r="B275" s="3">
        <v>180</v>
      </c>
      <c r="C275" s="2" t="s">
        <v>629</v>
      </c>
      <c r="D275" s="45"/>
      <c r="E275" s="4" t="s">
        <v>641</v>
      </c>
      <c r="F275" s="50" t="s">
        <v>725</v>
      </c>
      <c r="G275" s="2" t="s">
        <v>300</v>
      </c>
      <c r="H275" s="2" t="s">
        <v>300</v>
      </c>
      <c r="I275" s="50" t="s">
        <v>1019</v>
      </c>
      <c r="J275" s="50" t="s">
        <v>3352</v>
      </c>
      <c r="L275" s="31">
        <v>0.192082649096847</v>
      </c>
      <c r="M275" s="50"/>
      <c r="N275" s="4"/>
      <c r="O275" s="44"/>
      <c r="P275" s="2"/>
      <c r="Q275"/>
      <c r="R275"/>
    </row>
    <row r="276" spans="1:18" x14ac:dyDescent="0.3">
      <c r="A276" s="3">
        <v>71136</v>
      </c>
      <c r="B276" s="3">
        <v>0</v>
      </c>
      <c r="C276" s="2" t="s">
        <v>629</v>
      </c>
      <c r="D276" s="45"/>
      <c r="E276" s="4" t="s">
        <v>641</v>
      </c>
      <c r="F276" s="50" t="s">
        <v>916</v>
      </c>
      <c r="G276" s="2" t="s">
        <v>302</v>
      </c>
      <c r="H276" s="2" t="s">
        <v>302</v>
      </c>
      <c r="I276" s="50" t="s">
        <v>1093</v>
      </c>
      <c r="J276" s="50" t="s">
        <v>3388</v>
      </c>
      <c r="K276" s="4">
        <v>0.52</v>
      </c>
      <c r="L276" s="31">
        <v>1.1569789089262501</v>
      </c>
      <c r="M276" s="50"/>
      <c r="N276" s="4"/>
      <c r="O276" s="44"/>
      <c r="P276" s="2"/>
      <c r="Q276"/>
      <c r="R276"/>
    </row>
    <row r="277" spans="1:18" x14ac:dyDescent="0.3">
      <c r="A277" s="3">
        <v>99062</v>
      </c>
      <c r="B277" s="3">
        <v>96</v>
      </c>
      <c r="C277" s="2" t="s">
        <v>629</v>
      </c>
      <c r="D277" s="45"/>
      <c r="E277" s="4" t="s">
        <v>641</v>
      </c>
      <c r="F277" s="50" t="s">
        <v>739</v>
      </c>
      <c r="G277" s="2" t="s">
        <v>300</v>
      </c>
      <c r="H277" s="2" t="s">
        <v>300</v>
      </c>
      <c r="I277" s="50" t="s">
        <v>1091</v>
      </c>
      <c r="J277" s="50" t="s">
        <v>3354</v>
      </c>
      <c r="K277" s="4">
        <v>4.0199999999999996</v>
      </c>
      <c r="L277" s="31">
        <v>4.0394826736301201</v>
      </c>
      <c r="M277" s="50"/>
      <c r="N277" s="4">
        <v>15</v>
      </c>
      <c r="O277" s="44"/>
      <c r="P277" s="2"/>
      <c r="Q277"/>
      <c r="R277"/>
    </row>
    <row r="278" spans="1:18" x14ac:dyDescent="0.3">
      <c r="A278" s="3">
        <v>73524</v>
      </c>
      <c r="B278" s="3">
        <v>0</v>
      </c>
      <c r="C278" s="2" t="s">
        <v>629</v>
      </c>
      <c r="D278" s="45"/>
      <c r="E278" s="4" t="s">
        <v>641</v>
      </c>
      <c r="F278" s="50" t="s">
        <v>910</v>
      </c>
      <c r="G278" s="2" t="s">
        <v>303</v>
      </c>
      <c r="H278" s="2" t="s">
        <v>303</v>
      </c>
      <c r="I278" s="50" t="s">
        <v>972</v>
      </c>
      <c r="J278" s="50" t="s">
        <v>3386</v>
      </c>
      <c r="K278" s="4">
        <v>4.42</v>
      </c>
      <c r="L278" s="31">
        <v>3.0898676682263599</v>
      </c>
      <c r="M278" s="50"/>
      <c r="N278" s="4"/>
      <c r="O278" s="44"/>
      <c r="P278" s="2"/>
      <c r="Q278"/>
      <c r="R278"/>
    </row>
    <row r="279" spans="1:18" x14ac:dyDescent="0.3">
      <c r="A279" s="3">
        <v>71399</v>
      </c>
      <c r="B279" s="3">
        <v>0</v>
      </c>
      <c r="C279" s="2" t="s">
        <v>632</v>
      </c>
      <c r="D279" s="45"/>
      <c r="E279" s="4" t="s">
        <v>632</v>
      </c>
      <c r="F279" s="50" t="s">
        <v>760</v>
      </c>
      <c r="G279" s="2" t="s">
        <v>300</v>
      </c>
      <c r="H279" s="2" t="s">
        <v>300</v>
      </c>
      <c r="I279" s="50" t="s">
        <v>1128</v>
      </c>
      <c r="J279" s="50" t="s">
        <v>3390</v>
      </c>
      <c r="K279" s="4">
        <v>5.93</v>
      </c>
      <c r="L279" s="31">
        <v>15.489123970270199</v>
      </c>
      <c r="M279" s="50"/>
      <c r="N279" s="4"/>
      <c r="O279" s="44"/>
      <c r="P279" s="2"/>
      <c r="Q279"/>
      <c r="R279"/>
    </row>
    <row r="280" spans="1:18" x14ac:dyDescent="0.3">
      <c r="A280" s="3">
        <v>71149</v>
      </c>
      <c r="B280" s="3">
        <v>0</v>
      </c>
      <c r="C280" s="2" t="s">
        <v>632</v>
      </c>
      <c r="D280" s="45"/>
      <c r="E280" s="4" t="s">
        <v>632</v>
      </c>
      <c r="F280" s="50" t="s">
        <v>905</v>
      </c>
      <c r="G280" s="2" t="s">
        <v>298</v>
      </c>
      <c r="H280" s="2" t="s">
        <v>298</v>
      </c>
      <c r="I280" s="50" t="s">
        <v>1105</v>
      </c>
      <c r="J280" s="50" t="s">
        <v>3391</v>
      </c>
      <c r="K280" s="4">
        <v>1.1499999999999999</v>
      </c>
      <c r="L280" s="31">
        <v>24.111490806564699</v>
      </c>
      <c r="M280" s="50"/>
      <c r="N280" s="4"/>
      <c r="O280" s="44"/>
      <c r="P280" s="2"/>
      <c r="Q280"/>
      <c r="R280"/>
    </row>
    <row r="281" spans="1:18" x14ac:dyDescent="0.3">
      <c r="A281" s="3">
        <v>99061</v>
      </c>
      <c r="B281" s="3">
        <v>107</v>
      </c>
      <c r="C281" s="2" t="s">
        <v>632</v>
      </c>
      <c r="D281" s="45"/>
      <c r="E281" s="4" t="s">
        <v>632</v>
      </c>
      <c r="F281" s="50" t="s">
        <v>735</v>
      </c>
      <c r="G281" s="2" t="s">
        <v>300</v>
      </c>
      <c r="H281" s="2" t="s">
        <v>300</v>
      </c>
      <c r="I281" s="50" t="s">
        <v>1284</v>
      </c>
      <c r="J281" s="50" t="s">
        <v>3392</v>
      </c>
      <c r="K281" s="4">
        <v>28.79</v>
      </c>
      <c r="L281" s="31">
        <v>96.472484691068502</v>
      </c>
      <c r="M281" s="50"/>
      <c r="N281" s="4">
        <v>10</v>
      </c>
      <c r="O281" s="44"/>
      <c r="P281" s="2"/>
      <c r="Q281"/>
      <c r="R281"/>
    </row>
    <row r="282" spans="1:18" x14ac:dyDescent="0.3">
      <c r="A282" s="3">
        <v>99161</v>
      </c>
      <c r="B282" s="3">
        <v>107</v>
      </c>
      <c r="C282" s="2" t="s">
        <v>632</v>
      </c>
      <c r="D282" s="45"/>
      <c r="E282" s="4" t="s">
        <v>632</v>
      </c>
      <c r="F282" s="50" t="s">
        <v>1187</v>
      </c>
      <c r="G282" s="2" t="s">
        <v>300</v>
      </c>
      <c r="H282" s="2" t="s">
        <v>300</v>
      </c>
      <c r="I282" s="50" t="s">
        <v>1188</v>
      </c>
      <c r="J282" s="50" t="s">
        <v>3393</v>
      </c>
      <c r="L282" s="31">
        <v>0</v>
      </c>
      <c r="M282" s="50"/>
      <c r="N282" s="4"/>
      <c r="O282" s="44"/>
      <c r="P282" s="2"/>
      <c r="Q282"/>
      <c r="R282"/>
    </row>
    <row r="283" spans="1:18" x14ac:dyDescent="0.3">
      <c r="A283" s="3">
        <v>70894</v>
      </c>
      <c r="B283" s="3">
        <v>0</v>
      </c>
      <c r="C283" s="2" t="s">
        <v>632</v>
      </c>
      <c r="D283" s="45"/>
      <c r="E283" s="4" t="s">
        <v>632</v>
      </c>
      <c r="F283" s="50" t="s">
        <v>633</v>
      </c>
      <c r="G283" s="2" t="s">
        <v>300</v>
      </c>
      <c r="H283" s="2" t="s">
        <v>300</v>
      </c>
      <c r="I283" s="50" t="s">
        <v>1279</v>
      </c>
      <c r="J283" s="50" t="s">
        <v>3394</v>
      </c>
      <c r="K283" s="4">
        <v>10.54</v>
      </c>
      <c r="L283" s="31">
        <v>2.4865056667476901</v>
      </c>
      <c r="M283" s="50"/>
      <c r="N283" s="4">
        <v>5</v>
      </c>
      <c r="O283" s="44"/>
      <c r="P283" s="2"/>
      <c r="Q283"/>
      <c r="R283"/>
    </row>
    <row r="284" spans="1:18" x14ac:dyDescent="0.3">
      <c r="A284" s="3">
        <v>70895</v>
      </c>
      <c r="B284" s="3">
        <v>0</v>
      </c>
      <c r="C284" s="2" t="s">
        <v>632</v>
      </c>
      <c r="D284" s="45"/>
      <c r="E284" s="4" t="s">
        <v>632</v>
      </c>
      <c r="F284" s="50" t="s">
        <v>635</v>
      </c>
      <c r="G284" s="2" t="s">
        <v>300</v>
      </c>
      <c r="H284" s="2" t="s">
        <v>300</v>
      </c>
      <c r="I284" s="50" t="s">
        <v>1281</v>
      </c>
      <c r="J284" s="50" t="s">
        <v>3395</v>
      </c>
      <c r="K284" s="4">
        <v>11.33</v>
      </c>
      <c r="L284" s="31">
        <v>3.22204196825624</v>
      </c>
      <c r="M284" s="50" t="s">
        <v>1283</v>
      </c>
      <c r="N284" s="4"/>
      <c r="O284" s="44"/>
      <c r="P284" s="2"/>
      <c r="Q284"/>
      <c r="R284"/>
    </row>
    <row r="285" spans="1:18" x14ac:dyDescent="0.3">
      <c r="A285" s="3">
        <v>99031</v>
      </c>
      <c r="B285" s="3">
        <v>93</v>
      </c>
      <c r="C285" s="2" t="s">
        <v>632</v>
      </c>
      <c r="D285" s="45"/>
      <c r="E285" s="4" t="s">
        <v>632</v>
      </c>
      <c r="F285" s="50" t="s">
        <v>715</v>
      </c>
      <c r="G285" s="2" t="s">
        <v>300</v>
      </c>
      <c r="H285" s="2" t="s">
        <v>300</v>
      </c>
      <c r="I285" s="50" t="s">
        <v>1322</v>
      </c>
      <c r="J285" s="50" t="s">
        <v>3397</v>
      </c>
      <c r="K285" s="4">
        <v>12.07</v>
      </c>
      <c r="L285" s="31">
        <v>5.3284995257854503E-2</v>
      </c>
      <c r="M285" s="50"/>
      <c r="N285" s="4"/>
      <c r="O285" s="44"/>
      <c r="P285" s="2"/>
      <c r="Q285"/>
      <c r="R285"/>
    </row>
    <row r="286" spans="1:18" x14ac:dyDescent="0.3">
      <c r="A286" s="3">
        <v>73547</v>
      </c>
      <c r="B286" s="3">
        <v>0</v>
      </c>
      <c r="C286" s="2" t="s">
        <v>632</v>
      </c>
      <c r="D286" s="45"/>
      <c r="E286" s="4" t="s">
        <v>632</v>
      </c>
      <c r="F286" s="50" t="s">
        <v>1220</v>
      </c>
      <c r="G286" s="2" t="s">
        <v>300</v>
      </c>
      <c r="H286" s="2" t="s">
        <v>300</v>
      </c>
      <c r="I286" s="50" t="s">
        <v>1221</v>
      </c>
      <c r="J286" s="50" t="s">
        <v>3396</v>
      </c>
      <c r="L286" s="31">
        <v>1.0913677643984601</v>
      </c>
      <c r="M286" s="50" t="s">
        <v>1223</v>
      </c>
      <c r="N286" s="4"/>
      <c r="O286" s="44"/>
      <c r="P286" s="2"/>
      <c r="Q286"/>
      <c r="R286"/>
    </row>
    <row r="287" spans="1:18" x14ac:dyDescent="0.3">
      <c r="A287" s="3">
        <v>73388</v>
      </c>
      <c r="B287" s="3">
        <v>0</v>
      </c>
      <c r="C287" s="2" t="s">
        <v>632</v>
      </c>
      <c r="D287" s="45"/>
      <c r="E287" s="4" t="s">
        <v>632</v>
      </c>
      <c r="F287" s="50" t="s">
        <v>1161</v>
      </c>
      <c r="G287" s="2" t="s">
        <v>300</v>
      </c>
      <c r="H287" s="2" t="s">
        <v>300</v>
      </c>
      <c r="I287" s="50" t="s">
        <v>1162</v>
      </c>
      <c r="J287" s="50" t="s">
        <v>3399</v>
      </c>
      <c r="L287" s="31">
        <v>2.50180809013546</v>
      </c>
      <c r="M287" s="50" t="s">
        <v>1164</v>
      </c>
      <c r="N287" s="4"/>
      <c r="O287" s="44"/>
      <c r="P287" s="2"/>
      <c r="Q287"/>
      <c r="R287"/>
    </row>
    <row r="288" spans="1:18" x14ac:dyDescent="0.3">
      <c r="A288" s="3">
        <v>73610</v>
      </c>
      <c r="B288" s="3">
        <v>0</v>
      </c>
      <c r="C288" s="2" t="s">
        <v>632</v>
      </c>
      <c r="D288" s="45"/>
      <c r="E288" s="4" t="s">
        <v>632</v>
      </c>
      <c r="F288" s="50" t="s">
        <v>705</v>
      </c>
      <c r="G288" s="2" t="s">
        <v>300</v>
      </c>
      <c r="H288" s="2" t="s">
        <v>300</v>
      </c>
      <c r="I288" s="50" t="s">
        <v>1037</v>
      </c>
      <c r="J288" s="50" t="s">
        <v>3398</v>
      </c>
      <c r="L288" s="31">
        <v>3.9357001967728098</v>
      </c>
      <c r="M288" s="50"/>
      <c r="N288" s="4">
        <v>316</v>
      </c>
      <c r="O288" s="44"/>
      <c r="P288" s="2"/>
      <c r="Q288"/>
      <c r="R288"/>
    </row>
    <row r="289" spans="1:18" x14ac:dyDescent="0.3">
      <c r="A289" s="3">
        <v>73478</v>
      </c>
      <c r="B289" s="3">
        <v>0</v>
      </c>
      <c r="C289" s="2" t="s">
        <v>632</v>
      </c>
      <c r="D289" s="45"/>
      <c r="E289" s="4" t="s">
        <v>632</v>
      </c>
      <c r="F289" s="50" t="s">
        <v>1183</v>
      </c>
      <c r="G289" s="2" t="s">
        <v>323</v>
      </c>
      <c r="H289" s="2" t="s">
        <v>323</v>
      </c>
      <c r="I289" s="50" t="s">
        <v>1184</v>
      </c>
      <c r="J289" s="50" t="s">
        <v>3400</v>
      </c>
      <c r="K289" s="4">
        <v>4.1399999999999997</v>
      </c>
      <c r="L289" s="31">
        <v>1.31916439533234</v>
      </c>
      <c r="M289" s="50" t="s">
        <v>1186</v>
      </c>
      <c r="N289" s="4"/>
      <c r="O289" s="44"/>
      <c r="P289" s="2"/>
      <c r="Q289"/>
      <c r="R289"/>
    </row>
    <row r="290" spans="1:18" x14ac:dyDescent="0.3">
      <c r="A290" s="3">
        <v>73566</v>
      </c>
      <c r="B290" s="3">
        <v>0</v>
      </c>
      <c r="C290" s="2" t="s">
        <v>632</v>
      </c>
      <c r="D290" s="45"/>
      <c r="E290" s="4" t="s">
        <v>632</v>
      </c>
      <c r="F290" s="50" t="s">
        <v>693</v>
      </c>
      <c r="G290" s="2" t="s">
        <v>300</v>
      </c>
      <c r="H290" s="2" t="s">
        <v>300</v>
      </c>
      <c r="I290" s="50" t="s">
        <v>1224</v>
      </c>
      <c r="J290" s="50" t="s">
        <v>3401</v>
      </c>
      <c r="L290" s="31">
        <v>2.59374959766865</v>
      </c>
      <c r="M290" s="50" t="s">
        <v>1226</v>
      </c>
      <c r="N290" s="4"/>
      <c r="O290" s="44"/>
      <c r="P290" s="2"/>
      <c r="Q290"/>
      <c r="R290"/>
    </row>
    <row r="291" spans="1:18" x14ac:dyDescent="0.3">
      <c r="A291" s="3">
        <v>73566</v>
      </c>
      <c r="B291" s="3">
        <v>1</v>
      </c>
      <c r="C291" s="2" t="s">
        <v>632</v>
      </c>
      <c r="D291" s="45"/>
      <c r="E291" s="4" t="s">
        <v>632</v>
      </c>
      <c r="F291" s="50" t="s">
        <v>1227</v>
      </c>
      <c r="G291" s="2" t="s">
        <v>300</v>
      </c>
      <c r="H291" s="2" t="s">
        <v>300</v>
      </c>
      <c r="I291" s="50" t="s">
        <v>1224</v>
      </c>
      <c r="J291" s="50" t="s">
        <v>3403</v>
      </c>
      <c r="L291" s="31">
        <v>0</v>
      </c>
      <c r="M291" s="50" t="s">
        <v>1228</v>
      </c>
      <c r="N291" s="4"/>
      <c r="O291" s="44"/>
      <c r="P291" s="2"/>
      <c r="Q291"/>
      <c r="R291"/>
    </row>
    <row r="292" spans="1:18" x14ac:dyDescent="0.3">
      <c r="A292" s="3">
        <v>73580</v>
      </c>
      <c r="B292" s="3">
        <v>0</v>
      </c>
      <c r="C292" s="2" t="s">
        <v>632</v>
      </c>
      <c r="D292" s="45"/>
      <c r="E292" s="4" t="s">
        <v>632</v>
      </c>
      <c r="F292" s="50" t="s">
        <v>699</v>
      </c>
      <c r="G292" s="2" t="s">
        <v>303</v>
      </c>
      <c r="H292" s="2" t="s">
        <v>303</v>
      </c>
      <c r="I292" s="50" t="s">
        <v>1239</v>
      </c>
      <c r="J292" s="50" t="s">
        <v>3404</v>
      </c>
      <c r="L292" s="31">
        <v>1.75200007669628</v>
      </c>
      <c r="M292" s="50"/>
      <c r="N292" s="4"/>
      <c r="O292" s="44"/>
      <c r="P292" s="2"/>
      <c r="Q292"/>
      <c r="R292"/>
    </row>
    <row r="293" spans="1:18" x14ac:dyDescent="0.3">
      <c r="A293" s="3">
        <v>70897</v>
      </c>
      <c r="B293" s="3">
        <v>3</v>
      </c>
      <c r="C293" s="2" t="s">
        <v>632</v>
      </c>
      <c r="D293" s="45"/>
      <c r="E293" s="4" t="s">
        <v>632</v>
      </c>
      <c r="F293" s="50" t="s">
        <v>637</v>
      </c>
      <c r="G293" s="2" t="s">
        <v>300</v>
      </c>
      <c r="H293" s="2" t="s">
        <v>300</v>
      </c>
      <c r="I293" s="50" t="s">
        <v>1288</v>
      </c>
      <c r="J293" s="50" t="s">
        <v>3406</v>
      </c>
      <c r="K293" s="4">
        <v>4.9800000000000004</v>
      </c>
      <c r="L293" s="31">
        <v>3.41435278952122</v>
      </c>
      <c r="M293" s="50"/>
      <c r="N293" s="4"/>
      <c r="O293" s="44"/>
      <c r="P293" s="2"/>
      <c r="Q293"/>
      <c r="R293"/>
    </row>
    <row r="294" spans="1:18" x14ac:dyDescent="0.3">
      <c r="A294" s="3">
        <v>73543</v>
      </c>
      <c r="B294" s="3">
        <v>0</v>
      </c>
      <c r="C294" s="2" t="s">
        <v>632</v>
      </c>
      <c r="D294" s="45"/>
      <c r="E294" s="4" t="s">
        <v>632</v>
      </c>
      <c r="F294" s="50" t="s">
        <v>683</v>
      </c>
      <c r="G294" s="2" t="s">
        <v>300</v>
      </c>
      <c r="H294" s="2" t="s">
        <v>300</v>
      </c>
      <c r="I294" s="50" t="s">
        <v>1216</v>
      </c>
      <c r="J294" s="50" t="s">
        <v>3405</v>
      </c>
      <c r="K294" s="4">
        <v>10.7</v>
      </c>
      <c r="L294" s="31">
        <v>4.1342278998345101</v>
      </c>
      <c r="M294" s="50"/>
      <c r="N294" s="4"/>
      <c r="O294" s="44"/>
      <c r="P294" s="2"/>
      <c r="Q294"/>
      <c r="R294"/>
    </row>
    <row r="295" spans="1:18" x14ac:dyDescent="0.3">
      <c r="A295" s="3">
        <v>73476</v>
      </c>
      <c r="B295" s="3">
        <v>0</v>
      </c>
      <c r="C295" s="2" t="s">
        <v>632</v>
      </c>
      <c r="D295" s="45"/>
      <c r="E295" s="4" t="s">
        <v>632</v>
      </c>
      <c r="F295" s="50" t="s">
        <v>667</v>
      </c>
      <c r="G295" s="2" t="s">
        <v>303</v>
      </c>
      <c r="H295" s="2" t="s">
        <v>303</v>
      </c>
      <c r="I295" s="50" t="s">
        <v>1178</v>
      </c>
      <c r="J295" s="50" t="s">
        <v>3402</v>
      </c>
      <c r="K295" s="4">
        <v>5.68</v>
      </c>
      <c r="L295" s="31">
        <v>2.4402707666158698</v>
      </c>
      <c r="M295" s="50"/>
      <c r="N295" s="4"/>
      <c r="O295" s="44"/>
      <c r="P295" s="2"/>
      <c r="Q295"/>
      <c r="R295"/>
    </row>
    <row r="296" spans="1:18" x14ac:dyDescent="0.3">
      <c r="A296" s="3">
        <v>73539</v>
      </c>
      <c r="B296" s="3">
        <v>0</v>
      </c>
      <c r="C296" s="2" t="s">
        <v>632</v>
      </c>
      <c r="D296" s="45"/>
      <c r="E296" s="4" t="s">
        <v>632</v>
      </c>
      <c r="F296" s="50" t="s">
        <v>679</v>
      </c>
      <c r="G296" s="2" t="s">
        <v>303</v>
      </c>
      <c r="H296" s="2" t="s">
        <v>303</v>
      </c>
      <c r="I296" s="50" t="s">
        <v>987</v>
      </c>
      <c r="J296" s="50" t="s">
        <v>3408</v>
      </c>
      <c r="K296" s="4">
        <v>5.66</v>
      </c>
      <c r="L296" s="31">
        <v>28.4337666537613</v>
      </c>
      <c r="M296" s="50"/>
      <c r="N296" s="4"/>
      <c r="O296" s="44"/>
      <c r="P296" s="2"/>
      <c r="Q296"/>
      <c r="R296"/>
    </row>
    <row r="297" spans="1:18" x14ac:dyDescent="0.3">
      <c r="A297" s="3">
        <v>99031</v>
      </c>
      <c r="B297" s="3">
        <v>148</v>
      </c>
      <c r="C297" s="2" t="s">
        <v>632</v>
      </c>
      <c r="D297" s="45"/>
      <c r="E297" s="4" t="s">
        <v>632</v>
      </c>
      <c r="F297" s="50" t="s">
        <v>721</v>
      </c>
      <c r="G297" s="2" t="s">
        <v>300</v>
      </c>
      <c r="H297" s="2" t="s">
        <v>300</v>
      </c>
      <c r="I297" s="50" t="s">
        <v>1171</v>
      </c>
      <c r="J297" s="50" t="s">
        <v>3407</v>
      </c>
      <c r="K297" s="4">
        <v>13.59</v>
      </c>
      <c r="L297" s="31">
        <v>0.79678529687225796</v>
      </c>
      <c r="M297" s="50"/>
      <c r="N297" s="4"/>
      <c r="O297" s="44"/>
      <c r="P297" s="2"/>
      <c r="Q297"/>
      <c r="R297"/>
    </row>
    <row r="298" spans="1:18" x14ac:dyDescent="0.3">
      <c r="A298" s="3">
        <v>73368</v>
      </c>
      <c r="B298" s="3">
        <v>0</v>
      </c>
      <c r="C298" s="2" t="s">
        <v>632</v>
      </c>
      <c r="D298" s="45"/>
      <c r="E298" s="4" t="s">
        <v>632</v>
      </c>
      <c r="F298" s="50" t="s">
        <v>658</v>
      </c>
      <c r="G298" s="2" t="s">
        <v>303</v>
      </c>
      <c r="H298" s="2" t="s">
        <v>303</v>
      </c>
      <c r="I298" s="50" t="s">
        <v>917</v>
      </c>
      <c r="J298" s="50" t="s">
        <v>3411</v>
      </c>
      <c r="K298" s="4">
        <v>5.52</v>
      </c>
      <c r="L298" s="31">
        <v>74.079382346943007</v>
      </c>
      <c r="M298" s="50"/>
      <c r="N298" s="4"/>
      <c r="O298" s="44">
        <v>45737.583333333336</v>
      </c>
      <c r="P298" s="2"/>
      <c r="Q298"/>
      <c r="R298"/>
    </row>
    <row r="299" spans="1:18" x14ac:dyDescent="0.3">
      <c r="A299" s="3">
        <v>99031</v>
      </c>
      <c r="B299" s="3">
        <v>94</v>
      </c>
      <c r="C299" s="2" t="s">
        <v>632</v>
      </c>
      <c r="D299" s="45"/>
      <c r="E299" s="4" t="s">
        <v>632</v>
      </c>
      <c r="F299" s="50" t="s">
        <v>717</v>
      </c>
      <c r="G299" s="2" t="s">
        <v>300</v>
      </c>
      <c r="H299" s="2" t="s">
        <v>300</v>
      </c>
      <c r="I299" s="50" t="s">
        <v>1324</v>
      </c>
      <c r="J299" s="50" t="s">
        <v>3410</v>
      </c>
      <c r="K299" s="4">
        <v>18.2</v>
      </c>
      <c r="L299" s="31">
        <v>0.37776010669767901</v>
      </c>
      <c r="M299" s="50"/>
      <c r="N299" s="4"/>
      <c r="O299" s="44"/>
      <c r="P299" s="2"/>
      <c r="Q299"/>
      <c r="R299"/>
    </row>
    <row r="300" spans="1:18" x14ac:dyDescent="0.3">
      <c r="A300" s="3">
        <v>73522</v>
      </c>
      <c r="B300" s="3">
        <v>0</v>
      </c>
      <c r="C300" s="2" t="s">
        <v>632</v>
      </c>
      <c r="D300" s="45"/>
      <c r="E300" s="4" t="s">
        <v>632</v>
      </c>
      <c r="F300" s="50" t="s">
        <v>677</v>
      </c>
      <c r="G300" s="2" t="s">
        <v>300</v>
      </c>
      <c r="H300" s="2" t="s">
        <v>300</v>
      </c>
      <c r="I300" s="50" t="s">
        <v>964</v>
      </c>
      <c r="J300" s="50" t="s">
        <v>3409</v>
      </c>
      <c r="K300" s="4">
        <v>6.39</v>
      </c>
      <c r="L300" s="31">
        <v>28.536343131214402</v>
      </c>
      <c r="M300" s="50"/>
      <c r="N300" s="4"/>
      <c r="O300" s="44"/>
      <c r="P300" s="2"/>
      <c r="Q300"/>
      <c r="R300"/>
    </row>
    <row r="301" spans="1:18" x14ac:dyDescent="0.3">
      <c r="A301" s="3">
        <v>73289</v>
      </c>
      <c r="B301" s="3">
        <v>0</v>
      </c>
      <c r="C301" s="2" t="s">
        <v>641</v>
      </c>
      <c r="D301" s="45"/>
      <c r="E301" s="4" t="s">
        <v>630</v>
      </c>
      <c r="F301" s="50" t="s">
        <v>596</v>
      </c>
      <c r="G301" s="2" t="s">
        <v>300</v>
      </c>
      <c r="H301" s="2" t="s">
        <v>300</v>
      </c>
      <c r="I301" s="50" t="s">
        <v>1153</v>
      </c>
      <c r="J301" s="50" t="s">
        <v>3531</v>
      </c>
      <c r="K301" s="4">
        <v>7.32</v>
      </c>
      <c r="L301" s="31">
        <v>10.502439962705299</v>
      </c>
      <c r="M301" s="50"/>
      <c r="N301" s="4">
        <v>12</v>
      </c>
      <c r="O301" s="44">
        <v>45737.333333333336</v>
      </c>
      <c r="P301" s="2"/>
      <c r="Q301"/>
      <c r="R301"/>
    </row>
    <row r="302" spans="1:18" x14ac:dyDescent="0.3">
      <c r="A302" s="3">
        <v>70559</v>
      </c>
      <c r="B302" s="3">
        <v>0</v>
      </c>
      <c r="C302" s="2" t="s">
        <v>641</v>
      </c>
      <c r="D302" s="45"/>
      <c r="E302" s="4" t="s">
        <v>641</v>
      </c>
      <c r="F302" s="50" t="s">
        <v>1268</v>
      </c>
      <c r="G302" s="2" t="s">
        <v>323</v>
      </c>
      <c r="H302" s="2" t="s">
        <v>323</v>
      </c>
      <c r="I302" s="50" t="s">
        <v>1269</v>
      </c>
      <c r="J302" s="50" t="s">
        <v>3083</v>
      </c>
      <c r="K302" s="4">
        <v>7.37</v>
      </c>
      <c r="L302" s="31">
        <v>1.2859709187963499</v>
      </c>
      <c r="M302" s="50"/>
      <c r="N302" s="4"/>
      <c r="O302" s="44">
        <v>45737.333333333336</v>
      </c>
      <c r="P302" s="2"/>
      <c r="Q302"/>
      <c r="R302"/>
    </row>
    <row r="303" spans="1:18" x14ac:dyDescent="0.3">
      <c r="A303" s="3">
        <v>73569</v>
      </c>
      <c r="B303" s="3">
        <v>0</v>
      </c>
      <c r="C303" s="2" t="s">
        <v>641</v>
      </c>
      <c r="D303" s="45"/>
      <c r="E303" s="4" t="s">
        <v>630</v>
      </c>
      <c r="F303" s="50" t="s">
        <v>602</v>
      </c>
      <c r="G303" s="2" t="s">
        <v>300</v>
      </c>
      <c r="H303" s="2" t="s">
        <v>300</v>
      </c>
      <c r="I303" s="50" t="s">
        <v>1007</v>
      </c>
      <c r="J303" s="50" t="s">
        <v>3520</v>
      </c>
      <c r="L303" s="31">
        <v>18.7592168522295</v>
      </c>
      <c r="M303" s="50" t="s">
        <v>1009</v>
      </c>
      <c r="N303" s="4">
        <v>24</v>
      </c>
      <c r="O303" s="44"/>
      <c r="P303" s="2"/>
      <c r="Q303"/>
      <c r="R303"/>
    </row>
    <row r="304" spans="1:18" x14ac:dyDescent="0.3">
      <c r="A304" s="3">
        <v>73020</v>
      </c>
      <c r="B304" s="3">
        <v>0</v>
      </c>
      <c r="C304" s="2" t="s">
        <v>641</v>
      </c>
      <c r="D304" s="45"/>
      <c r="E304" s="4" t="s">
        <v>641</v>
      </c>
      <c r="F304" s="50" t="s">
        <v>1301</v>
      </c>
      <c r="G304" s="2" t="s">
        <v>354</v>
      </c>
      <c r="H304" s="2" t="s">
        <v>354</v>
      </c>
      <c r="I304" s="50" t="s">
        <v>1302</v>
      </c>
      <c r="J304" s="50" t="s">
        <v>3412</v>
      </c>
      <c r="L304" s="31">
        <v>1.29634250090581</v>
      </c>
      <c r="M304" s="50"/>
      <c r="N304" s="4"/>
      <c r="O304" s="44">
        <v>45737.333333333336</v>
      </c>
      <c r="P304" s="2"/>
      <c r="Q304"/>
      <c r="R304"/>
    </row>
    <row r="305" spans="1:18" x14ac:dyDescent="0.3">
      <c r="A305" s="3">
        <v>71425</v>
      </c>
      <c r="B305" s="3">
        <v>0</v>
      </c>
      <c r="C305" s="2" t="s">
        <v>641</v>
      </c>
      <c r="D305" s="45"/>
      <c r="E305" s="4" t="s">
        <v>641</v>
      </c>
      <c r="F305" s="50" t="s">
        <v>1300</v>
      </c>
      <c r="G305" s="2" t="s">
        <v>300</v>
      </c>
      <c r="H305" s="2" t="s">
        <v>300</v>
      </c>
      <c r="I305" s="50" t="s">
        <v>1190</v>
      </c>
      <c r="J305" s="50" t="s">
        <v>3521</v>
      </c>
      <c r="L305" s="31">
        <v>1.29634250090581</v>
      </c>
      <c r="M305" s="50"/>
      <c r="N305" s="4">
        <v>0</v>
      </c>
      <c r="O305" s="44">
        <v>45737.333333333336</v>
      </c>
      <c r="P305" s="2"/>
      <c r="Q305"/>
      <c r="R305"/>
    </row>
    <row r="306" spans="1:18" x14ac:dyDescent="0.3">
      <c r="A306" s="3">
        <v>73107</v>
      </c>
      <c r="B306" s="3">
        <v>0</v>
      </c>
      <c r="C306" s="2" t="s">
        <v>641</v>
      </c>
      <c r="D306" s="45"/>
      <c r="E306" s="4" t="s">
        <v>641</v>
      </c>
      <c r="F306" s="50" t="s">
        <v>654</v>
      </c>
      <c r="G306" s="2" t="s">
        <v>300</v>
      </c>
      <c r="H306" s="2" t="s">
        <v>300</v>
      </c>
      <c r="I306" s="50" t="s">
        <v>1310</v>
      </c>
      <c r="J306" s="50" t="s">
        <v>3524</v>
      </c>
      <c r="K306" s="4">
        <v>5</v>
      </c>
      <c r="L306" s="31">
        <v>0</v>
      </c>
      <c r="M306" s="50"/>
      <c r="N306" s="4">
        <v>0</v>
      </c>
      <c r="O306" s="44">
        <v>45737.333333333336</v>
      </c>
      <c r="P306" s="2"/>
      <c r="Q306"/>
      <c r="R306"/>
    </row>
    <row r="307" spans="1:18" x14ac:dyDescent="0.3">
      <c r="A307" s="3">
        <v>73523</v>
      </c>
      <c r="B307" s="3">
        <v>1</v>
      </c>
      <c r="C307" s="2" t="s">
        <v>641</v>
      </c>
      <c r="D307" s="45"/>
      <c r="E307" s="4" t="s">
        <v>630</v>
      </c>
      <c r="F307" s="50" t="s">
        <v>604</v>
      </c>
      <c r="G307" s="2" t="s">
        <v>300</v>
      </c>
      <c r="H307" s="2" t="s">
        <v>300</v>
      </c>
      <c r="I307" s="50" t="s">
        <v>968</v>
      </c>
      <c r="J307" s="50" t="s">
        <v>3502</v>
      </c>
      <c r="K307" s="4">
        <v>7.16</v>
      </c>
      <c r="L307" s="31">
        <v>0.38146736697629502</v>
      </c>
      <c r="M307" s="50"/>
      <c r="N307" s="4"/>
      <c r="O307" s="44"/>
      <c r="P307" s="2"/>
      <c r="Q307"/>
      <c r="R307"/>
    </row>
    <row r="308" spans="1:18" x14ac:dyDescent="0.3">
      <c r="A308" s="3">
        <v>73277</v>
      </c>
      <c r="B308" s="3">
        <v>0</v>
      </c>
      <c r="C308" s="2" t="s">
        <v>641</v>
      </c>
      <c r="D308" s="45"/>
      <c r="E308" s="4" t="s">
        <v>641</v>
      </c>
      <c r="F308" s="50" t="s">
        <v>1328</v>
      </c>
      <c r="G308" s="2" t="s">
        <v>300</v>
      </c>
      <c r="H308" s="2" t="s">
        <v>300</v>
      </c>
      <c r="I308" s="50" t="s">
        <v>1329</v>
      </c>
      <c r="J308" s="50" t="s">
        <v>3526</v>
      </c>
      <c r="K308" s="4">
        <v>0.35</v>
      </c>
      <c r="L308" s="31">
        <v>0</v>
      </c>
      <c r="M308" s="50"/>
      <c r="N308" s="4"/>
      <c r="O308" s="44">
        <v>45737.333333333336</v>
      </c>
      <c r="P308" s="2"/>
      <c r="Q308"/>
      <c r="R308"/>
    </row>
    <row r="309" spans="1:18" x14ac:dyDescent="0.3">
      <c r="A309" s="3">
        <v>73495</v>
      </c>
      <c r="B309" s="3">
        <v>0</v>
      </c>
      <c r="C309" s="2" t="s">
        <v>641</v>
      </c>
      <c r="D309" s="45"/>
      <c r="E309" s="4" t="s">
        <v>641</v>
      </c>
      <c r="F309" s="50" t="s">
        <v>669</v>
      </c>
      <c r="G309" s="2" t="s">
        <v>300</v>
      </c>
      <c r="H309" s="2" t="s">
        <v>300</v>
      </c>
      <c r="I309" s="50" t="s">
        <v>1190</v>
      </c>
      <c r="J309" s="50" t="s">
        <v>3528</v>
      </c>
      <c r="K309" s="4">
        <v>0.25</v>
      </c>
      <c r="L309" s="31">
        <v>0</v>
      </c>
      <c r="M309" s="50"/>
      <c r="N309" s="4">
        <v>0</v>
      </c>
      <c r="O309" s="44">
        <v>45737.333333333336</v>
      </c>
      <c r="P309" s="2"/>
      <c r="Q309"/>
      <c r="R309"/>
    </row>
    <row r="310" spans="1:18" x14ac:dyDescent="0.3">
      <c r="A310" s="3">
        <v>99047</v>
      </c>
      <c r="B310" s="3">
        <v>9</v>
      </c>
      <c r="C310" s="2" t="s">
        <v>641</v>
      </c>
      <c r="D310" s="45"/>
      <c r="E310" s="4" t="s">
        <v>630</v>
      </c>
      <c r="F310" s="50" t="s">
        <v>878</v>
      </c>
      <c r="G310" s="2" t="s">
        <v>302</v>
      </c>
      <c r="H310" s="2" t="s">
        <v>302</v>
      </c>
      <c r="I310" s="50" t="s">
        <v>1120</v>
      </c>
      <c r="J310" s="50" t="s">
        <v>3085</v>
      </c>
      <c r="K310" s="4">
        <v>10.92</v>
      </c>
      <c r="L310" s="31">
        <v>19.110277481898599</v>
      </c>
      <c r="M310" s="50"/>
      <c r="N310" s="4"/>
      <c r="O310" s="44"/>
      <c r="P310" s="2"/>
      <c r="Q310"/>
      <c r="R310"/>
    </row>
    <row r="311" spans="1:18" x14ac:dyDescent="0.3">
      <c r="A311" s="3">
        <v>70024</v>
      </c>
      <c r="B311" s="3">
        <v>0</v>
      </c>
      <c r="C311" s="2" t="s">
        <v>641</v>
      </c>
      <c r="D311" s="45"/>
      <c r="E311" s="4" t="s">
        <v>630</v>
      </c>
      <c r="F311" s="50" t="s">
        <v>594</v>
      </c>
      <c r="G311" s="2" t="s">
        <v>300</v>
      </c>
      <c r="H311" s="2" t="s">
        <v>300</v>
      </c>
      <c r="I311" s="50" t="s">
        <v>1052</v>
      </c>
      <c r="J311" s="50" t="s">
        <v>3529</v>
      </c>
      <c r="K311" s="4">
        <v>5.4</v>
      </c>
      <c r="L311" s="31">
        <v>14.2470021737699</v>
      </c>
      <c r="M311" s="50"/>
      <c r="N311" s="4">
        <v>41</v>
      </c>
      <c r="O311" s="44"/>
      <c r="P311" s="2"/>
      <c r="Q311"/>
      <c r="R311"/>
    </row>
    <row r="312" spans="1:18" x14ac:dyDescent="0.3">
      <c r="A312" s="3">
        <v>73549</v>
      </c>
      <c r="B312" s="3">
        <v>0</v>
      </c>
      <c r="C312" s="2" t="s">
        <v>641</v>
      </c>
      <c r="D312" s="45"/>
      <c r="E312" s="4" t="s">
        <v>630</v>
      </c>
      <c r="F312" s="50" t="s">
        <v>687</v>
      </c>
      <c r="G312" s="2" t="s">
        <v>303</v>
      </c>
      <c r="H312" s="2" t="s">
        <v>303</v>
      </c>
      <c r="I312" s="50" t="s">
        <v>991</v>
      </c>
      <c r="J312" s="50" t="s">
        <v>3501</v>
      </c>
      <c r="K312" s="4">
        <v>10.69</v>
      </c>
      <c r="L312" s="31">
        <v>18.9128931926913</v>
      </c>
      <c r="M312" s="50"/>
      <c r="N312" s="4"/>
      <c r="O312" s="44"/>
      <c r="P312" s="2"/>
      <c r="Q312"/>
      <c r="R312"/>
    </row>
    <row r="313" spans="1:18" x14ac:dyDescent="0.3">
      <c r="A313" s="3">
        <v>73535</v>
      </c>
      <c r="B313" s="3">
        <v>0</v>
      </c>
      <c r="C313" s="2" t="s">
        <v>641</v>
      </c>
      <c r="D313" s="45"/>
      <c r="E313" s="4" t="s">
        <v>630</v>
      </c>
      <c r="F313" s="50" t="s">
        <v>880</v>
      </c>
      <c r="G313" s="2" t="s">
        <v>302</v>
      </c>
      <c r="H313" s="2" t="s">
        <v>302</v>
      </c>
      <c r="I313" s="50" t="s">
        <v>985</v>
      </c>
      <c r="J313" s="50" t="s">
        <v>3503</v>
      </c>
      <c r="K313" s="4">
        <v>10.029999999999999</v>
      </c>
      <c r="L313" s="31">
        <v>14.6263319219943</v>
      </c>
      <c r="M313" s="50"/>
      <c r="N313" s="4"/>
      <c r="O313" s="44"/>
      <c r="P313" s="2"/>
      <c r="Q313"/>
      <c r="R313"/>
    </row>
    <row r="314" spans="1:18" x14ac:dyDescent="0.3">
      <c r="A314" s="3">
        <v>71255</v>
      </c>
      <c r="B314" s="3">
        <v>0</v>
      </c>
      <c r="C314" s="2" t="s">
        <v>641</v>
      </c>
      <c r="D314" s="45"/>
      <c r="E314" s="4" t="s">
        <v>630</v>
      </c>
      <c r="F314" s="50" t="s">
        <v>648</v>
      </c>
      <c r="G314" s="2" t="s">
        <v>298</v>
      </c>
      <c r="H314" s="2" t="s">
        <v>298</v>
      </c>
      <c r="I314" s="50" t="s">
        <v>1122</v>
      </c>
      <c r="J314" s="50" t="s">
        <v>3413</v>
      </c>
      <c r="K314" s="4">
        <v>9.32</v>
      </c>
      <c r="L314" s="31">
        <v>0.36674328782743298</v>
      </c>
      <c r="M314" s="50"/>
      <c r="N314" s="4"/>
      <c r="O314" s="44"/>
      <c r="P314" s="2"/>
      <c r="Q314"/>
      <c r="R314"/>
    </row>
    <row r="315" spans="1:18" x14ac:dyDescent="0.3">
      <c r="A315" s="3">
        <v>73413</v>
      </c>
      <c r="B315" s="3">
        <v>0</v>
      </c>
      <c r="C315" s="2" t="s">
        <v>641</v>
      </c>
      <c r="D315" s="45"/>
      <c r="E315" s="4" t="s">
        <v>630</v>
      </c>
      <c r="F315" s="50" t="s">
        <v>590</v>
      </c>
      <c r="G315" s="2" t="s">
        <v>300</v>
      </c>
      <c r="H315" s="2" t="s">
        <v>300</v>
      </c>
      <c r="I315" s="50" t="s">
        <v>926</v>
      </c>
      <c r="J315" s="50" t="s">
        <v>3505</v>
      </c>
      <c r="K315" s="4">
        <v>9.58</v>
      </c>
      <c r="L315" s="31">
        <v>0.40521097659740202</v>
      </c>
      <c r="M315" s="50"/>
      <c r="N315" s="4">
        <v>113</v>
      </c>
      <c r="O315" s="44"/>
      <c r="P315" s="2"/>
      <c r="Q315"/>
      <c r="R315"/>
    </row>
    <row r="316" spans="1:18" x14ac:dyDescent="0.3">
      <c r="A316" s="3">
        <v>71251</v>
      </c>
      <c r="B316" s="3">
        <v>0</v>
      </c>
      <c r="C316" s="2" t="s">
        <v>641</v>
      </c>
      <c r="D316" s="45"/>
      <c r="E316" s="4" t="s">
        <v>630</v>
      </c>
      <c r="F316" s="50" t="s">
        <v>877</v>
      </c>
      <c r="G316" s="2" t="s">
        <v>303</v>
      </c>
      <c r="H316" s="2" t="s">
        <v>303</v>
      </c>
      <c r="I316" s="50" t="s">
        <v>1118</v>
      </c>
      <c r="J316" s="50" t="s">
        <v>3504</v>
      </c>
      <c r="L316" s="31">
        <v>0.58363996057701695</v>
      </c>
      <c r="M316" s="50"/>
      <c r="N316" s="4">
        <v>0</v>
      </c>
      <c r="O316" s="44"/>
      <c r="P316" s="2"/>
      <c r="Q316"/>
      <c r="R316"/>
    </row>
    <row r="317" spans="1:18" x14ac:dyDescent="0.3">
      <c r="A317" s="3">
        <v>73540</v>
      </c>
      <c r="B317" s="3">
        <v>0</v>
      </c>
      <c r="C317" s="2" t="s">
        <v>641</v>
      </c>
      <c r="D317" s="45"/>
      <c r="E317" s="4" t="s">
        <v>630</v>
      </c>
      <c r="F317" s="50" t="s">
        <v>681</v>
      </c>
      <c r="G317" s="2" t="s">
        <v>302</v>
      </c>
      <c r="H317" s="2" t="s">
        <v>302</v>
      </c>
      <c r="I317" s="50" t="s">
        <v>989</v>
      </c>
      <c r="J317" s="50" t="s">
        <v>3414</v>
      </c>
      <c r="K317" s="4">
        <v>5.76</v>
      </c>
      <c r="L317" s="31">
        <v>0.20283336495487</v>
      </c>
      <c r="M317" s="50" t="s">
        <v>3142</v>
      </c>
      <c r="N317" s="4"/>
      <c r="O317" s="44"/>
      <c r="P317" s="2"/>
      <c r="Q317"/>
      <c r="R317"/>
    </row>
    <row r="318" spans="1:18" x14ac:dyDescent="0.3">
      <c r="A318" s="3">
        <v>99031</v>
      </c>
      <c r="B318" s="3">
        <v>104</v>
      </c>
      <c r="C318" s="2" t="s">
        <v>641</v>
      </c>
      <c r="D318" s="45"/>
      <c r="E318" s="4" t="s">
        <v>630</v>
      </c>
      <c r="F318" s="50" t="s">
        <v>610</v>
      </c>
      <c r="G318" s="2" t="s">
        <v>300</v>
      </c>
      <c r="H318" s="2" t="s">
        <v>300</v>
      </c>
      <c r="I318" s="50" t="s">
        <v>1155</v>
      </c>
      <c r="J318" s="50" t="s">
        <v>3506</v>
      </c>
      <c r="K318" s="4">
        <v>10.53</v>
      </c>
      <c r="L318" s="31">
        <v>0.116876671803169</v>
      </c>
      <c r="M318" s="50"/>
      <c r="N318" s="4"/>
      <c r="O318" s="44"/>
      <c r="P318" s="2"/>
      <c r="Q318"/>
      <c r="R318"/>
    </row>
    <row r="319" spans="1:18" x14ac:dyDescent="0.3">
      <c r="A319" s="3">
        <v>99126</v>
      </c>
      <c r="B319" s="3">
        <v>3</v>
      </c>
      <c r="C319" s="2" t="s">
        <v>641</v>
      </c>
      <c r="D319" s="45"/>
      <c r="E319" s="4" t="s">
        <v>630</v>
      </c>
      <c r="F319" s="50" t="s">
        <v>863</v>
      </c>
      <c r="G319" s="2" t="s">
        <v>323</v>
      </c>
      <c r="H319" s="2" t="s">
        <v>323</v>
      </c>
      <c r="I319" s="50" t="s">
        <v>1095</v>
      </c>
      <c r="J319" s="50" t="s">
        <v>3507</v>
      </c>
      <c r="K319" s="4">
        <v>2.96</v>
      </c>
      <c r="L319" s="31">
        <v>14.5984154934789</v>
      </c>
      <c r="M319" s="50"/>
      <c r="N319" s="4"/>
      <c r="O319" s="44"/>
      <c r="P319" s="2"/>
      <c r="Q319"/>
      <c r="R319"/>
    </row>
    <row r="320" spans="1:18" x14ac:dyDescent="0.3">
      <c r="A320" s="3">
        <v>99212</v>
      </c>
      <c r="B320" s="3">
        <v>0</v>
      </c>
      <c r="C320" s="2" t="s">
        <v>641</v>
      </c>
      <c r="D320" s="45"/>
      <c r="E320" s="4" t="s">
        <v>630</v>
      </c>
      <c r="F320" s="50" t="s">
        <v>862</v>
      </c>
      <c r="G320" s="2" t="s">
        <v>323</v>
      </c>
      <c r="H320" s="2" t="s">
        <v>323</v>
      </c>
      <c r="I320" s="50" t="s">
        <v>1132</v>
      </c>
      <c r="J320" s="50" t="s">
        <v>3510</v>
      </c>
      <c r="K320" s="4">
        <v>7.68</v>
      </c>
      <c r="L320" s="31">
        <v>0.912634016185223</v>
      </c>
      <c r="M320" s="50"/>
      <c r="N320" s="4"/>
      <c r="O320" s="44"/>
      <c r="P320" s="2"/>
      <c r="Q320"/>
      <c r="R320"/>
    </row>
    <row r="321" spans="1:18" x14ac:dyDescent="0.3">
      <c r="A321" s="3">
        <v>73404</v>
      </c>
      <c r="B321" s="3">
        <v>2</v>
      </c>
      <c r="C321" s="2" t="s">
        <v>641</v>
      </c>
      <c r="D321" s="45"/>
      <c r="E321" s="4" t="s">
        <v>630</v>
      </c>
      <c r="F321" s="50" t="s">
        <v>866</v>
      </c>
      <c r="G321" s="2" t="s">
        <v>303</v>
      </c>
      <c r="H321" s="2" t="s">
        <v>303</v>
      </c>
      <c r="I321" s="50" t="s">
        <v>1097</v>
      </c>
      <c r="J321" s="50" t="s">
        <v>3512</v>
      </c>
      <c r="K321" s="4">
        <v>10.6</v>
      </c>
      <c r="L321" s="31">
        <v>0.292302166808042</v>
      </c>
      <c r="M321" s="50"/>
      <c r="N321" s="4"/>
      <c r="O321" s="44"/>
      <c r="P321" s="2"/>
      <c r="Q321"/>
      <c r="R321"/>
    </row>
    <row r="322" spans="1:18" x14ac:dyDescent="0.3">
      <c r="A322" s="3">
        <v>73590</v>
      </c>
      <c r="B322" s="3">
        <v>0</v>
      </c>
      <c r="C322" s="2" t="s">
        <v>641</v>
      </c>
      <c r="D322" s="45"/>
      <c r="E322" s="4" t="s">
        <v>630</v>
      </c>
      <c r="F322" s="50" t="s">
        <v>614</v>
      </c>
      <c r="G322" s="2" t="s">
        <v>300</v>
      </c>
      <c r="H322" s="2" t="s">
        <v>300</v>
      </c>
      <c r="I322" s="50" t="s">
        <v>1030</v>
      </c>
      <c r="J322" s="50" t="s">
        <v>3508</v>
      </c>
      <c r="L322" s="31">
        <v>1.3497457338746099</v>
      </c>
      <c r="M322" s="50"/>
      <c r="N322" s="4"/>
      <c r="O322" s="44"/>
      <c r="P322" s="2"/>
      <c r="Q322"/>
      <c r="R322"/>
    </row>
    <row r="323" spans="1:18" x14ac:dyDescent="0.3">
      <c r="A323" s="3">
        <v>99031</v>
      </c>
      <c r="B323" s="3">
        <v>92</v>
      </c>
      <c r="C323" s="2" t="s">
        <v>641</v>
      </c>
      <c r="D323" s="45"/>
      <c r="E323" s="4" t="s">
        <v>630</v>
      </c>
      <c r="F323" s="50" t="s">
        <v>628</v>
      </c>
      <c r="G323" s="2" t="s">
        <v>300</v>
      </c>
      <c r="H323" s="2" t="s">
        <v>300</v>
      </c>
      <c r="I323" s="50" t="s">
        <v>1145</v>
      </c>
      <c r="J323" s="50" t="s">
        <v>3513</v>
      </c>
      <c r="K323" s="4">
        <v>13.18</v>
      </c>
      <c r="L323" s="31">
        <v>0.26274091398215699</v>
      </c>
      <c r="M323" s="50"/>
      <c r="N323" s="4"/>
      <c r="O323" s="44"/>
      <c r="P323" s="2"/>
      <c r="Q323"/>
      <c r="R323"/>
    </row>
    <row r="324" spans="1:18" x14ac:dyDescent="0.3">
      <c r="A324" s="3">
        <v>73444</v>
      </c>
      <c r="B324" s="3">
        <v>0</v>
      </c>
      <c r="C324" s="2" t="s">
        <v>641</v>
      </c>
      <c r="D324" s="45"/>
      <c r="E324" s="4" t="s">
        <v>630</v>
      </c>
      <c r="F324" s="50" t="s">
        <v>616</v>
      </c>
      <c r="G324" s="2" t="s">
        <v>300</v>
      </c>
      <c r="H324" s="2" t="s">
        <v>300</v>
      </c>
      <c r="I324" s="50" t="s">
        <v>937</v>
      </c>
      <c r="J324" s="50" t="s">
        <v>3527</v>
      </c>
      <c r="K324" s="4">
        <v>6.03</v>
      </c>
      <c r="L324" s="31">
        <v>2.2961508791992702</v>
      </c>
      <c r="M324" s="50"/>
      <c r="N324" s="4">
        <v>19</v>
      </c>
      <c r="O324" s="44"/>
      <c r="P324" s="2"/>
      <c r="Q324"/>
      <c r="R324"/>
    </row>
    <row r="325" spans="1:18" x14ac:dyDescent="0.3">
      <c r="A325" s="3">
        <v>71146</v>
      </c>
      <c r="B325" s="3">
        <v>0</v>
      </c>
      <c r="C325" s="2" t="s">
        <v>641</v>
      </c>
      <c r="D325" s="45"/>
      <c r="E325" s="4" t="s">
        <v>630</v>
      </c>
      <c r="F325" s="50" t="s">
        <v>618</v>
      </c>
      <c r="G325" s="2" t="s">
        <v>300</v>
      </c>
      <c r="H325" s="2" t="s">
        <v>300</v>
      </c>
      <c r="I325" s="50" t="s">
        <v>1101</v>
      </c>
      <c r="J325" s="50" t="s">
        <v>3514</v>
      </c>
      <c r="K325" s="4">
        <v>3.92</v>
      </c>
      <c r="L325" s="31">
        <v>2.1311692077745199E-2</v>
      </c>
      <c r="M325" s="50"/>
      <c r="N325" s="4">
        <v>1</v>
      </c>
      <c r="O325" s="44"/>
      <c r="P325" s="2"/>
      <c r="Q325"/>
      <c r="R325"/>
    </row>
    <row r="326" spans="1:18" x14ac:dyDescent="0.3">
      <c r="A326" s="3">
        <v>71163</v>
      </c>
      <c r="B326" s="3">
        <v>0</v>
      </c>
      <c r="C326" s="2" t="s">
        <v>641</v>
      </c>
      <c r="D326" s="45"/>
      <c r="E326" s="4" t="s">
        <v>630</v>
      </c>
      <c r="F326" s="50" t="s">
        <v>626</v>
      </c>
      <c r="G326" s="2" t="s">
        <v>300</v>
      </c>
      <c r="H326" s="2" t="s">
        <v>300</v>
      </c>
      <c r="I326" s="50" t="s">
        <v>1116</v>
      </c>
      <c r="J326" s="50" t="s">
        <v>3516</v>
      </c>
      <c r="K326" s="4">
        <v>2.82</v>
      </c>
      <c r="L326" s="31">
        <v>0.426190641662402</v>
      </c>
      <c r="M326" s="50"/>
      <c r="N326" s="4">
        <v>11</v>
      </c>
      <c r="O326" s="44"/>
      <c r="P326" s="2"/>
      <c r="Q326"/>
      <c r="R326"/>
    </row>
    <row r="327" spans="1:18" x14ac:dyDescent="0.3">
      <c r="A327" s="3">
        <v>73611</v>
      </c>
      <c r="B327" s="3">
        <v>0</v>
      </c>
      <c r="C327" s="2" t="s">
        <v>641</v>
      </c>
      <c r="D327" s="45"/>
      <c r="E327" s="4" t="s">
        <v>630</v>
      </c>
      <c r="F327" s="50" t="s">
        <v>864</v>
      </c>
      <c r="G327" s="2" t="s">
        <v>299</v>
      </c>
      <c r="H327" s="2" t="s">
        <v>299</v>
      </c>
      <c r="I327" s="50" t="s">
        <v>1038</v>
      </c>
      <c r="J327" s="50" t="s">
        <v>3517</v>
      </c>
      <c r="L327" s="31">
        <v>0.48007405764695898</v>
      </c>
      <c r="M327" s="50"/>
      <c r="N327" s="4"/>
      <c r="O327" s="44"/>
      <c r="P327" s="2"/>
      <c r="Q327"/>
      <c r="R327"/>
    </row>
    <row r="328" spans="1:18" x14ac:dyDescent="0.3">
      <c r="A328" s="3">
        <v>73558</v>
      </c>
      <c r="B328" s="3">
        <v>0</v>
      </c>
      <c r="C328" s="2" t="s">
        <v>641</v>
      </c>
      <c r="D328" s="45"/>
      <c r="E328" s="4" t="s">
        <v>630</v>
      </c>
      <c r="F328" s="50" t="s">
        <v>879</v>
      </c>
      <c r="G328" s="2" t="s">
        <v>298</v>
      </c>
      <c r="H328" s="2" t="s">
        <v>298</v>
      </c>
      <c r="I328" s="50" t="s">
        <v>996</v>
      </c>
      <c r="J328" s="50" t="s">
        <v>3518</v>
      </c>
      <c r="K328" s="4">
        <v>3.17</v>
      </c>
      <c r="L328" s="31">
        <v>12.037842095292801</v>
      </c>
      <c r="M328" s="50"/>
      <c r="N328" s="4"/>
      <c r="O328" s="44"/>
      <c r="P328" s="2"/>
      <c r="Q328"/>
      <c r="R328"/>
    </row>
    <row r="329" spans="1:18" x14ac:dyDescent="0.3">
      <c r="A329" s="3">
        <v>73586</v>
      </c>
      <c r="B329" s="3">
        <v>0</v>
      </c>
      <c r="C329" s="2" t="s">
        <v>641</v>
      </c>
      <c r="D329" s="45"/>
      <c r="E329" s="4" t="s">
        <v>641</v>
      </c>
      <c r="F329" s="50" t="s">
        <v>701</v>
      </c>
      <c r="G329" s="2" t="s">
        <v>300</v>
      </c>
      <c r="H329" s="2" t="s">
        <v>300</v>
      </c>
      <c r="I329" s="50" t="s">
        <v>1190</v>
      </c>
      <c r="J329" s="50" t="s">
        <v>3519</v>
      </c>
      <c r="L329" s="31">
        <v>40.090267567646499</v>
      </c>
      <c r="M329" s="50"/>
      <c r="N329" s="4">
        <v>2</v>
      </c>
      <c r="O329" s="44"/>
      <c r="P329" s="2"/>
      <c r="Q329"/>
      <c r="R329"/>
    </row>
    <row r="330" spans="1:18" x14ac:dyDescent="0.3">
      <c r="A330" s="3">
        <v>99161</v>
      </c>
      <c r="B330" s="3">
        <v>112</v>
      </c>
      <c r="C330" s="2" t="s">
        <v>641</v>
      </c>
      <c r="D330" s="45"/>
      <c r="E330" s="4" t="s">
        <v>630</v>
      </c>
      <c r="F330" s="50" t="s">
        <v>754</v>
      </c>
      <c r="G330" s="2" t="s">
        <v>300</v>
      </c>
      <c r="H330" s="2" t="s">
        <v>300</v>
      </c>
      <c r="I330" s="50" t="s">
        <v>954</v>
      </c>
      <c r="J330" s="50" t="s">
        <v>3509</v>
      </c>
      <c r="K330" s="4">
        <v>0.15</v>
      </c>
      <c r="L330" s="31">
        <v>0.83143624319495801</v>
      </c>
      <c r="M330" s="50"/>
      <c r="N330" s="4"/>
      <c r="O330" s="44"/>
      <c r="P330" s="2"/>
      <c r="Q330"/>
      <c r="R330"/>
    </row>
    <row r="331" spans="1:18" x14ac:dyDescent="0.3">
      <c r="A331" s="3">
        <v>99052</v>
      </c>
      <c r="B331" s="3">
        <v>9</v>
      </c>
      <c r="C331" s="2" t="s">
        <v>641</v>
      </c>
      <c r="D331" s="45"/>
      <c r="E331" s="4" t="s">
        <v>630</v>
      </c>
      <c r="F331" s="50" t="s">
        <v>875</v>
      </c>
      <c r="G331" s="2" t="s">
        <v>303</v>
      </c>
      <c r="H331" s="2" t="s">
        <v>303</v>
      </c>
      <c r="I331" s="50" t="s">
        <v>1063</v>
      </c>
      <c r="J331" s="50" t="s">
        <v>3522</v>
      </c>
      <c r="K331" s="4">
        <v>5.68</v>
      </c>
      <c r="L331" s="31">
        <v>7.3219388465882398</v>
      </c>
      <c r="M331" s="50"/>
      <c r="N331" s="4"/>
      <c r="O331" s="44">
        <v>45737.333333333336</v>
      </c>
      <c r="P331" s="2"/>
      <c r="Q331"/>
      <c r="R331"/>
    </row>
    <row r="332" spans="1:18" x14ac:dyDescent="0.3">
      <c r="A332" s="3">
        <v>99061</v>
      </c>
      <c r="B332" s="3">
        <v>112</v>
      </c>
      <c r="C332" s="2" t="s">
        <v>641</v>
      </c>
      <c r="D332" s="45"/>
      <c r="E332" s="4" t="s">
        <v>630</v>
      </c>
      <c r="F332" s="50" t="s">
        <v>620</v>
      </c>
      <c r="G332" s="2" t="s">
        <v>300</v>
      </c>
      <c r="H332" s="2" t="s">
        <v>300</v>
      </c>
      <c r="I332" s="50" t="s">
        <v>954</v>
      </c>
      <c r="J332" s="50" t="s">
        <v>3511</v>
      </c>
      <c r="K332" s="4">
        <v>22.75</v>
      </c>
      <c r="L332" s="31">
        <v>0</v>
      </c>
      <c r="M332" s="50"/>
      <c r="N332" s="4">
        <v>1</v>
      </c>
      <c r="O332" s="44"/>
      <c r="P332" s="2"/>
      <c r="Q332"/>
      <c r="R332"/>
    </row>
    <row r="333" spans="1:18" x14ac:dyDescent="0.3">
      <c r="A333" s="3">
        <v>71160</v>
      </c>
      <c r="B333" s="3">
        <v>0</v>
      </c>
      <c r="C333" s="2" t="s">
        <v>641</v>
      </c>
      <c r="D333" s="45"/>
      <c r="E333" s="4" t="s">
        <v>630</v>
      </c>
      <c r="F333" s="50" t="s">
        <v>872</v>
      </c>
      <c r="G333" s="2" t="s">
        <v>303</v>
      </c>
      <c r="H333" s="2" t="s">
        <v>303</v>
      </c>
      <c r="I333" s="50" t="s">
        <v>1112</v>
      </c>
      <c r="J333" s="50" t="s">
        <v>3523</v>
      </c>
      <c r="K333" s="4">
        <v>5.13</v>
      </c>
      <c r="L333" s="31">
        <v>2.45384903947064</v>
      </c>
      <c r="M333" s="50"/>
      <c r="N333" s="4"/>
      <c r="O333" s="44"/>
      <c r="P333" s="2"/>
      <c r="Q333"/>
      <c r="R333"/>
    </row>
    <row r="334" spans="1:18" x14ac:dyDescent="0.3">
      <c r="A334" s="3">
        <v>70618</v>
      </c>
      <c r="B334" s="3">
        <v>0</v>
      </c>
      <c r="C334" s="2" t="s">
        <v>641</v>
      </c>
      <c r="D334" s="45"/>
      <c r="E334" s="4" t="s">
        <v>630</v>
      </c>
      <c r="F334" s="50" t="s">
        <v>873</v>
      </c>
      <c r="G334" s="2" t="s">
        <v>298</v>
      </c>
      <c r="H334" s="2" t="s">
        <v>298</v>
      </c>
      <c r="I334" s="50" t="s">
        <v>1061</v>
      </c>
      <c r="J334" s="50" t="s">
        <v>3525</v>
      </c>
      <c r="L334" s="31">
        <v>2.6448517614705902</v>
      </c>
      <c r="M334" s="50" t="s">
        <v>1009</v>
      </c>
      <c r="N334" s="4"/>
      <c r="O334" s="44">
        <v>45737.333333333336</v>
      </c>
      <c r="P334" s="2"/>
      <c r="Q334"/>
      <c r="R334"/>
    </row>
    <row r="335" spans="1:18" x14ac:dyDescent="0.3">
      <c r="A335" s="3">
        <v>73459</v>
      </c>
      <c r="B335" s="3">
        <v>0</v>
      </c>
      <c r="C335" s="2" t="s">
        <v>641</v>
      </c>
      <c r="D335" s="45"/>
      <c r="E335" s="4" t="s">
        <v>630</v>
      </c>
      <c r="F335" s="50" t="s">
        <v>869</v>
      </c>
      <c r="G335" s="2" t="s">
        <v>323</v>
      </c>
      <c r="H335" s="2" t="s">
        <v>323</v>
      </c>
      <c r="I335" s="50" t="s">
        <v>941</v>
      </c>
      <c r="J335" s="50" t="s">
        <v>3515</v>
      </c>
      <c r="L335" s="31">
        <v>3.9579364307966798</v>
      </c>
      <c r="M335" s="50" t="s">
        <v>943</v>
      </c>
      <c r="N335" s="4"/>
      <c r="O335" s="44"/>
      <c r="P335" s="2"/>
      <c r="Q335"/>
      <c r="R335"/>
    </row>
    <row r="336" spans="1:18" x14ac:dyDescent="0.3">
      <c r="A336" s="3">
        <v>71148</v>
      </c>
      <c r="B336" s="3">
        <v>0</v>
      </c>
      <c r="C336" s="2" t="s">
        <v>641</v>
      </c>
      <c r="D336" s="45"/>
      <c r="E336" s="4" t="s">
        <v>630</v>
      </c>
      <c r="F336" s="50" t="s">
        <v>867</v>
      </c>
      <c r="G336" s="2" t="s">
        <v>323</v>
      </c>
      <c r="H336" s="2" t="s">
        <v>323</v>
      </c>
      <c r="I336" s="50" t="s">
        <v>1103</v>
      </c>
      <c r="J336" s="50" t="s">
        <v>3530</v>
      </c>
      <c r="K336" s="4">
        <v>1.9</v>
      </c>
      <c r="L336" s="31">
        <v>0.29561949165457702</v>
      </c>
      <c r="M336" s="50"/>
      <c r="N336" s="4"/>
      <c r="O336" s="44"/>
      <c r="P336" s="2"/>
      <c r="Q336"/>
      <c r="R336"/>
    </row>
    <row r="337" spans="1:18" x14ac:dyDescent="0.3">
      <c r="A337" s="3">
        <v>71272</v>
      </c>
      <c r="B337" s="3">
        <v>0</v>
      </c>
      <c r="C337" s="2" t="s">
        <v>2402</v>
      </c>
      <c r="D337" s="45"/>
      <c r="E337" s="4" t="s">
        <v>2402</v>
      </c>
      <c r="F337" s="50" t="s">
        <v>2422</v>
      </c>
      <c r="G337" s="2" t="s">
        <v>298</v>
      </c>
      <c r="H337" s="2" t="s">
        <v>298</v>
      </c>
      <c r="I337" s="50" t="s">
        <v>3165</v>
      </c>
      <c r="J337" s="50" t="s">
        <v>3533</v>
      </c>
      <c r="K337" s="4">
        <v>0.13</v>
      </c>
      <c r="L337" s="31">
        <v>45.9761319269494</v>
      </c>
      <c r="M337" s="50"/>
      <c r="N337" s="4"/>
      <c r="O337" s="44">
        <v>45737.25</v>
      </c>
      <c r="P337" s="2"/>
      <c r="Q337"/>
      <c r="R337"/>
    </row>
    <row r="338" spans="1:18" x14ac:dyDescent="0.3">
      <c r="A338" s="3">
        <v>73441</v>
      </c>
      <c r="B338" s="3">
        <v>0</v>
      </c>
      <c r="C338" s="2" t="s">
        <v>2402</v>
      </c>
      <c r="D338" s="45"/>
      <c r="E338" s="4" t="s">
        <v>2402</v>
      </c>
      <c r="F338" s="50" t="s">
        <v>2462</v>
      </c>
      <c r="G338" s="2" t="s">
        <v>302</v>
      </c>
      <c r="H338" s="2" t="s">
        <v>302</v>
      </c>
      <c r="I338" s="50" t="s">
        <v>3167</v>
      </c>
      <c r="J338" s="50" t="s">
        <v>3141</v>
      </c>
      <c r="K338" s="4">
        <v>0.93</v>
      </c>
      <c r="L338" s="31">
        <v>53.061936112338302</v>
      </c>
      <c r="M338" s="50"/>
      <c r="N338" s="4"/>
      <c r="O338" s="44">
        <v>45737.333333333336</v>
      </c>
      <c r="P338" s="2"/>
      <c r="Q338"/>
      <c r="R338"/>
    </row>
    <row r="339" spans="1:18" x14ac:dyDescent="0.3">
      <c r="A339" s="3">
        <v>99173</v>
      </c>
      <c r="B339" s="3">
        <v>2</v>
      </c>
      <c r="C339" s="2" t="s">
        <v>2402</v>
      </c>
      <c r="D339" s="45"/>
      <c r="E339" s="4" t="s">
        <v>2402</v>
      </c>
      <c r="F339" s="50" t="s">
        <v>2506</v>
      </c>
      <c r="G339" s="2" t="s">
        <v>297</v>
      </c>
      <c r="H339" s="2" t="s">
        <v>297</v>
      </c>
      <c r="I339" s="50" t="s">
        <v>3169</v>
      </c>
      <c r="J339" s="50" t="s">
        <v>3085</v>
      </c>
      <c r="K339" s="4">
        <v>2.25</v>
      </c>
      <c r="L339" s="31">
        <v>43.6730394149915</v>
      </c>
      <c r="M339" s="50"/>
      <c r="N339" s="4"/>
      <c r="O339" s="44"/>
      <c r="P339" s="2"/>
      <c r="Q339"/>
      <c r="R339"/>
    </row>
    <row r="340" spans="1:18" x14ac:dyDescent="0.3">
      <c r="A340" s="3">
        <v>71265</v>
      </c>
      <c r="B340" s="3">
        <v>0</v>
      </c>
      <c r="C340" s="2" t="s">
        <v>2402</v>
      </c>
      <c r="D340" s="45"/>
      <c r="E340" s="4" t="s">
        <v>2402</v>
      </c>
      <c r="F340" s="50" t="s">
        <v>2413</v>
      </c>
      <c r="G340" s="2" t="s">
        <v>303</v>
      </c>
      <c r="H340" s="2" t="s">
        <v>303</v>
      </c>
      <c r="I340" s="50" t="s">
        <v>3147</v>
      </c>
      <c r="J340" s="50" t="s">
        <v>3532</v>
      </c>
      <c r="K340" s="4">
        <v>4.32</v>
      </c>
      <c r="L340" s="31">
        <v>4.6439805235229299</v>
      </c>
      <c r="M340" s="50"/>
      <c r="N340" s="4"/>
      <c r="O340" s="44">
        <v>45737.166666666664</v>
      </c>
      <c r="P340" s="2"/>
      <c r="Q340"/>
      <c r="R340"/>
    </row>
    <row r="341" spans="1:18" x14ac:dyDescent="0.3">
      <c r="A341" s="3">
        <v>73335</v>
      </c>
      <c r="B341" s="3">
        <v>4</v>
      </c>
      <c r="C341" s="2" t="s">
        <v>2402</v>
      </c>
      <c r="D341" s="45"/>
      <c r="E341" s="4" t="s">
        <v>2402</v>
      </c>
      <c r="F341" s="50" t="s">
        <v>2448</v>
      </c>
      <c r="G341" s="2" t="s">
        <v>298</v>
      </c>
      <c r="H341" s="2" t="s">
        <v>298</v>
      </c>
      <c r="I341" s="50" t="s">
        <v>3174</v>
      </c>
      <c r="J341" s="50" t="s">
        <v>3085</v>
      </c>
      <c r="K341" s="4">
        <v>7.05</v>
      </c>
      <c r="L341" s="31">
        <v>21.2661985437786</v>
      </c>
      <c r="M341" s="50"/>
      <c r="N341" s="4"/>
      <c r="O341" s="44">
        <v>45737.375</v>
      </c>
      <c r="P341" s="2"/>
      <c r="Q341"/>
      <c r="R341"/>
    </row>
    <row r="342" spans="1:18" x14ac:dyDescent="0.3">
      <c r="A342" s="3">
        <v>71269</v>
      </c>
      <c r="B342" s="3">
        <v>0</v>
      </c>
      <c r="C342" s="2" t="s">
        <v>2402</v>
      </c>
      <c r="D342" s="45"/>
      <c r="E342" s="4" t="s">
        <v>2402</v>
      </c>
      <c r="F342" s="50" t="s">
        <v>2203</v>
      </c>
      <c r="G342" s="2" t="s">
        <v>303</v>
      </c>
      <c r="H342" s="2" t="s">
        <v>303</v>
      </c>
      <c r="I342" s="50" t="s">
        <v>3149</v>
      </c>
      <c r="J342" s="50" t="s">
        <v>3535</v>
      </c>
      <c r="K342" s="4">
        <v>17.350000000000001</v>
      </c>
      <c r="L342" s="31">
        <v>16.393791969346299</v>
      </c>
      <c r="M342" s="50"/>
      <c r="N342" s="4"/>
      <c r="O342" s="44">
        <v>45737.333333333336</v>
      </c>
      <c r="P342" s="2"/>
      <c r="Q342"/>
      <c r="R342"/>
    </row>
    <row r="343" spans="1:18" x14ac:dyDescent="0.3">
      <c r="A343" s="3">
        <v>99173</v>
      </c>
      <c r="B343" s="3">
        <v>1</v>
      </c>
      <c r="C343" s="2" t="s">
        <v>2402</v>
      </c>
      <c r="D343" s="45"/>
      <c r="E343" s="4" t="s">
        <v>2402</v>
      </c>
      <c r="F343" s="50" t="s">
        <v>2504</v>
      </c>
      <c r="G343" s="2" t="s">
        <v>297</v>
      </c>
      <c r="H343" s="2" t="s">
        <v>297</v>
      </c>
      <c r="I343" s="50" t="s">
        <v>3151</v>
      </c>
      <c r="J343" s="50" t="s">
        <v>3534</v>
      </c>
      <c r="K343" s="4">
        <v>4.17</v>
      </c>
      <c r="L343" s="31">
        <v>22.1622007074557</v>
      </c>
      <c r="M343" s="50"/>
      <c r="N343" s="4"/>
      <c r="O343" s="44">
        <v>45737.291666666664</v>
      </c>
      <c r="P343" s="2"/>
      <c r="Q343"/>
      <c r="R343"/>
    </row>
    <row r="344" spans="1:18" x14ac:dyDescent="0.3">
      <c r="A344" s="3">
        <v>71280</v>
      </c>
      <c r="B344" s="3">
        <v>0</v>
      </c>
      <c r="C344" s="2" t="s">
        <v>2402</v>
      </c>
      <c r="D344" s="45"/>
      <c r="E344" s="4" t="s">
        <v>2402</v>
      </c>
      <c r="F344" s="50" t="s">
        <v>2434</v>
      </c>
      <c r="G344" s="2" t="s">
        <v>303</v>
      </c>
      <c r="H344" s="2" t="s">
        <v>303</v>
      </c>
      <c r="I344" s="50" t="s">
        <v>3180</v>
      </c>
      <c r="J344" s="50" t="s">
        <v>3143</v>
      </c>
      <c r="K344" s="4">
        <v>6.84</v>
      </c>
      <c r="L344" s="31">
        <v>17.489712343370599</v>
      </c>
      <c r="M344" s="50"/>
      <c r="N344" s="4"/>
      <c r="O344" s="44">
        <v>45737.583333333336</v>
      </c>
      <c r="P344" s="2"/>
      <c r="Q344"/>
      <c r="R344"/>
    </row>
    <row r="345" spans="1:18" x14ac:dyDescent="0.3">
      <c r="A345" s="3">
        <v>99126</v>
      </c>
      <c r="B345" s="3">
        <v>5</v>
      </c>
      <c r="C345" s="2" t="s">
        <v>2402</v>
      </c>
      <c r="D345" s="45"/>
      <c r="E345" s="4" t="s">
        <v>2402</v>
      </c>
      <c r="F345" s="50" t="s">
        <v>2498</v>
      </c>
      <c r="G345" s="2" t="s">
        <v>298</v>
      </c>
      <c r="H345" s="2" t="s">
        <v>298</v>
      </c>
      <c r="I345" s="50" t="s">
        <v>3172</v>
      </c>
      <c r="J345" s="50" t="s">
        <v>3537</v>
      </c>
      <c r="K345" s="4">
        <v>0.82</v>
      </c>
      <c r="L345" s="31">
        <v>0.706184407178995</v>
      </c>
      <c r="M345" s="50"/>
      <c r="N345" s="4"/>
      <c r="O345" s="44">
        <v>45737.333333333336</v>
      </c>
      <c r="P345" s="2"/>
      <c r="Q345"/>
      <c r="R345"/>
    </row>
    <row r="346" spans="1:18" x14ac:dyDescent="0.3">
      <c r="A346" s="3">
        <v>73424</v>
      </c>
      <c r="B346" s="3">
        <v>0</v>
      </c>
      <c r="C346" s="2" t="s">
        <v>2402</v>
      </c>
      <c r="D346" s="45"/>
      <c r="E346" s="4" t="s">
        <v>2402</v>
      </c>
      <c r="F346" s="50" t="s">
        <v>2459</v>
      </c>
      <c r="G346" s="2" t="s">
        <v>297</v>
      </c>
      <c r="H346" s="2" t="s">
        <v>297</v>
      </c>
      <c r="I346" s="50" t="s">
        <v>3170</v>
      </c>
      <c r="J346" s="50" t="s">
        <v>3536</v>
      </c>
      <c r="K346" s="4">
        <v>18.899999999999999</v>
      </c>
      <c r="L346" s="31">
        <v>23.851219204446501</v>
      </c>
      <c r="M346" s="50"/>
      <c r="N346" s="4"/>
      <c r="O346" s="44">
        <v>45737.208333333336</v>
      </c>
      <c r="P346" s="2"/>
      <c r="Q346"/>
      <c r="R346"/>
    </row>
    <row r="347" spans="1:18" x14ac:dyDescent="0.3">
      <c r="A347" s="3">
        <v>71283</v>
      </c>
      <c r="B347" s="3">
        <v>0</v>
      </c>
      <c r="C347" s="2" t="s">
        <v>2402</v>
      </c>
      <c r="D347" s="45"/>
      <c r="E347" s="4" t="s">
        <v>2402</v>
      </c>
      <c r="F347" s="50" t="s">
        <v>2437</v>
      </c>
      <c r="G347" s="2" t="s">
        <v>303</v>
      </c>
      <c r="H347" s="2" t="s">
        <v>303</v>
      </c>
      <c r="I347" s="50" t="s">
        <v>3164</v>
      </c>
      <c r="J347" s="50" t="s">
        <v>3538</v>
      </c>
      <c r="K347" s="4">
        <v>6.94</v>
      </c>
      <c r="L347" s="31">
        <v>1.20774901994594</v>
      </c>
      <c r="M347" s="50"/>
      <c r="N347" s="4"/>
      <c r="O347" s="44">
        <v>45737.333333333336</v>
      </c>
      <c r="P347" s="2"/>
      <c r="Q347"/>
      <c r="R347"/>
    </row>
    <row r="348" spans="1:18" x14ac:dyDescent="0.3">
      <c r="A348" s="3">
        <v>73335</v>
      </c>
      <c r="B348" s="3">
        <v>2</v>
      </c>
      <c r="C348" s="2" t="s">
        <v>2402</v>
      </c>
      <c r="D348" s="45"/>
      <c r="E348" s="4" t="s">
        <v>2402</v>
      </c>
      <c r="F348" s="50" t="s">
        <v>2446</v>
      </c>
      <c r="G348" s="2" t="s">
        <v>298</v>
      </c>
      <c r="H348" s="2" t="s">
        <v>298</v>
      </c>
      <c r="I348" s="50" t="s">
        <v>3178</v>
      </c>
      <c r="J348" s="50" t="s">
        <v>3539</v>
      </c>
      <c r="K348" s="4">
        <v>0.12</v>
      </c>
      <c r="L348" s="31">
        <v>20.5104271811893</v>
      </c>
      <c r="M348" s="50"/>
      <c r="N348" s="4"/>
      <c r="O348" s="44">
        <v>45737.375</v>
      </c>
      <c r="P348" s="2"/>
      <c r="Q348"/>
      <c r="R348"/>
    </row>
    <row r="349" spans="1:18" x14ac:dyDescent="0.3">
      <c r="A349" s="3">
        <v>73423</v>
      </c>
      <c r="B349" s="3">
        <v>0</v>
      </c>
      <c r="C349" s="2" t="s">
        <v>2402</v>
      </c>
      <c r="D349" s="45"/>
      <c r="E349" s="4" t="s">
        <v>2402</v>
      </c>
      <c r="F349" s="50" t="s">
        <v>2456</v>
      </c>
      <c r="G349" s="2" t="s">
        <v>297</v>
      </c>
      <c r="H349" s="2" t="s">
        <v>297</v>
      </c>
      <c r="I349" s="50" t="s">
        <v>3171</v>
      </c>
      <c r="J349" s="50" t="s">
        <v>3540</v>
      </c>
      <c r="K349" s="4">
        <v>12.85</v>
      </c>
      <c r="L349" s="31">
        <v>0.53302056839183398</v>
      </c>
      <c r="M349" s="50"/>
      <c r="N349" s="4"/>
      <c r="O349" s="44">
        <v>45737.208333333336</v>
      </c>
      <c r="P349" s="2"/>
      <c r="Q349"/>
      <c r="R349"/>
    </row>
    <row r="350" spans="1:18" x14ac:dyDescent="0.3">
      <c r="A350" s="3">
        <v>73455</v>
      </c>
      <c r="B350" s="3">
        <v>0</v>
      </c>
      <c r="C350" s="2" t="s">
        <v>2402</v>
      </c>
      <c r="D350" s="45"/>
      <c r="E350" s="4" t="s">
        <v>2402</v>
      </c>
      <c r="F350" s="50" t="s">
        <v>2466</v>
      </c>
      <c r="G350" s="2" t="s">
        <v>303</v>
      </c>
      <c r="H350" s="2" t="s">
        <v>303</v>
      </c>
      <c r="I350" s="50" t="s">
        <v>3153</v>
      </c>
      <c r="J350" s="50" t="s">
        <v>3541</v>
      </c>
      <c r="K350" s="4">
        <v>3.42</v>
      </c>
      <c r="L350" s="31">
        <v>1.60535655647618</v>
      </c>
      <c r="M350" s="50"/>
      <c r="N350" s="4"/>
      <c r="O350" s="44"/>
      <c r="P350" s="2"/>
      <c r="Q350"/>
      <c r="R350"/>
    </row>
    <row r="351" spans="1:18" x14ac:dyDescent="0.3">
      <c r="A351" s="3">
        <v>99120</v>
      </c>
      <c r="B351" s="3">
        <v>1</v>
      </c>
      <c r="C351" s="2" t="s">
        <v>2402</v>
      </c>
      <c r="D351" s="45"/>
      <c r="E351" s="4" t="s">
        <v>2402</v>
      </c>
      <c r="F351" s="50" t="s">
        <v>2496</v>
      </c>
      <c r="G351" s="2" t="s">
        <v>297</v>
      </c>
      <c r="H351" s="2" t="s">
        <v>297</v>
      </c>
      <c r="I351" s="50" t="s">
        <v>3177</v>
      </c>
      <c r="J351" s="50" t="s">
        <v>3543</v>
      </c>
      <c r="K351" s="4">
        <v>1.77</v>
      </c>
      <c r="L351" s="31">
        <v>20.022054847106201</v>
      </c>
      <c r="M351" s="50"/>
      <c r="N351" s="4"/>
      <c r="O351" s="44">
        <v>45737.375</v>
      </c>
      <c r="P351" s="2"/>
      <c r="Q351"/>
      <c r="R351"/>
    </row>
    <row r="352" spans="1:18" x14ac:dyDescent="0.3">
      <c r="A352" s="3">
        <v>73463</v>
      </c>
      <c r="B352" s="3">
        <v>0</v>
      </c>
      <c r="C352" s="2" t="s">
        <v>2402</v>
      </c>
      <c r="D352" s="45"/>
      <c r="E352" s="4" t="s">
        <v>2402</v>
      </c>
      <c r="F352" s="50" t="s">
        <v>2469</v>
      </c>
      <c r="G352" s="2" t="s">
        <v>323</v>
      </c>
      <c r="H352" s="2" t="s">
        <v>323</v>
      </c>
      <c r="I352" s="50" t="s">
        <v>3175</v>
      </c>
      <c r="J352" s="50" t="s">
        <v>3542</v>
      </c>
      <c r="K352" s="4">
        <v>12.55</v>
      </c>
      <c r="L352" s="31">
        <v>20.390605791795</v>
      </c>
      <c r="M352" s="50"/>
      <c r="N352" s="4"/>
      <c r="O352" s="44">
        <v>45737.291666666664</v>
      </c>
      <c r="P352" s="2"/>
      <c r="Q352"/>
      <c r="R352"/>
    </row>
    <row r="353" spans="1:18" x14ac:dyDescent="0.3">
      <c r="A353" s="3">
        <v>71276</v>
      </c>
      <c r="B353" s="3">
        <v>0</v>
      </c>
      <c r="C353" s="2" t="s">
        <v>2402</v>
      </c>
      <c r="D353" s="45"/>
      <c r="E353" s="4" t="s">
        <v>2402</v>
      </c>
      <c r="F353" s="50" t="s">
        <v>2428</v>
      </c>
      <c r="G353" s="2" t="s">
        <v>323</v>
      </c>
      <c r="H353" s="2" t="s">
        <v>323</v>
      </c>
      <c r="I353" s="50" t="s">
        <v>3166</v>
      </c>
      <c r="J353" s="50" t="s">
        <v>3545</v>
      </c>
      <c r="K353" s="4">
        <v>6.48</v>
      </c>
      <c r="L353" s="31">
        <v>20.0840059688251</v>
      </c>
      <c r="M353" s="50"/>
      <c r="N353" s="4"/>
      <c r="O353" s="44">
        <v>45737.291666666664</v>
      </c>
      <c r="P353" s="2"/>
      <c r="Q353"/>
      <c r="R353"/>
    </row>
    <row r="354" spans="1:18" x14ac:dyDescent="0.3">
      <c r="A354" s="3">
        <v>73404</v>
      </c>
      <c r="B354" s="3">
        <v>4</v>
      </c>
      <c r="C354" s="2" t="s">
        <v>2402</v>
      </c>
      <c r="D354" s="45"/>
      <c r="E354" s="4" t="s">
        <v>2402</v>
      </c>
      <c r="F354" s="50" t="s">
        <v>2453</v>
      </c>
      <c r="G354" s="2" t="s">
        <v>303</v>
      </c>
      <c r="H354" s="2" t="s">
        <v>303</v>
      </c>
      <c r="I354" s="50" t="s">
        <v>3150</v>
      </c>
      <c r="J354" s="50" t="s">
        <v>3544</v>
      </c>
      <c r="K354" s="4">
        <v>5.72</v>
      </c>
      <c r="L354" s="31">
        <v>20.039913260974899</v>
      </c>
      <c r="M354" s="50"/>
      <c r="N354" s="4"/>
      <c r="O354" s="44">
        <v>45737.291666666664</v>
      </c>
      <c r="P354" s="2"/>
      <c r="Q354"/>
      <c r="R354"/>
    </row>
    <row r="355" spans="1:18" x14ac:dyDescent="0.3">
      <c r="A355" s="3">
        <v>99047</v>
      </c>
      <c r="B355" s="3">
        <v>4</v>
      </c>
      <c r="C355" s="2" t="s">
        <v>2402</v>
      </c>
      <c r="D355" s="45"/>
      <c r="E355" s="4" t="s">
        <v>2402</v>
      </c>
      <c r="F355" s="50" t="s">
        <v>2487</v>
      </c>
      <c r="G355" s="2" t="s">
        <v>303</v>
      </c>
      <c r="H355" s="2" t="s">
        <v>303</v>
      </c>
      <c r="I355" s="50" t="s">
        <v>3173</v>
      </c>
      <c r="J355" s="50" t="s">
        <v>3546</v>
      </c>
      <c r="K355" s="4">
        <v>11.1</v>
      </c>
      <c r="L355" s="31">
        <v>0.94885867568370896</v>
      </c>
      <c r="M355" s="50"/>
      <c r="N355" s="4"/>
      <c r="O355" s="44">
        <v>45737.375</v>
      </c>
      <c r="P355" s="2"/>
      <c r="Q355"/>
      <c r="R355"/>
    </row>
    <row r="356" spans="1:18" x14ac:dyDescent="0.3">
      <c r="A356" s="3">
        <v>70785</v>
      </c>
      <c r="B356" s="3">
        <v>0</v>
      </c>
      <c r="C356" s="2" t="s">
        <v>2402</v>
      </c>
      <c r="D356" s="45"/>
      <c r="E356" s="4" t="s">
        <v>2402</v>
      </c>
      <c r="F356" s="50" t="s">
        <v>2407</v>
      </c>
      <c r="G356" s="2" t="s">
        <v>323</v>
      </c>
      <c r="H356" s="2" t="s">
        <v>323</v>
      </c>
      <c r="I356" s="50" t="s">
        <v>3038</v>
      </c>
      <c r="J356" s="50" t="s">
        <v>3548</v>
      </c>
      <c r="K356" s="4">
        <v>0.32</v>
      </c>
      <c r="L356" s="31">
        <v>0</v>
      </c>
      <c r="M356" s="50"/>
      <c r="N356" s="4"/>
      <c r="O356" s="44"/>
      <c r="P356" s="2"/>
      <c r="Q356"/>
      <c r="R356"/>
    </row>
    <row r="357" spans="1:18" x14ac:dyDescent="0.3">
      <c r="A357" s="3">
        <v>73403</v>
      </c>
      <c r="B357" s="3">
        <v>0</v>
      </c>
      <c r="C357" s="2" t="s">
        <v>2402</v>
      </c>
      <c r="D357" s="45"/>
      <c r="E357" s="4" t="s">
        <v>2402</v>
      </c>
      <c r="F357" s="50" t="s">
        <v>2451</v>
      </c>
      <c r="G357" s="2" t="s">
        <v>303</v>
      </c>
      <c r="H357" s="2" t="s">
        <v>303</v>
      </c>
      <c r="I357" s="50" t="s">
        <v>3146</v>
      </c>
      <c r="J357" s="50" t="s">
        <v>3547</v>
      </c>
      <c r="K357" s="4">
        <v>15.2</v>
      </c>
      <c r="L357" s="31">
        <v>0.51779509773280097</v>
      </c>
      <c r="M357" s="50"/>
      <c r="N357" s="4"/>
      <c r="O357" s="44"/>
      <c r="P357" s="2"/>
      <c r="Q357"/>
      <c r="R357"/>
    </row>
    <row r="358" spans="1:18" x14ac:dyDescent="0.3">
      <c r="A358" s="3">
        <v>70568</v>
      </c>
      <c r="B358" s="3">
        <v>0</v>
      </c>
      <c r="C358" s="2" t="s">
        <v>2402</v>
      </c>
      <c r="D358" s="45"/>
      <c r="E358" s="4" t="s">
        <v>2402</v>
      </c>
      <c r="F358" s="50" t="s">
        <v>2404</v>
      </c>
      <c r="G358" s="2" t="s">
        <v>323</v>
      </c>
      <c r="H358" s="2" t="s">
        <v>323</v>
      </c>
      <c r="I358" s="50" t="s">
        <v>3039</v>
      </c>
      <c r="J358" s="50" t="s">
        <v>3143</v>
      </c>
      <c r="K358" s="4">
        <v>0.26</v>
      </c>
      <c r="L358" s="31">
        <v>57.677713468467203</v>
      </c>
      <c r="M358" s="50"/>
      <c r="N358" s="4"/>
      <c r="O358" s="44"/>
      <c r="P358" s="2"/>
      <c r="Q358"/>
      <c r="R358"/>
    </row>
    <row r="359" spans="1:18" x14ac:dyDescent="0.3">
      <c r="A359" s="3">
        <v>73592</v>
      </c>
      <c r="B359" s="3">
        <v>0</v>
      </c>
      <c r="C359" s="2" t="s">
        <v>2402</v>
      </c>
      <c r="D359" s="45"/>
      <c r="E359" s="4" t="s">
        <v>2402</v>
      </c>
      <c r="F359" s="50" t="s">
        <v>2475</v>
      </c>
      <c r="G359" s="2" t="s">
        <v>323</v>
      </c>
      <c r="H359" s="2" t="s">
        <v>323</v>
      </c>
      <c r="I359" s="50" t="s">
        <v>3160</v>
      </c>
      <c r="J359" s="50" t="s">
        <v>3550</v>
      </c>
      <c r="L359" s="31">
        <v>74.212481189601604</v>
      </c>
      <c r="M359" s="50"/>
      <c r="N359" s="4"/>
      <c r="O359" s="44"/>
      <c r="P359" s="2"/>
      <c r="Q359"/>
      <c r="R359"/>
    </row>
    <row r="360" spans="1:18" x14ac:dyDescent="0.3">
      <c r="A360" s="3">
        <v>71273</v>
      </c>
      <c r="B360" s="3">
        <v>0</v>
      </c>
      <c r="C360" s="2" t="s">
        <v>2402</v>
      </c>
      <c r="D360" s="45"/>
      <c r="E360" s="4" t="s">
        <v>2402</v>
      </c>
      <c r="F360" s="50" t="s">
        <v>2425</v>
      </c>
      <c r="G360" s="2" t="s">
        <v>303</v>
      </c>
      <c r="H360" s="2" t="s">
        <v>303</v>
      </c>
      <c r="I360" s="50" t="s">
        <v>3145</v>
      </c>
      <c r="J360" s="50" t="s">
        <v>3549</v>
      </c>
      <c r="K360" s="4">
        <v>14.12</v>
      </c>
      <c r="L360" s="31">
        <v>0.16806831071085099</v>
      </c>
      <c r="M360" s="50"/>
      <c r="N360" s="4"/>
      <c r="O360" s="44"/>
      <c r="P360" s="2"/>
      <c r="Q360"/>
      <c r="R360"/>
    </row>
    <row r="361" spans="1:18" x14ac:dyDescent="0.3">
      <c r="A361" s="3">
        <v>99031</v>
      </c>
      <c r="B361" s="3">
        <v>175</v>
      </c>
      <c r="C361" s="2" t="s">
        <v>2402</v>
      </c>
      <c r="D361" s="45"/>
      <c r="E361" s="4" t="s">
        <v>2402</v>
      </c>
      <c r="F361" s="50" t="s">
        <v>2481</v>
      </c>
      <c r="G361" s="2" t="s">
        <v>323</v>
      </c>
      <c r="H361" s="2" t="s">
        <v>323</v>
      </c>
      <c r="I361" s="50" t="s">
        <v>3162</v>
      </c>
      <c r="J361" s="50" t="s">
        <v>3551</v>
      </c>
      <c r="L361" s="31">
        <v>9.0845922938342497E-2</v>
      </c>
      <c r="M361" s="50"/>
      <c r="N361" s="4"/>
      <c r="O361" s="44"/>
      <c r="P361" s="2"/>
      <c r="Q361"/>
      <c r="R361"/>
    </row>
    <row r="362" spans="1:18" x14ac:dyDescent="0.3">
      <c r="A362" s="3">
        <v>73567</v>
      </c>
      <c r="B362" s="3">
        <v>0</v>
      </c>
      <c r="C362" s="2" t="s">
        <v>2402</v>
      </c>
      <c r="D362" s="45"/>
      <c r="E362" s="4" t="s">
        <v>2402</v>
      </c>
      <c r="F362" s="50" t="s">
        <v>2472</v>
      </c>
      <c r="G362" s="2" t="s">
        <v>303</v>
      </c>
      <c r="H362" s="2" t="s">
        <v>303</v>
      </c>
      <c r="I362" s="50" t="s">
        <v>3176</v>
      </c>
      <c r="J362" s="50" t="s">
        <v>3552</v>
      </c>
      <c r="L362" s="31">
        <v>0.55652881063747395</v>
      </c>
      <c r="M362" s="50"/>
      <c r="N362" s="4">
        <v>0</v>
      </c>
      <c r="O362" s="44"/>
      <c r="P362" s="2"/>
      <c r="Q362"/>
      <c r="R362"/>
    </row>
    <row r="363" spans="1:18" x14ac:dyDescent="0.3">
      <c r="A363" s="3">
        <v>73052</v>
      </c>
      <c r="B363" s="3">
        <v>0</v>
      </c>
      <c r="C363" s="2" t="s">
        <v>2402</v>
      </c>
      <c r="D363" s="45"/>
      <c r="E363" s="4" t="s">
        <v>2402</v>
      </c>
      <c r="F363" s="50" t="s">
        <v>2443</v>
      </c>
      <c r="G363" s="2" t="s">
        <v>300</v>
      </c>
      <c r="H363" s="2" t="s">
        <v>300</v>
      </c>
      <c r="I363" s="50" t="s">
        <v>3156</v>
      </c>
      <c r="J363" s="50" t="s">
        <v>3553</v>
      </c>
      <c r="K363" s="4">
        <v>8.69</v>
      </c>
      <c r="L363" s="31">
        <v>21.171182738318901</v>
      </c>
      <c r="M363" s="50"/>
      <c r="N363" s="4"/>
      <c r="O363" s="44"/>
      <c r="P363" s="2"/>
      <c r="Q363"/>
      <c r="R363"/>
    </row>
    <row r="364" spans="1:18" x14ac:dyDescent="0.3">
      <c r="A364" s="3">
        <v>99161</v>
      </c>
      <c r="B364" s="3">
        <v>114</v>
      </c>
      <c r="C364" s="2" t="s">
        <v>2402</v>
      </c>
      <c r="D364" s="45"/>
      <c r="E364" s="4" t="s">
        <v>2402</v>
      </c>
      <c r="F364" s="50" t="s">
        <v>2502</v>
      </c>
      <c r="G364" s="2" t="s">
        <v>300</v>
      </c>
      <c r="H364" s="2" t="s">
        <v>300</v>
      </c>
      <c r="I364" s="50" t="s">
        <v>3155</v>
      </c>
      <c r="J364" s="50" t="s">
        <v>3555</v>
      </c>
      <c r="L364" s="31">
        <v>24.324551833849199</v>
      </c>
      <c r="M364" s="50"/>
      <c r="N364" s="4"/>
      <c r="O364" s="44"/>
      <c r="P364" s="2"/>
      <c r="Q364"/>
      <c r="R364"/>
    </row>
    <row r="365" spans="1:18" x14ac:dyDescent="0.3">
      <c r="A365" s="3">
        <v>70790</v>
      </c>
      <c r="B365" s="3">
        <v>0</v>
      </c>
      <c r="C365" s="2" t="s">
        <v>2402</v>
      </c>
      <c r="D365" s="45"/>
      <c r="E365" s="4" t="s">
        <v>2402</v>
      </c>
      <c r="F365" s="50" t="s">
        <v>2409</v>
      </c>
      <c r="G365" s="2" t="s">
        <v>300</v>
      </c>
      <c r="H365" s="2" t="s">
        <v>300</v>
      </c>
      <c r="I365" s="50" t="s">
        <v>3179</v>
      </c>
      <c r="J365" s="50" t="s">
        <v>3554</v>
      </c>
      <c r="K365" s="4">
        <v>12.28</v>
      </c>
      <c r="L365" s="31">
        <v>25.429978229520501</v>
      </c>
      <c r="M365" s="50"/>
      <c r="N365" s="4">
        <v>33</v>
      </c>
      <c r="O365" s="44">
        <v>45737.291666666664</v>
      </c>
      <c r="P365" s="2"/>
      <c r="Q365"/>
      <c r="R365"/>
    </row>
    <row r="366" spans="1:18" x14ac:dyDescent="0.3">
      <c r="A366" s="3">
        <v>99152</v>
      </c>
      <c r="B366" s="3">
        <v>3</v>
      </c>
      <c r="C366" s="2" t="s">
        <v>2402</v>
      </c>
      <c r="D366" s="45"/>
      <c r="E366" s="4" t="s">
        <v>2402</v>
      </c>
      <c r="F366" s="50" t="s">
        <v>2500</v>
      </c>
      <c r="G366" s="2" t="s">
        <v>300</v>
      </c>
      <c r="H366" s="2" t="s">
        <v>300</v>
      </c>
      <c r="I366" s="50" t="s">
        <v>3148</v>
      </c>
      <c r="J366" s="50" t="s">
        <v>3556</v>
      </c>
      <c r="K366" s="4">
        <v>0.19</v>
      </c>
      <c r="L366" s="31">
        <v>19.015401261309599</v>
      </c>
      <c r="M366" s="50"/>
      <c r="N366" s="4"/>
      <c r="O366" s="44">
        <v>45737.291666666664</v>
      </c>
      <c r="P366" s="2"/>
      <c r="Q366"/>
      <c r="R366"/>
    </row>
    <row r="367" spans="1:18" x14ac:dyDescent="0.3">
      <c r="A367" s="3">
        <v>99193</v>
      </c>
      <c r="B367" s="3">
        <v>6</v>
      </c>
      <c r="C367" s="2" t="s">
        <v>2402</v>
      </c>
      <c r="D367" s="45"/>
      <c r="E367" s="4" t="s">
        <v>2402</v>
      </c>
      <c r="F367" s="50" t="s">
        <v>2509</v>
      </c>
      <c r="G367" s="2" t="s">
        <v>300</v>
      </c>
      <c r="H367" s="2" t="s">
        <v>300</v>
      </c>
      <c r="I367" s="50" t="s">
        <v>3181</v>
      </c>
      <c r="J367" s="50" t="s">
        <v>3557</v>
      </c>
      <c r="K367" s="4">
        <v>4.8099999999999996</v>
      </c>
      <c r="L367" s="31">
        <v>3.0179885164776601</v>
      </c>
      <c r="M367" s="50"/>
      <c r="N367" s="4">
        <v>10</v>
      </c>
      <c r="O367" s="44">
        <v>45737.208333333336</v>
      </c>
      <c r="P367" s="2"/>
      <c r="Q367"/>
      <c r="R367"/>
    </row>
    <row r="368" spans="1:18" x14ac:dyDescent="0.3">
      <c r="A368" s="3">
        <v>71267</v>
      </c>
      <c r="B368" s="3">
        <v>0</v>
      </c>
      <c r="C368" s="2" t="s">
        <v>2402</v>
      </c>
      <c r="D368" s="45"/>
      <c r="E368" s="4" t="s">
        <v>2402</v>
      </c>
      <c r="F368" s="50" t="s">
        <v>2417</v>
      </c>
      <c r="G368" s="2" t="s">
        <v>300</v>
      </c>
      <c r="H368" s="2" t="s">
        <v>300</v>
      </c>
      <c r="I368" s="50" t="s">
        <v>3144</v>
      </c>
      <c r="J368" s="50" t="s">
        <v>3558</v>
      </c>
      <c r="K368" s="4">
        <v>2.4300000000000002</v>
      </c>
      <c r="L368" s="31">
        <v>1.3961389252846199</v>
      </c>
      <c r="M368" s="50"/>
      <c r="N368" s="4"/>
      <c r="O368" s="44">
        <v>45737.208333333336</v>
      </c>
      <c r="P368" s="2"/>
      <c r="Q368"/>
      <c r="R368"/>
    </row>
    <row r="369" spans="1:18" x14ac:dyDescent="0.3">
      <c r="A369" s="3">
        <v>99213</v>
      </c>
      <c r="B369" s="3">
        <v>2</v>
      </c>
      <c r="C369" s="2" t="s">
        <v>2402</v>
      </c>
      <c r="D369" s="45"/>
      <c r="E369" s="4" t="s">
        <v>2402</v>
      </c>
      <c r="F369" s="50" t="s">
        <v>2511</v>
      </c>
      <c r="G369" s="2" t="s">
        <v>300</v>
      </c>
      <c r="H369" s="2" t="s">
        <v>300</v>
      </c>
      <c r="I369" s="50" t="s">
        <v>3152</v>
      </c>
      <c r="J369" s="50" t="s">
        <v>3559</v>
      </c>
      <c r="K369" s="4">
        <v>7.94</v>
      </c>
      <c r="L369" s="31">
        <v>19.136284694991001</v>
      </c>
      <c r="M369" s="50"/>
      <c r="N369" s="4">
        <v>79</v>
      </c>
      <c r="O369" s="44">
        <v>45737.166666666664</v>
      </c>
      <c r="P369" s="2"/>
      <c r="Q369"/>
      <c r="R369"/>
    </row>
    <row r="370" spans="1:18" x14ac:dyDescent="0.3">
      <c r="A370" s="3">
        <v>99213</v>
      </c>
      <c r="B370" s="3">
        <v>3</v>
      </c>
      <c r="C370" s="2" t="s">
        <v>2402</v>
      </c>
      <c r="D370" s="45"/>
      <c r="E370" s="4" t="s">
        <v>2402</v>
      </c>
      <c r="F370" s="50" t="s">
        <v>2511</v>
      </c>
      <c r="G370" s="2" t="s">
        <v>300</v>
      </c>
      <c r="H370" s="2" t="s">
        <v>300</v>
      </c>
      <c r="I370" s="50" t="s">
        <v>3154</v>
      </c>
      <c r="J370" s="50" t="s">
        <v>3560</v>
      </c>
      <c r="K370" s="4">
        <v>11.6</v>
      </c>
      <c r="L370" s="31">
        <v>0</v>
      </c>
      <c r="M370" s="50"/>
      <c r="N370" s="4"/>
      <c r="O370" s="44">
        <v>45737.166666666664</v>
      </c>
      <c r="P370" s="2"/>
      <c r="Q370"/>
      <c r="R370"/>
    </row>
    <row r="371" spans="1:18" x14ac:dyDescent="0.3">
      <c r="A371" s="3">
        <v>99061</v>
      </c>
      <c r="B371" s="3">
        <v>114</v>
      </c>
      <c r="C371" s="2" t="s">
        <v>2402</v>
      </c>
      <c r="D371" s="45"/>
      <c r="E371" s="4" t="s">
        <v>2402</v>
      </c>
      <c r="F371" s="50" t="s">
        <v>2490</v>
      </c>
      <c r="G371" s="2" t="s">
        <v>300</v>
      </c>
      <c r="H371" s="2" t="s">
        <v>300</v>
      </c>
      <c r="I371" s="50" t="s">
        <v>3157</v>
      </c>
      <c r="J371" s="50" t="s">
        <v>3561</v>
      </c>
      <c r="K371" s="4">
        <v>37.97</v>
      </c>
      <c r="L371" s="31">
        <v>4.9756365559168199</v>
      </c>
      <c r="M371" s="50"/>
      <c r="N371" s="4">
        <v>13</v>
      </c>
      <c r="O371" s="44">
        <v>45737.25</v>
      </c>
      <c r="P371" s="2"/>
      <c r="Q371"/>
      <c r="R371"/>
    </row>
    <row r="372" spans="1:18" x14ac:dyDescent="0.3">
      <c r="A372" s="3">
        <v>99082</v>
      </c>
      <c r="B372" s="3">
        <v>12</v>
      </c>
      <c r="C372" s="2" t="s">
        <v>2402</v>
      </c>
      <c r="D372" s="45"/>
      <c r="E372" s="4" t="s">
        <v>2402</v>
      </c>
      <c r="F372" s="50" t="s">
        <v>2494</v>
      </c>
      <c r="G372" s="2" t="s">
        <v>300</v>
      </c>
      <c r="H372" s="2" t="s">
        <v>300</v>
      </c>
      <c r="I372" s="50" t="s">
        <v>3168</v>
      </c>
      <c r="J372" s="50" t="s">
        <v>3562</v>
      </c>
      <c r="K372" s="4">
        <v>19.12</v>
      </c>
      <c r="L372" s="31">
        <v>1.30038374635819</v>
      </c>
      <c r="M372" s="50"/>
      <c r="N372" s="4"/>
      <c r="O372" s="44">
        <v>45737.208333333336</v>
      </c>
      <c r="P372" s="2"/>
      <c r="Q372"/>
      <c r="R372"/>
    </row>
    <row r="373" spans="1:18" x14ac:dyDescent="0.3">
      <c r="A373" s="3">
        <v>71278</v>
      </c>
      <c r="B373" s="3">
        <v>0</v>
      </c>
      <c r="C373" s="2" t="s">
        <v>2402</v>
      </c>
      <c r="D373" s="45"/>
      <c r="E373" s="4" t="s">
        <v>2402</v>
      </c>
      <c r="F373" s="50" t="s">
        <v>2431</v>
      </c>
      <c r="G373" s="2" t="s">
        <v>300</v>
      </c>
      <c r="H373" s="2" t="s">
        <v>300</v>
      </c>
      <c r="I373" s="50" t="s">
        <v>3159</v>
      </c>
      <c r="J373" s="50" t="s">
        <v>3564</v>
      </c>
      <c r="K373" s="4">
        <v>7.32</v>
      </c>
      <c r="L373" s="31">
        <v>3.5542649630748402</v>
      </c>
      <c r="M373" s="50"/>
      <c r="N373" s="4">
        <v>8</v>
      </c>
      <c r="O373" s="44">
        <v>45737.291666666664</v>
      </c>
      <c r="P373" s="2"/>
      <c r="Q373"/>
      <c r="R373"/>
    </row>
    <row r="374" spans="1:18" x14ac:dyDescent="0.3">
      <c r="A374" s="3">
        <v>71286</v>
      </c>
      <c r="B374" s="3">
        <v>0</v>
      </c>
      <c r="C374" s="2" t="s">
        <v>2402</v>
      </c>
      <c r="D374" s="45"/>
      <c r="E374" s="4" t="s">
        <v>2402</v>
      </c>
      <c r="F374" s="50" t="s">
        <v>2440</v>
      </c>
      <c r="G374" s="2" t="s">
        <v>300</v>
      </c>
      <c r="H374" s="2" t="s">
        <v>300</v>
      </c>
      <c r="I374" s="50" t="s">
        <v>3163</v>
      </c>
      <c r="J374" s="50" t="s">
        <v>3563</v>
      </c>
      <c r="K374" s="4">
        <v>20.69</v>
      </c>
      <c r="L374" s="31">
        <v>4.2234065676110504</v>
      </c>
      <c r="M374" s="50"/>
      <c r="N374" s="4"/>
      <c r="O374" s="44">
        <v>45737.375</v>
      </c>
      <c r="P374" s="2"/>
      <c r="Q374"/>
      <c r="R374"/>
    </row>
    <row r="375" spans="1:18" x14ac:dyDescent="0.3">
      <c r="A375" s="3">
        <v>99031</v>
      </c>
      <c r="B375" s="3">
        <v>174</v>
      </c>
      <c r="C375" s="2" t="s">
        <v>2402</v>
      </c>
      <c r="D375" s="45"/>
      <c r="E375" s="4" t="s">
        <v>2402</v>
      </c>
      <c r="F375" s="50" t="s">
        <v>2478</v>
      </c>
      <c r="G375" s="2" t="s">
        <v>300</v>
      </c>
      <c r="H375" s="2" t="s">
        <v>300</v>
      </c>
      <c r="I375" s="50" t="s">
        <v>3161</v>
      </c>
      <c r="J375" s="50" t="s">
        <v>3565</v>
      </c>
      <c r="L375" s="31">
        <v>3.3042255869480601</v>
      </c>
      <c r="M375" s="50"/>
      <c r="N375" s="4"/>
      <c r="O375" s="44"/>
      <c r="P375" s="2"/>
      <c r="Q375"/>
      <c r="R375"/>
    </row>
    <row r="376" spans="1:18" x14ac:dyDescent="0.3">
      <c r="A376" s="3">
        <v>99031</v>
      </c>
      <c r="B376" s="3">
        <v>196</v>
      </c>
      <c r="C376" s="2" t="s">
        <v>2402</v>
      </c>
      <c r="D376" s="45"/>
      <c r="E376" s="4" t="s">
        <v>2402</v>
      </c>
      <c r="F376" s="50" t="s">
        <v>2484</v>
      </c>
      <c r="G376" s="2" t="s">
        <v>300</v>
      </c>
      <c r="H376" s="2" t="s">
        <v>300</v>
      </c>
      <c r="I376" s="50" t="s">
        <v>3158</v>
      </c>
      <c r="J376" s="50" t="s">
        <v>3566</v>
      </c>
      <c r="L376" s="31">
        <v>7.2377945734193601</v>
      </c>
      <c r="M376" s="50" t="s">
        <v>2486</v>
      </c>
      <c r="N376" s="4"/>
      <c r="O376" s="44"/>
      <c r="P376" s="2"/>
      <c r="Q376"/>
      <c r="R376"/>
    </row>
    <row r="377" spans="1:18" x14ac:dyDescent="0.3">
      <c r="A377" s="3">
        <v>73335</v>
      </c>
      <c r="B377" s="3">
        <v>3</v>
      </c>
      <c r="C377" s="2" t="s">
        <v>2514</v>
      </c>
      <c r="D377" s="45"/>
      <c r="E377" s="4" t="s">
        <v>2514</v>
      </c>
      <c r="F377" s="50" t="s">
        <v>2574</v>
      </c>
      <c r="G377" s="2" t="s">
        <v>297</v>
      </c>
      <c r="H377" s="2" t="s">
        <v>297</v>
      </c>
      <c r="I377" s="50" t="s">
        <v>3206</v>
      </c>
      <c r="J377" s="50" t="s">
        <v>3085</v>
      </c>
      <c r="K377" s="4">
        <v>7.3</v>
      </c>
      <c r="L377" s="31">
        <v>27.468748668936499</v>
      </c>
      <c r="M377" s="50"/>
      <c r="N377" s="4"/>
      <c r="O377" s="44">
        <v>45737.375</v>
      </c>
      <c r="P377" s="2"/>
      <c r="Q377"/>
      <c r="R377"/>
    </row>
    <row r="378" spans="1:18" x14ac:dyDescent="0.3">
      <c r="A378" s="3">
        <v>70754</v>
      </c>
      <c r="B378" s="3">
        <v>0</v>
      </c>
      <c r="C378" s="2" t="s">
        <v>2514</v>
      </c>
      <c r="D378" s="45"/>
      <c r="E378" s="4" t="s">
        <v>2514</v>
      </c>
      <c r="F378" s="50" t="s">
        <v>2524</v>
      </c>
      <c r="G378" s="2" t="s">
        <v>298</v>
      </c>
      <c r="H378" s="2" t="s">
        <v>298</v>
      </c>
      <c r="I378" s="50" t="s">
        <v>3187</v>
      </c>
      <c r="J378" s="50" t="s">
        <v>3724</v>
      </c>
      <c r="K378" s="4">
        <v>0.48</v>
      </c>
      <c r="L378" s="31">
        <v>20.160256910631599</v>
      </c>
      <c r="M378" s="50"/>
      <c r="N378" s="4"/>
      <c r="O378" s="44"/>
      <c r="P378" s="2"/>
      <c r="Q378"/>
      <c r="R378"/>
    </row>
    <row r="379" spans="1:18" x14ac:dyDescent="0.3">
      <c r="A379" s="3">
        <v>70747</v>
      </c>
      <c r="B379" s="3">
        <v>0</v>
      </c>
      <c r="C379" s="2" t="s">
        <v>2514</v>
      </c>
      <c r="D379" s="45"/>
      <c r="E379" s="4" t="s">
        <v>2514</v>
      </c>
      <c r="F379" s="50" t="s">
        <v>2521</v>
      </c>
      <c r="G379" s="2" t="s">
        <v>303</v>
      </c>
      <c r="H379" s="2" t="s">
        <v>303</v>
      </c>
      <c r="I379" s="50" t="s">
        <v>3183</v>
      </c>
      <c r="J379" s="50" t="s">
        <v>3725</v>
      </c>
      <c r="K379" s="4">
        <v>5.98</v>
      </c>
      <c r="L379" s="31">
        <v>16.4996252416605</v>
      </c>
      <c r="M379" s="50"/>
      <c r="N379" s="4"/>
      <c r="O379" s="44">
        <v>45737.25</v>
      </c>
      <c r="P379" s="2"/>
      <c r="Q379"/>
      <c r="R379"/>
    </row>
    <row r="380" spans="1:18" x14ac:dyDescent="0.3">
      <c r="A380" s="3">
        <v>73418</v>
      </c>
      <c r="B380" s="3">
        <v>0</v>
      </c>
      <c r="C380" s="2" t="s">
        <v>2514</v>
      </c>
      <c r="D380" s="45"/>
      <c r="E380" s="4" t="s">
        <v>2514</v>
      </c>
      <c r="F380" s="50" t="s">
        <v>2592</v>
      </c>
      <c r="G380" s="2" t="s">
        <v>303</v>
      </c>
      <c r="H380" s="2" t="s">
        <v>303</v>
      </c>
      <c r="I380" s="50" t="s">
        <v>3189</v>
      </c>
      <c r="J380" s="50" t="s">
        <v>3083</v>
      </c>
      <c r="K380" s="4">
        <v>6.28</v>
      </c>
      <c r="L380" s="31">
        <v>4.9515564179525304</v>
      </c>
      <c r="M380" s="50"/>
      <c r="N380" s="4"/>
      <c r="O380" s="44">
        <v>45737.333333333336</v>
      </c>
      <c r="P380" s="2"/>
      <c r="Q380"/>
      <c r="R380"/>
    </row>
    <row r="381" spans="1:18" x14ac:dyDescent="0.3">
      <c r="A381" s="3">
        <v>71241</v>
      </c>
      <c r="B381" s="3">
        <v>0</v>
      </c>
      <c r="C381" s="2" t="s">
        <v>2514</v>
      </c>
      <c r="D381" s="45"/>
      <c r="E381" s="4" t="s">
        <v>2514</v>
      </c>
      <c r="F381" s="50" t="s">
        <v>2554</v>
      </c>
      <c r="G381" s="2" t="s">
        <v>300</v>
      </c>
      <c r="H381" s="2" t="s">
        <v>300</v>
      </c>
      <c r="I381" s="50" t="s">
        <v>3207</v>
      </c>
      <c r="J381" s="50" t="s">
        <v>3726</v>
      </c>
      <c r="K381" s="4">
        <v>5.96</v>
      </c>
      <c r="L381" s="31">
        <v>8.7867799719248296E-2</v>
      </c>
      <c r="M381" s="50"/>
      <c r="N381" s="4"/>
      <c r="O381" s="44">
        <v>45737.291666666664</v>
      </c>
      <c r="P381" s="2"/>
      <c r="Q381"/>
      <c r="R381"/>
    </row>
    <row r="382" spans="1:18" x14ac:dyDescent="0.3">
      <c r="A382" s="3">
        <v>99031</v>
      </c>
      <c r="B382" s="3">
        <v>138</v>
      </c>
      <c r="C382" s="2" t="s">
        <v>2514</v>
      </c>
      <c r="D382" s="45"/>
      <c r="E382" s="4" t="s">
        <v>2514</v>
      </c>
      <c r="F382" s="50" t="s">
        <v>2628</v>
      </c>
      <c r="G382" s="2" t="s">
        <v>300</v>
      </c>
      <c r="H382" s="2" t="s">
        <v>300</v>
      </c>
      <c r="I382" s="50" t="s">
        <v>3204</v>
      </c>
      <c r="J382" s="50" t="s">
        <v>3727</v>
      </c>
      <c r="K382" s="4">
        <v>19.87</v>
      </c>
      <c r="L382" s="31">
        <v>0.398754528518595</v>
      </c>
      <c r="M382" s="50"/>
      <c r="N382" s="4"/>
      <c r="O382" s="44">
        <v>45737.25</v>
      </c>
      <c r="P382" s="2"/>
      <c r="Q382"/>
      <c r="R382"/>
    </row>
    <row r="383" spans="1:18" x14ac:dyDescent="0.3">
      <c r="A383" s="3">
        <v>73581</v>
      </c>
      <c r="B383" s="3">
        <v>0</v>
      </c>
      <c r="C383" s="2" t="s">
        <v>2514</v>
      </c>
      <c r="D383" s="45"/>
      <c r="E383" s="4" t="s">
        <v>2514</v>
      </c>
      <c r="F383" s="50" t="s">
        <v>2610</v>
      </c>
      <c r="G383" s="2" t="s">
        <v>323</v>
      </c>
      <c r="H383" s="2" t="s">
        <v>323</v>
      </c>
      <c r="I383" s="50" t="s">
        <v>3192</v>
      </c>
      <c r="J383" s="50" t="s">
        <v>3728</v>
      </c>
      <c r="L383" s="31">
        <v>0.62763136349343496</v>
      </c>
      <c r="M383" s="50"/>
      <c r="N383" s="4"/>
      <c r="O383" s="44"/>
      <c r="P383" s="2"/>
      <c r="Q383"/>
      <c r="R383"/>
    </row>
    <row r="384" spans="1:18" x14ac:dyDescent="0.3">
      <c r="A384" s="3">
        <v>73382</v>
      </c>
      <c r="B384" s="3">
        <v>0</v>
      </c>
      <c r="C384" s="2" t="s">
        <v>2514</v>
      </c>
      <c r="D384" s="45"/>
      <c r="E384" s="4" t="s">
        <v>2514</v>
      </c>
      <c r="F384" s="50" t="s">
        <v>2580</v>
      </c>
      <c r="G384" s="2" t="s">
        <v>302</v>
      </c>
      <c r="H384" s="2" t="s">
        <v>302</v>
      </c>
      <c r="I384" s="50" t="s">
        <v>3188</v>
      </c>
      <c r="J384" s="50" t="s">
        <v>3729</v>
      </c>
      <c r="K384" s="4">
        <v>2.08</v>
      </c>
      <c r="L384" s="31">
        <v>1.86676893973942</v>
      </c>
      <c r="M384" s="50"/>
      <c r="N384" s="4"/>
      <c r="O384" s="44">
        <v>45737.333333333336</v>
      </c>
      <c r="P384" s="2"/>
      <c r="Q384"/>
      <c r="R384"/>
    </row>
    <row r="385" spans="1:18" x14ac:dyDescent="0.3">
      <c r="A385" s="3">
        <v>70807</v>
      </c>
      <c r="B385" s="3">
        <v>0</v>
      </c>
      <c r="C385" s="2" t="s">
        <v>2514</v>
      </c>
      <c r="D385" s="45"/>
      <c r="E385" s="4" t="s">
        <v>2514</v>
      </c>
      <c r="F385" s="50" t="s">
        <v>2527</v>
      </c>
      <c r="G385" s="2" t="s">
        <v>299</v>
      </c>
      <c r="H385" s="2" t="s">
        <v>299</v>
      </c>
      <c r="I385" s="50" t="s">
        <v>3186</v>
      </c>
      <c r="J385" s="50" t="s">
        <v>3730</v>
      </c>
      <c r="K385" s="4">
        <v>0.15</v>
      </c>
      <c r="L385" s="31">
        <v>0.75449360150693701</v>
      </c>
      <c r="M385" s="50"/>
      <c r="N385" s="4"/>
      <c r="O385" s="44">
        <v>45737.333333333336</v>
      </c>
      <c r="P385" s="2"/>
      <c r="Q385"/>
      <c r="R385"/>
    </row>
    <row r="386" spans="1:18" x14ac:dyDescent="0.3">
      <c r="A386" s="3">
        <v>99193</v>
      </c>
      <c r="B386" s="3">
        <v>5</v>
      </c>
      <c r="C386" s="2" t="s">
        <v>2514</v>
      </c>
      <c r="D386" s="45"/>
      <c r="E386" s="4" t="s">
        <v>2514</v>
      </c>
      <c r="F386" s="50" t="s">
        <v>2643</v>
      </c>
      <c r="G386" s="2" t="s">
        <v>323</v>
      </c>
      <c r="H386" s="2" t="s">
        <v>323</v>
      </c>
      <c r="I386" s="50" t="s">
        <v>3197</v>
      </c>
      <c r="J386" s="50" t="s">
        <v>3731</v>
      </c>
      <c r="K386" s="4">
        <v>0.15</v>
      </c>
      <c r="L386" s="31">
        <v>1.7303228280099501</v>
      </c>
      <c r="M386" s="50"/>
      <c r="N386" s="4"/>
      <c r="O386" s="44">
        <v>45737.333333333336</v>
      </c>
      <c r="P386" s="2"/>
      <c r="Q386"/>
      <c r="R386"/>
    </row>
    <row r="387" spans="1:18" x14ac:dyDescent="0.3">
      <c r="A387" s="3">
        <v>99152</v>
      </c>
      <c r="B387" s="3">
        <v>0</v>
      </c>
      <c r="C387" s="2" t="s">
        <v>2514</v>
      </c>
      <c r="D387" s="45"/>
      <c r="E387" s="4" t="s">
        <v>2514</v>
      </c>
      <c r="F387" s="50" t="s">
        <v>2635</v>
      </c>
      <c r="G387" s="2" t="s">
        <v>300</v>
      </c>
      <c r="H387" s="2" t="s">
        <v>300</v>
      </c>
      <c r="I387" s="50" t="s">
        <v>3182</v>
      </c>
      <c r="J387" s="50" t="s">
        <v>3732</v>
      </c>
      <c r="K387" s="4">
        <v>4.37</v>
      </c>
      <c r="L387" s="31">
        <v>0.73886179034789701</v>
      </c>
      <c r="M387" s="50"/>
      <c r="N387" s="4"/>
      <c r="O387" s="44">
        <v>45737.291666666664</v>
      </c>
      <c r="P387" s="2"/>
      <c r="Q387"/>
      <c r="R387"/>
    </row>
    <row r="388" spans="1:18" x14ac:dyDescent="0.3">
      <c r="A388" s="3">
        <v>73386</v>
      </c>
      <c r="B388" s="3">
        <v>0</v>
      </c>
      <c r="C388" s="2" t="s">
        <v>2514</v>
      </c>
      <c r="D388" s="45"/>
      <c r="E388" s="4" t="s">
        <v>2514</v>
      </c>
      <c r="F388" s="50" t="s">
        <v>2584</v>
      </c>
      <c r="G388" s="2" t="s">
        <v>299</v>
      </c>
      <c r="H388" s="2" t="s">
        <v>299</v>
      </c>
      <c r="I388" s="50" t="s">
        <v>3195</v>
      </c>
      <c r="J388" s="50" t="s">
        <v>3733</v>
      </c>
      <c r="K388" s="4">
        <v>9.73</v>
      </c>
      <c r="L388" s="31">
        <v>2.0339494097489998</v>
      </c>
      <c r="M388" s="50"/>
      <c r="N388" s="4"/>
      <c r="O388" s="44">
        <v>45737.25</v>
      </c>
      <c r="P388" s="2"/>
      <c r="Q388"/>
      <c r="R388"/>
    </row>
    <row r="389" spans="1:18" x14ac:dyDescent="0.3">
      <c r="A389" s="3">
        <v>99173</v>
      </c>
      <c r="B389" s="3">
        <v>0</v>
      </c>
      <c r="C389" s="2" t="s">
        <v>2514</v>
      </c>
      <c r="D389" s="45"/>
      <c r="E389" s="4" t="s">
        <v>2514</v>
      </c>
      <c r="F389" s="50" t="s">
        <v>2639</v>
      </c>
      <c r="G389" s="2" t="s">
        <v>297</v>
      </c>
      <c r="H389" s="2" t="s">
        <v>297</v>
      </c>
      <c r="I389" s="50" t="s">
        <v>3191</v>
      </c>
      <c r="J389" s="50" t="s">
        <v>3734</v>
      </c>
      <c r="K389" s="4">
        <v>3.6</v>
      </c>
      <c r="L389" s="31">
        <v>1.33406163909194</v>
      </c>
      <c r="M389" s="50"/>
      <c r="N389" s="4"/>
      <c r="O389" s="44">
        <v>45737.333333333336</v>
      </c>
      <c r="P389" s="2"/>
      <c r="Q389"/>
      <c r="R389"/>
    </row>
    <row r="390" spans="1:18" x14ac:dyDescent="0.3">
      <c r="A390" s="3">
        <v>99031</v>
      </c>
      <c r="B390" s="3">
        <v>110</v>
      </c>
      <c r="C390" s="2" t="s">
        <v>2514</v>
      </c>
      <c r="D390" s="45"/>
      <c r="E390" s="4" t="s">
        <v>2514</v>
      </c>
      <c r="F390" s="50" t="s">
        <v>2625</v>
      </c>
      <c r="G390" s="2" t="s">
        <v>300</v>
      </c>
      <c r="H390" s="2" t="s">
        <v>300</v>
      </c>
      <c r="I390" s="50" t="s">
        <v>3041</v>
      </c>
      <c r="J390" s="50" t="s">
        <v>3735</v>
      </c>
      <c r="K390" s="4">
        <v>21.99</v>
      </c>
      <c r="L390" s="31">
        <v>59.313110618665704</v>
      </c>
      <c r="M390" s="50"/>
      <c r="N390" s="4"/>
      <c r="O390" s="44">
        <v>45737.25</v>
      </c>
      <c r="P390" s="2"/>
      <c r="Q390"/>
      <c r="R390"/>
    </row>
    <row r="391" spans="1:18" x14ac:dyDescent="0.3">
      <c r="A391" s="3">
        <v>73028</v>
      </c>
      <c r="B391" s="3">
        <v>0</v>
      </c>
      <c r="C391" s="2" t="s">
        <v>2514</v>
      </c>
      <c r="D391" s="45"/>
      <c r="E391" s="4" t="s">
        <v>2514</v>
      </c>
      <c r="F391" s="50" t="s">
        <v>2563</v>
      </c>
      <c r="G391" s="2" t="s">
        <v>303</v>
      </c>
      <c r="H391" s="2" t="s">
        <v>303</v>
      </c>
      <c r="I391" s="50" t="s">
        <v>3198</v>
      </c>
      <c r="J391" s="50" t="s">
        <v>3736</v>
      </c>
      <c r="K391" s="4">
        <v>0.31</v>
      </c>
      <c r="L391" s="31">
        <v>1.4470654162192</v>
      </c>
      <c r="M391" s="50"/>
      <c r="N391" s="4"/>
      <c r="O391" s="44">
        <v>45737.333333333336</v>
      </c>
      <c r="P391" s="2"/>
      <c r="Q391"/>
      <c r="R391"/>
    </row>
    <row r="392" spans="1:18" x14ac:dyDescent="0.3">
      <c r="A392" s="3">
        <v>71242</v>
      </c>
      <c r="B392" s="3">
        <v>0</v>
      </c>
      <c r="C392" s="2" t="s">
        <v>2514</v>
      </c>
      <c r="D392" s="45"/>
      <c r="E392" s="4" t="s">
        <v>2514</v>
      </c>
      <c r="F392" s="50" t="s">
        <v>2557</v>
      </c>
      <c r="G392" s="2" t="s">
        <v>298</v>
      </c>
      <c r="H392" s="2" t="s">
        <v>298</v>
      </c>
      <c r="I392" s="50" t="s">
        <v>3196</v>
      </c>
      <c r="J392" s="50" t="s">
        <v>3737</v>
      </c>
      <c r="K392" s="4">
        <v>0.13</v>
      </c>
      <c r="L392" s="31">
        <v>0.17662033046582301</v>
      </c>
      <c r="M392" s="50"/>
      <c r="N392" s="4"/>
      <c r="O392" s="44">
        <v>45737.333333333336</v>
      </c>
      <c r="P392" s="2"/>
      <c r="Q392"/>
      <c r="R392"/>
    </row>
    <row r="393" spans="1:18" x14ac:dyDescent="0.3">
      <c r="A393" s="3">
        <v>73537</v>
      </c>
      <c r="B393" s="3">
        <v>0</v>
      </c>
      <c r="C393" s="2" t="s">
        <v>2514</v>
      </c>
      <c r="D393" s="45"/>
      <c r="E393" s="4" t="s">
        <v>2514</v>
      </c>
      <c r="F393" s="50" t="s">
        <v>2607</v>
      </c>
      <c r="G393" s="2" t="s">
        <v>323</v>
      </c>
      <c r="H393" s="2" t="s">
        <v>323</v>
      </c>
      <c r="I393" s="50" t="s">
        <v>3046</v>
      </c>
      <c r="J393" s="50" t="s">
        <v>3738</v>
      </c>
      <c r="K393" s="4">
        <v>27.42</v>
      </c>
      <c r="L393" s="31">
        <v>9.1153394350195605</v>
      </c>
      <c r="M393" s="50"/>
      <c r="N393" s="4"/>
      <c r="O393" s="44"/>
      <c r="P393" s="2"/>
      <c r="Q393"/>
      <c r="R393"/>
    </row>
    <row r="394" spans="1:18" x14ac:dyDescent="0.3">
      <c r="A394" s="3">
        <v>73404</v>
      </c>
      <c r="B394" s="3">
        <v>5</v>
      </c>
      <c r="C394" s="2" t="s">
        <v>2514</v>
      </c>
      <c r="D394" s="45"/>
      <c r="E394" s="4" t="s">
        <v>2514</v>
      </c>
      <c r="F394" s="50" t="s">
        <v>2586</v>
      </c>
      <c r="G394" s="2" t="s">
        <v>303</v>
      </c>
      <c r="H394" s="2" t="s">
        <v>303</v>
      </c>
      <c r="I394" s="50" t="s">
        <v>3203</v>
      </c>
      <c r="J394" s="50" t="s">
        <v>3739</v>
      </c>
      <c r="K394" s="4">
        <v>0.45</v>
      </c>
      <c r="L394" s="31">
        <v>0.69803881763772302</v>
      </c>
      <c r="M394" s="50"/>
      <c r="N394" s="4"/>
      <c r="O394" s="44">
        <v>45737.291666666664</v>
      </c>
      <c r="P394" s="2"/>
      <c r="Q394"/>
      <c r="R394"/>
    </row>
    <row r="395" spans="1:18" x14ac:dyDescent="0.3">
      <c r="A395" s="3">
        <v>73605</v>
      </c>
      <c r="B395" s="3">
        <v>0</v>
      </c>
      <c r="C395" s="2" t="s">
        <v>2514</v>
      </c>
      <c r="D395" s="45"/>
      <c r="E395" s="4" t="s">
        <v>2514</v>
      </c>
      <c r="F395" s="50" t="s">
        <v>2619</v>
      </c>
      <c r="G395" s="2" t="s">
        <v>303</v>
      </c>
      <c r="H395" s="2" t="s">
        <v>303</v>
      </c>
      <c r="I395" s="50" t="s">
        <v>3205</v>
      </c>
      <c r="J395" s="50" t="s">
        <v>3740</v>
      </c>
      <c r="L395" s="31">
        <v>0.80571962673599296</v>
      </c>
      <c r="M395" s="50"/>
      <c r="N395" s="4"/>
      <c r="O395" s="44"/>
      <c r="P395" s="2"/>
      <c r="Q395"/>
      <c r="R395"/>
    </row>
    <row r="396" spans="1:18" x14ac:dyDescent="0.3">
      <c r="A396" s="3">
        <v>73585</v>
      </c>
      <c r="B396" s="3">
        <v>0</v>
      </c>
      <c r="C396" s="2" t="s">
        <v>2514</v>
      </c>
      <c r="D396" s="45"/>
      <c r="E396" s="4" t="s">
        <v>2514</v>
      </c>
      <c r="F396" s="50" t="s">
        <v>2613</v>
      </c>
      <c r="G396" s="2" t="s">
        <v>300</v>
      </c>
      <c r="H396" s="2" t="s">
        <v>300</v>
      </c>
      <c r="I396" s="50" t="s">
        <v>3210</v>
      </c>
      <c r="J396" s="50" t="s">
        <v>3741</v>
      </c>
      <c r="L396" s="31">
        <v>1.0372862120188999</v>
      </c>
      <c r="M396" s="50"/>
      <c r="N396" s="4">
        <v>12</v>
      </c>
      <c r="O396" s="44"/>
      <c r="P396" s="2"/>
      <c r="Q396"/>
      <c r="R396"/>
    </row>
    <row r="397" spans="1:18" x14ac:dyDescent="0.3">
      <c r="A397" s="3">
        <v>73447</v>
      </c>
      <c r="B397" s="3">
        <v>0</v>
      </c>
      <c r="C397" s="2" t="s">
        <v>2514</v>
      </c>
      <c r="D397" s="45"/>
      <c r="E397" s="4" t="s">
        <v>2514</v>
      </c>
      <c r="F397" s="50" t="s">
        <v>2598</v>
      </c>
      <c r="G397" s="2" t="s">
        <v>303</v>
      </c>
      <c r="H397" s="2" t="s">
        <v>303</v>
      </c>
      <c r="I397" s="50" t="s">
        <v>3184</v>
      </c>
      <c r="J397" s="50" t="s">
        <v>3742</v>
      </c>
      <c r="K397" s="4">
        <v>8.6</v>
      </c>
      <c r="L397" s="31">
        <v>1.95597559412403</v>
      </c>
      <c r="M397" s="50"/>
      <c r="N397" s="4"/>
      <c r="O397" s="44">
        <v>45737.291666666664</v>
      </c>
      <c r="P397" s="2"/>
      <c r="Q397"/>
      <c r="R397"/>
    </row>
    <row r="398" spans="1:18" x14ac:dyDescent="0.3">
      <c r="A398" s="3">
        <v>73029</v>
      </c>
      <c r="B398" s="3">
        <v>0</v>
      </c>
      <c r="C398" s="2" t="s">
        <v>2514</v>
      </c>
      <c r="D398" s="45"/>
      <c r="E398" s="4" t="s">
        <v>2514</v>
      </c>
      <c r="F398" s="50" t="s">
        <v>2566</v>
      </c>
      <c r="G398" s="2" t="s">
        <v>303</v>
      </c>
      <c r="H398" s="2" t="s">
        <v>303</v>
      </c>
      <c r="I398" s="50" t="s">
        <v>3185</v>
      </c>
      <c r="J398" s="50" t="s">
        <v>3743</v>
      </c>
      <c r="K398" s="4">
        <v>0.4</v>
      </c>
      <c r="L398" s="31">
        <v>2.00840860052188</v>
      </c>
      <c r="M398" s="50"/>
      <c r="N398" s="4"/>
      <c r="O398" s="44">
        <v>45737.333333333336</v>
      </c>
      <c r="P398" s="2"/>
      <c r="Q398"/>
      <c r="R398"/>
    </row>
    <row r="399" spans="1:18" x14ac:dyDescent="0.3">
      <c r="A399" s="3">
        <v>99058</v>
      </c>
      <c r="B399" s="3">
        <v>36</v>
      </c>
      <c r="C399" s="2" t="s">
        <v>2514</v>
      </c>
      <c r="D399" s="45"/>
      <c r="E399" s="4" t="s">
        <v>2514</v>
      </c>
      <c r="F399" s="50" t="s">
        <v>2633</v>
      </c>
      <c r="G399" s="2" t="s">
        <v>300</v>
      </c>
      <c r="H399" s="2" t="s">
        <v>300</v>
      </c>
      <c r="I399" s="50" t="s">
        <v>3208</v>
      </c>
      <c r="J399" s="50" t="s">
        <v>3744</v>
      </c>
      <c r="K399" s="4">
        <v>0.22</v>
      </c>
      <c r="L399" s="31">
        <v>16.301781208368801</v>
      </c>
      <c r="M399" s="50"/>
      <c r="N399" s="4"/>
      <c r="O399" s="44">
        <v>45737.333333333336</v>
      </c>
      <c r="P399" s="2"/>
      <c r="Q399"/>
      <c r="R399"/>
    </row>
    <row r="400" spans="1:18" x14ac:dyDescent="0.3">
      <c r="A400" s="3">
        <v>99058</v>
      </c>
      <c r="B400" s="3">
        <v>14</v>
      </c>
      <c r="C400" s="2" t="s">
        <v>2514</v>
      </c>
      <c r="D400" s="45"/>
      <c r="E400" s="4" t="s">
        <v>2514</v>
      </c>
      <c r="F400" s="50" t="s">
        <v>2630</v>
      </c>
      <c r="G400" s="2" t="s">
        <v>300</v>
      </c>
      <c r="H400" s="2" t="s">
        <v>300</v>
      </c>
      <c r="I400" s="50" t="s">
        <v>3212</v>
      </c>
      <c r="J400" s="50" t="s">
        <v>3745</v>
      </c>
      <c r="K400" s="4">
        <v>20.78</v>
      </c>
      <c r="L400" s="31">
        <v>0.93163890584850195</v>
      </c>
      <c r="M400" s="50"/>
      <c r="N400" s="4"/>
      <c r="O400" s="44">
        <v>45737.333333333336</v>
      </c>
      <c r="P400" s="2"/>
      <c r="Q400"/>
      <c r="R400"/>
    </row>
    <row r="401" spans="1:18" x14ac:dyDescent="0.3">
      <c r="A401" s="3">
        <v>71138</v>
      </c>
      <c r="B401" s="3">
        <v>0</v>
      </c>
      <c r="C401" s="2" t="s">
        <v>2514</v>
      </c>
      <c r="D401" s="45"/>
      <c r="E401" s="4" t="s">
        <v>2514</v>
      </c>
      <c r="F401" s="50" t="s">
        <v>2551</v>
      </c>
      <c r="G401" s="2" t="s">
        <v>297</v>
      </c>
      <c r="H401" s="2" t="s">
        <v>297</v>
      </c>
      <c r="I401" s="50" t="s">
        <v>3202</v>
      </c>
      <c r="J401" s="50" t="s">
        <v>3746</v>
      </c>
      <c r="K401" s="4">
        <v>9.15</v>
      </c>
      <c r="L401" s="31">
        <v>1.5689778603273801</v>
      </c>
      <c r="M401" s="50"/>
      <c r="N401" s="4"/>
      <c r="O401" s="44">
        <v>45737.333333333336</v>
      </c>
      <c r="P401" s="2"/>
      <c r="Q401"/>
      <c r="R401"/>
    </row>
    <row r="402" spans="1:18" x14ac:dyDescent="0.3">
      <c r="A402" s="3">
        <v>99031</v>
      </c>
      <c r="B402" s="3">
        <v>58</v>
      </c>
      <c r="C402" s="2" t="s">
        <v>2514</v>
      </c>
      <c r="D402" s="45"/>
      <c r="E402" s="4" t="s">
        <v>2514</v>
      </c>
      <c r="F402" s="50" t="s">
        <v>2622</v>
      </c>
      <c r="G402" s="2" t="s">
        <v>300</v>
      </c>
      <c r="H402" s="2" t="s">
        <v>300</v>
      </c>
      <c r="I402" s="50" t="s">
        <v>3213</v>
      </c>
      <c r="J402" s="50" t="s">
        <v>3747</v>
      </c>
      <c r="K402" s="4">
        <v>14.56</v>
      </c>
      <c r="L402" s="31">
        <v>8.3459828383619801</v>
      </c>
      <c r="M402" s="50"/>
      <c r="N402" s="4"/>
      <c r="O402" s="44">
        <v>45737.25</v>
      </c>
      <c r="P402" s="2"/>
      <c r="Q402"/>
      <c r="R402"/>
    </row>
    <row r="403" spans="1:18" x14ac:dyDescent="0.3">
      <c r="A403" s="3">
        <v>70886</v>
      </c>
      <c r="B403" s="3">
        <v>0</v>
      </c>
      <c r="C403" s="2" t="s">
        <v>2514</v>
      </c>
      <c r="D403" s="45"/>
      <c r="E403" s="4" t="s">
        <v>2514</v>
      </c>
      <c r="F403" s="50" t="s">
        <v>2533</v>
      </c>
      <c r="G403" s="2" t="s">
        <v>298</v>
      </c>
      <c r="H403" s="2" t="s">
        <v>298</v>
      </c>
      <c r="I403" s="50" t="s">
        <v>3201</v>
      </c>
      <c r="J403" s="50" t="s">
        <v>3748</v>
      </c>
      <c r="K403" s="4">
        <v>3.92</v>
      </c>
      <c r="L403" s="31">
        <v>1.82619911517793</v>
      </c>
      <c r="M403" s="50"/>
      <c r="N403" s="4"/>
      <c r="O403" s="44">
        <v>45737.333333333336</v>
      </c>
      <c r="P403" s="2"/>
      <c r="Q403"/>
      <c r="R403"/>
    </row>
    <row r="404" spans="1:18" x14ac:dyDescent="0.3">
      <c r="A404" s="3">
        <v>71087</v>
      </c>
      <c r="B404" s="3">
        <v>0</v>
      </c>
      <c r="C404" s="2" t="s">
        <v>2514</v>
      </c>
      <c r="D404" s="45"/>
      <c r="E404" s="4" t="s">
        <v>2514</v>
      </c>
      <c r="F404" s="50" t="s">
        <v>2536</v>
      </c>
      <c r="G404" s="2" t="s">
        <v>323</v>
      </c>
      <c r="H404" s="2" t="s">
        <v>323</v>
      </c>
      <c r="I404" s="50" t="s">
        <v>3200</v>
      </c>
      <c r="J404" s="50" t="s">
        <v>3749</v>
      </c>
      <c r="K404" s="4">
        <v>7.53</v>
      </c>
      <c r="L404" s="31">
        <v>1.78761338706499</v>
      </c>
      <c r="M404" s="50"/>
      <c r="N404" s="4"/>
      <c r="O404" s="44">
        <v>45737.333333333336</v>
      </c>
      <c r="P404" s="2"/>
      <c r="Q404"/>
      <c r="R404"/>
    </row>
    <row r="405" spans="1:18" x14ac:dyDescent="0.3">
      <c r="A405" s="3">
        <v>73437</v>
      </c>
      <c r="B405" s="3">
        <v>0</v>
      </c>
      <c r="C405" s="2" t="s">
        <v>2514</v>
      </c>
      <c r="D405" s="45"/>
      <c r="E405" s="4" t="s">
        <v>2514</v>
      </c>
      <c r="F405" s="50" t="s">
        <v>2595</v>
      </c>
      <c r="G405" s="2" t="s">
        <v>298</v>
      </c>
      <c r="H405" s="2" t="s">
        <v>298</v>
      </c>
      <c r="I405" s="50" t="s">
        <v>3211</v>
      </c>
      <c r="J405" s="50" t="s">
        <v>3750</v>
      </c>
      <c r="K405" s="4">
        <v>3.97</v>
      </c>
      <c r="L405" s="31">
        <v>2.3977570813920002</v>
      </c>
      <c r="M405" s="50"/>
      <c r="N405" s="4"/>
      <c r="O405" s="44">
        <v>45737.375</v>
      </c>
      <c r="P405" s="2"/>
      <c r="Q405"/>
      <c r="R405"/>
    </row>
    <row r="406" spans="1:18" x14ac:dyDescent="0.3">
      <c r="A406" s="3">
        <v>73536</v>
      </c>
      <c r="B406" s="3">
        <v>0</v>
      </c>
      <c r="C406" s="2" t="s">
        <v>2514</v>
      </c>
      <c r="D406" s="45"/>
      <c r="E406" s="4" t="s">
        <v>2514</v>
      </c>
      <c r="F406" s="50" t="s">
        <v>2604</v>
      </c>
      <c r="G406" s="2" t="s">
        <v>300</v>
      </c>
      <c r="H406" s="2" t="s">
        <v>300</v>
      </c>
      <c r="I406" s="50" t="s">
        <v>3215</v>
      </c>
      <c r="J406" s="50" t="s">
        <v>3751</v>
      </c>
      <c r="K406" s="4">
        <v>8.31</v>
      </c>
      <c r="L406" s="31">
        <v>3.4950010392376498</v>
      </c>
      <c r="M406" s="50"/>
      <c r="N406" s="4">
        <v>14</v>
      </c>
      <c r="O406" s="44">
        <v>45737.333333333336</v>
      </c>
      <c r="P406" s="2"/>
      <c r="Q406"/>
      <c r="R406"/>
    </row>
    <row r="407" spans="1:18" x14ac:dyDescent="0.3">
      <c r="A407" s="3">
        <v>73245</v>
      </c>
      <c r="B407" s="3">
        <v>0</v>
      </c>
      <c r="C407" s="2" t="s">
        <v>2514</v>
      </c>
      <c r="D407" s="45"/>
      <c r="E407" s="4" t="s">
        <v>2514</v>
      </c>
      <c r="F407" s="50" t="s">
        <v>2572</v>
      </c>
      <c r="G407" s="2" t="s">
        <v>297</v>
      </c>
      <c r="H407" s="2" t="s">
        <v>297</v>
      </c>
      <c r="I407" s="50" t="s">
        <v>3040</v>
      </c>
      <c r="J407" s="50" t="s">
        <v>3752</v>
      </c>
      <c r="K407" s="4">
        <v>5.23</v>
      </c>
      <c r="L407" s="31">
        <v>0.659418728044045</v>
      </c>
      <c r="M407" s="50"/>
      <c r="N407" s="4"/>
      <c r="O407" s="44">
        <v>45737.375</v>
      </c>
      <c r="P407" s="2"/>
      <c r="Q407"/>
      <c r="R407"/>
    </row>
    <row r="408" spans="1:18" x14ac:dyDescent="0.3">
      <c r="A408" s="3">
        <v>99161</v>
      </c>
      <c r="B408" s="3">
        <v>110</v>
      </c>
      <c r="C408" s="2" t="s">
        <v>2514</v>
      </c>
      <c r="D408" s="45"/>
      <c r="E408" s="4" t="s">
        <v>2514</v>
      </c>
      <c r="F408" s="50" t="s">
        <v>2637</v>
      </c>
      <c r="G408" s="2" t="s">
        <v>300</v>
      </c>
      <c r="H408" s="2" t="s">
        <v>300</v>
      </c>
      <c r="I408" s="50" t="s">
        <v>3045</v>
      </c>
      <c r="J408" s="50" t="s">
        <v>3753</v>
      </c>
      <c r="L408" s="31">
        <v>3.7917476467393998</v>
      </c>
      <c r="M408" s="50"/>
      <c r="N408" s="4"/>
      <c r="O408" s="44"/>
      <c r="P408" s="2"/>
      <c r="Q408"/>
      <c r="R408"/>
    </row>
    <row r="409" spans="1:18" x14ac:dyDescent="0.3">
      <c r="A409" s="3">
        <v>71115</v>
      </c>
      <c r="B409" s="3">
        <v>0</v>
      </c>
      <c r="C409" s="2" t="s">
        <v>2514</v>
      </c>
      <c r="D409" s="45"/>
      <c r="E409" s="4" t="s">
        <v>2514</v>
      </c>
      <c r="F409" s="50" t="s">
        <v>2548</v>
      </c>
      <c r="G409" s="2" t="s">
        <v>300</v>
      </c>
      <c r="H409" s="2" t="s">
        <v>300</v>
      </c>
      <c r="I409" s="50" t="s">
        <v>3209</v>
      </c>
      <c r="J409" s="50" t="s">
        <v>3754</v>
      </c>
      <c r="K409" s="4">
        <v>9.56</v>
      </c>
      <c r="L409" s="31">
        <v>9.3838325178610393</v>
      </c>
      <c r="M409" s="50"/>
      <c r="N409" s="4">
        <v>45</v>
      </c>
      <c r="O409" s="44">
        <v>45737.291666666664</v>
      </c>
      <c r="P409" s="2"/>
      <c r="Q409"/>
      <c r="R409"/>
    </row>
    <row r="410" spans="1:18" x14ac:dyDescent="0.3">
      <c r="A410" s="3">
        <v>73453</v>
      </c>
      <c r="B410" s="3">
        <v>0</v>
      </c>
      <c r="C410" s="2" t="s">
        <v>2514</v>
      </c>
      <c r="D410" s="45"/>
      <c r="E410" s="4" t="s">
        <v>2514</v>
      </c>
      <c r="F410" s="50" t="s">
        <v>2601</v>
      </c>
      <c r="G410" s="2" t="s">
        <v>303</v>
      </c>
      <c r="H410" s="2" t="s">
        <v>303</v>
      </c>
      <c r="I410" s="50" t="s">
        <v>3199</v>
      </c>
      <c r="J410" s="50" t="s">
        <v>3755</v>
      </c>
      <c r="K410" s="4">
        <v>5.48</v>
      </c>
      <c r="L410" s="31">
        <v>3.5780412015798801</v>
      </c>
      <c r="M410" s="50"/>
      <c r="N410" s="4"/>
      <c r="O410" s="44">
        <v>45737.333333333336</v>
      </c>
      <c r="P410" s="2"/>
      <c r="Q410"/>
      <c r="R410"/>
    </row>
    <row r="411" spans="1:18" x14ac:dyDescent="0.3">
      <c r="A411" s="3">
        <v>73045</v>
      </c>
      <c r="B411" s="3">
        <v>0</v>
      </c>
      <c r="C411" s="2" t="s">
        <v>2514</v>
      </c>
      <c r="D411" s="45"/>
      <c r="E411" s="4" t="s">
        <v>2514</v>
      </c>
      <c r="F411" s="50" t="s">
        <v>2569</v>
      </c>
      <c r="G411" s="2" t="s">
        <v>300</v>
      </c>
      <c r="H411" s="2" t="s">
        <v>300</v>
      </c>
      <c r="I411" s="50" t="s">
        <v>3217</v>
      </c>
      <c r="J411" s="50" t="s">
        <v>3756</v>
      </c>
      <c r="K411" s="4">
        <v>8.09</v>
      </c>
      <c r="L411" s="31">
        <v>1.6400858972694401</v>
      </c>
      <c r="M411" s="50"/>
      <c r="N411" s="4">
        <v>3</v>
      </c>
      <c r="O411" s="44"/>
      <c r="P411" s="2"/>
      <c r="Q411"/>
      <c r="R411"/>
    </row>
    <row r="412" spans="1:18" x14ac:dyDescent="0.3">
      <c r="A412" s="3">
        <v>70850</v>
      </c>
      <c r="B412" s="3">
        <v>0</v>
      </c>
      <c r="C412" s="2" t="s">
        <v>2514</v>
      </c>
      <c r="D412" s="45"/>
      <c r="E412" s="4" t="s">
        <v>2514</v>
      </c>
      <c r="F412" s="50" t="s">
        <v>2530</v>
      </c>
      <c r="G412" s="2" t="s">
        <v>298</v>
      </c>
      <c r="H412" s="2" t="s">
        <v>298</v>
      </c>
      <c r="I412" s="50" t="s">
        <v>3047</v>
      </c>
      <c r="J412" s="50" t="s">
        <v>3757</v>
      </c>
      <c r="K412" s="4">
        <v>6.72</v>
      </c>
      <c r="L412" s="31">
        <v>3.3306053164312202</v>
      </c>
      <c r="M412" s="50"/>
      <c r="N412" s="4"/>
      <c r="O412" s="44">
        <v>45737.333333333336</v>
      </c>
      <c r="P412" s="2"/>
      <c r="Q412"/>
      <c r="R412"/>
    </row>
    <row r="413" spans="1:18" x14ac:dyDescent="0.3">
      <c r="A413" s="3">
        <v>73597</v>
      </c>
      <c r="B413" s="3">
        <v>0</v>
      </c>
      <c r="C413" s="2" t="s">
        <v>2514</v>
      </c>
      <c r="D413" s="45"/>
      <c r="E413" s="4" t="s">
        <v>2514</v>
      </c>
      <c r="F413" s="50" t="s">
        <v>2616</v>
      </c>
      <c r="G413" s="2" t="s">
        <v>302</v>
      </c>
      <c r="H413" s="2" t="s">
        <v>302</v>
      </c>
      <c r="I413" s="50" t="s">
        <v>3214</v>
      </c>
      <c r="J413" s="50" t="s">
        <v>3758</v>
      </c>
      <c r="L413" s="31">
        <v>1.0094891726309401</v>
      </c>
      <c r="M413" s="50"/>
      <c r="N413" s="4"/>
      <c r="O413" s="44"/>
      <c r="P413" s="2"/>
      <c r="Q413"/>
      <c r="R413"/>
    </row>
    <row r="414" spans="1:18" x14ac:dyDescent="0.3">
      <c r="A414" s="3">
        <v>71112</v>
      </c>
      <c r="B414" s="3">
        <v>0</v>
      </c>
      <c r="C414" s="2" t="s">
        <v>2514</v>
      </c>
      <c r="D414" s="45"/>
      <c r="E414" s="4" t="s">
        <v>2514</v>
      </c>
      <c r="F414" s="50" t="s">
        <v>2545</v>
      </c>
      <c r="G414" s="2" t="s">
        <v>303</v>
      </c>
      <c r="H414" s="2" t="s">
        <v>303</v>
      </c>
      <c r="I414" s="50" t="s">
        <v>3044</v>
      </c>
      <c r="J414" s="50" t="s">
        <v>3759</v>
      </c>
      <c r="K414" s="4">
        <v>12.02</v>
      </c>
      <c r="L414" s="31">
        <v>5.1612654946287098</v>
      </c>
      <c r="M414" s="50"/>
      <c r="N414" s="4"/>
      <c r="O414" s="44">
        <v>45737.375</v>
      </c>
      <c r="P414" s="2"/>
      <c r="Q414"/>
      <c r="R414"/>
    </row>
    <row r="415" spans="1:18" x14ac:dyDescent="0.3">
      <c r="A415" s="3">
        <v>71088</v>
      </c>
      <c r="B415" s="3">
        <v>0</v>
      </c>
      <c r="C415" s="2" t="s">
        <v>2514</v>
      </c>
      <c r="D415" s="45"/>
      <c r="E415" s="4" t="s">
        <v>2514</v>
      </c>
      <c r="F415" s="50" t="s">
        <v>2539</v>
      </c>
      <c r="G415" s="2" t="s">
        <v>323</v>
      </c>
      <c r="H415" s="2" t="s">
        <v>323</v>
      </c>
      <c r="I415" s="50" t="s">
        <v>3193</v>
      </c>
      <c r="J415" s="50" t="s">
        <v>3760</v>
      </c>
      <c r="K415" s="4">
        <v>2.62</v>
      </c>
      <c r="L415" s="31">
        <v>6.8802769735488596</v>
      </c>
      <c r="M415" s="50"/>
      <c r="N415" s="4"/>
      <c r="O415" s="44">
        <v>45737.208333333336</v>
      </c>
      <c r="P415" s="2"/>
      <c r="Q415"/>
      <c r="R415"/>
    </row>
    <row r="416" spans="1:18" x14ac:dyDescent="0.3">
      <c r="A416" s="3">
        <v>99193</v>
      </c>
      <c r="B416" s="3">
        <v>1</v>
      </c>
      <c r="C416" s="2" t="s">
        <v>2514</v>
      </c>
      <c r="D416" s="45"/>
      <c r="E416" s="4" t="s">
        <v>2514</v>
      </c>
      <c r="F416" s="50" t="s">
        <v>2641</v>
      </c>
      <c r="G416" s="2" t="s">
        <v>303</v>
      </c>
      <c r="H416" s="2" t="s">
        <v>303</v>
      </c>
      <c r="I416" s="50" t="s">
        <v>3216</v>
      </c>
      <c r="J416" s="50" t="s">
        <v>3761</v>
      </c>
      <c r="K416" s="4">
        <v>9.4600000000000009</v>
      </c>
      <c r="L416" s="31">
        <v>4.1811390234712498</v>
      </c>
      <c r="M416" s="50"/>
      <c r="N416" s="4"/>
      <c r="O416" s="44">
        <v>45737.333333333336</v>
      </c>
      <c r="P416" s="2"/>
      <c r="Q416"/>
      <c r="R416"/>
    </row>
    <row r="417" spans="1:18" x14ac:dyDescent="0.3">
      <c r="A417" s="3">
        <v>71105</v>
      </c>
      <c r="B417" s="3">
        <v>0</v>
      </c>
      <c r="C417" s="2" t="s">
        <v>2514</v>
      </c>
      <c r="D417" s="45"/>
      <c r="E417" s="4" t="s">
        <v>2514</v>
      </c>
      <c r="F417" s="50" t="s">
        <v>2542</v>
      </c>
      <c r="G417" s="2" t="s">
        <v>299</v>
      </c>
      <c r="H417" s="2" t="s">
        <v>299</v>
      </c>
      <c r="I417" s="50" t="s">
        <v>3194</v>
      </c>
      <c r="J417" s="50" t="s">
        <v>3762</v>
      </c>
      <c r="K417" s="4">
        <v>7.87</v>
      </c>
      <c r="L417" s="31">
        <v>6.5390542541574597</v>
      </c>
      <c r="M417" s="50"/>
      <c r="N417" s="4"/>
      <c r="O417" s="44">
        <v>45737.291666666664</v>
      </c>
      <c r="P417" s="2"/>
      <c r="Q417"/>
      <c r="R417"/>
    </row>
    <row r="418" spans="1:18" x14ac:dyDescent="0.3">
      <c r="A418" s="3">
        <v>73404</v>
      </c>
      <c r="B418" s="3">
        <v>10</v>
      </c>
      <c r="C418" s="2" t="s">
        <v>2514</v>
      </c>
      <c r="D418" s="45"/>
      <c r="E418" s="4" t="s">
        <v>2514</v>
      </c>
      <c r="F418" s="50" t="s">
        <v>2589</v>
      </c>
      <c r="G418" s="2" t="s">
        <v>303</v>
      </c>
      <c r="H418" s="2" t="s">
        <v>303</v>
      </c>
      <c r="I418" s="50" t="s">
        <v>3190</v>
      </c>
      <c r="J418" s="50" t="s">
        <v>3763</v>
      </c>
      <c r="L418" s="31">
        <v>0.465881820431434</v>
      </c>
      <c r="M418" s="50"/>
      <c r="N418" s="4"/>
      <c r="O418" s="44"/>
      <c r="P418" s="2"/>
      <c r="Q418"/>
      <c r="R418"/>
    </row>
    <row r="419" spans="1:18" x14ac:dyDescent="0.3">
      <c r="A419" s="3">
        <v>71372</v>
      </c>
      <c r="B419" s="3">
        <v>0</v>
      </c>
      <c r="C419" s="2" t="s">
        <v>2514</v>
      </c>
      <c r="D419" s="45"/>
      <c r="E419" s="4" t="s">
        <v>2514</v>
      </c>
      <c r="F419" s="50" t="s">
        <v>2560</v>
      </c>
      <c r="G419" s="2" t="s">
        <v>300</v>
      </c>
      <c r="H419" s="2" t="s">
        <v>300</v>
      </c>
      <c r="I419" s="50" t="s">
        <v>3218</v>
      </c>
      <c r="J419" s="50" t="s">
        <v>3764</v>
      </c>
      <c r="K419" s="4">
        <v>11.85</v>
      </c>
      <c r="L419" s="31">
        <v>0.61582131271507001</v>
      </c>
      <c r="M419" s="50" t="s">
        <v>3415</v>
      </c>
      <c r="N419" s="4"/>
      <c r="O419" s="44">
        <v>45737.625</v>
      </c>
      <c r="P419" s="2"/>
      <c r="Q419"/>
      <c r="R419"/>
    </row>
    <row r="420" spans="1:18" x14ac:dyDescent="0.3">
      <c r="A420" s="3">
        <v>73546</v>
      </c>
      <c r="B420" s="3">
        <v>0</v>
      </c>
      <c r="C420" s="2" t="s">
        <v>2645</v>
      </c>
      <c r="D420" s="45"/>
      <c r="E420" s="4" t="s">
        <v>2645</v>
      </c>
      <c r="F420" s="50" t="s">
        <v>2683</v>
      </c>
      <c r="G420" s="2" t="s">
        <v>297</v>
      </c>
      <c r="H420" s="2" t="s">
        <v>297</v>
      </c>
      <c r="I420" s="50" t="s">
        <v>3238</v>
      </c>
      <c r="J420" s="50" t="s">
        <v>3085</v>
      </c>
      <c r="K420" s="4">
        <v>23</v>
      </c>
      <c r="L420" s="31">
        <v>81.507335106714095</v>
      </c>
      <c r="M420" s="50"/>
      <c r="N420" s="4"/>
      <c r="O420" s="44">
        <v>45737.375</v>
      </c>
      <c r="P420" s="2"/>
      <c r="Q420"/>
      <c r="R420"/>
    </row>
    <row r="421" spans="1:18" x14ac:dyDescent="0.3">
      <c r="A421" s="3">
        <v>73335</v>
      </c>
      <c r="B421" s="3">
        <v>0</v>
      </c>
      <c r="C421" s="2" t="s">
        <v>2645</v>
      </c>
      <c r="D421" s="45"/>
      <c r="E421" s="4" t="s">
        <v>2645</v>
      </c>
      <c r="F421" s="50" t="s">
        <v>2672</v>
      </c>
      <c r="G421" s="2" t="s">
        <v>298</v>
      </c>
      <c r="H421" s="2" t="s">
        <v>298</v>
      </c>
      <c r="I421" s="50" t="s">
        <v>3051</v>
      </c>
      <c r="J421" s="50" t="s">
        <v>3085</v>
      </c>
      <c r="K421" s="4">
        <v>5.65</v>
      </c>
      <c r="L421" s="31">
        <v>80.006178656082895</v>
      </c>
      <c r="M421" s="50"/>
      <c r="N421" s="4"/>
      <c r="O421" s="44">
        <v>45737.375</v>
      </c>
      <c r="P421" s="2"/>
      <c r="Q421"/>
      <c r="R421"/>
    </row>
    <row r="422" spans="1:18" x14ac:dyDescent="0.3">
      <c r="A422" s="3">
        <v>99061</v>
      </c>
      <c r="B422" s="3">
        <v>110</v>
      </c>
      <c r="C422" s="2" t="s">
        <v>2645</v>
      </c>
      <c r="D422" s="45"/>
      <c r="E422" s="4" t="s">
        <v>2645</v>
      </c>
      <c r="F422" s="50" t="s">
        <v>2715</v>
      </c>
      <c r="G422" s="2" t="s">
        <v>2716</v>
      </c>
      <c r="H422" s="2" t="s">
        <v>2716</v>
      </c>
      <c r="I422" s="50" t="s">
        <v>3045</v>
      </c>
      <c r="J422" s="50" t="s">
        <v>3567</v>
      </c>
      <c r="K422" s="4">
        <v>0.25</v>
      </c>
      <c r="L422" s="31">
        <v>80.802626082923297</v>
      </c>
      <c r="M422" s="50"/>
      <c r="N422" s="4"/>
      <c r="O422" s="44">
        <v>45737.25</v>
      </c>
      <c r="P422" s="2"/>
      <c r="Q422"/>
      <c r="R422"/>
    </row>
    <row r="423" spans="1:18" x14ac:dyDescent="0.3">
      <c r="A423" s="3">
        <v>70756</v>
      </c>
      <c r="B423" s="3">
        <v>0</v>
      </c>
      <c r="C423" s="2" t="s">
        <v>2645</v>
      </c>
      <c r="D423" s="45"/>
      <c r="E423" s="4" t="s">
        <v>2645</v>
      </c>
      <c r="F423" s="50" t="s">
        <v>2658</v>
      </c>
      <c r="G423" s="2" t="s">
        <v>298</v>
      </c>
      <c r="H423" s="2" t="s">
        <v>298</v>
      </c>
      <c r="I423" s="50" t="s">
        <v>3050</v>
      </c>
      <c r="J423" s="50" t="s">
        <v>3569</v>
      </c>
      <c r="K423" s="4">
        <v>7.26</v>
      </c>
      <c r="L423" s="31">
        <v>64.085734032550803</v>
      </c>
      <c r="M423" s="50"/>
      <c r="N423" s="4"/>
      <c r="O423" s="44"/>
      <c r="P423" s="2"/>
      <c r="Q423"/>
      <c r="R423"/>
    </row>
    <row r="424" spans="1:18" x14ac:dyDescent="0.3">
      <c r="A424" s="3">
        <v>73416</v>
      </c>
      <c r="B424" s="3">
        <v>0</v>
      </c>
      <c r="C424" s="2" t="s">
        <v>2645</v>
      </c>
      <c r="D424" s="45"/>
      <c r="E424" s="4" t="s">
        <v>2645</v>
      </c>
      <c r="F424" s="50" t="s">
        <v>2677</v>
      </c>
      <c r="G424" s="2" t="s">
        <v>297</v>
      </c>
      <c r="H424" s="2" t="s">
        <v>297</v>
      </c>
      <c r="I424" s="50" t="s">
        <v>3225</v>
      </c>
      <c r="J424" s="50" t="s">
        <v>3568</v>
      </c>
      <c r="K424" s="4">
        <v>8.83</v>
      </c>
      <c r="L424" s="31">
        <v>0.91932861124695398</v>
      </c>
      <c r="M424" s="50"/>
      <c r="N424" s="4"/>
      <c r="O424" s="44">
        <v>45737.333333333336</v>
      </c>
      <c r="P424" s="2"/>
      <c r="Q424"/>
      <c r="R424"/>
    </row>
    <row r="425" spans="1:18" x14ac:dyDescent="0.3">
      <c r="A425" s="3">
        <v>71121</v>
      </c>
      <c r="B425" s="3">
        <v>0</v>
      </c>
      <c r="C425" s="2" t="s">
        <v>2645</v>
      </c>
      <c r="D425" s="45"/>
      <c r="E425" s="4" t="s">
        <v>2645</v>
      </c>
      <c r="F425" s="50" t="s">
        <v>2664</v>
      </c>
      <c r="G425" s="2" t="s">
        <v>303</v>
      </c>
      <c r="H425" s="2" t="s">
        <v>303</v>
      </c>
      <c r="I425" s="50" t="s">
        <v>3235</v>
      </c>
      <c r="J425" s="50" t="s">
        <v>3083</v>
      </c>
      <c r="K425" s="4">
        <v>7.05</v>
      </c>
      <c r="L425" s="31">
        <v>0</v>
      </c>
      <c r="M425" s="50"/>
      <c r="N425" s="4"/>
      <c r="O425" s="44">
        <v>45737.333333333336</v>
      </c>
      <c r="P425" s="2"/>
      <c r="Q425"/>
      <c r="R425"/>
    </row>
    <row r="426" spans="1:18" x14ac:dyDescent="0.3">
      <c r="A426" s="3">
        <v>73335</v>
      </c>
      <c r="B426" s="3">
        <v>1</v>
      </c>
      <c r="C426" s="2" t="s">
        <v>2645</v>
      </c>
      <c r="D426" s="45"/>
      <c r="E426" s="4" t="s">
        <v>2645</v>
      </c>
      <c r="F426" s="50" t="s">
        <v>2674</v>
      </c>
      <c r="G426" s="2" t="s">
        <v>297</v>
      </c>
      <c r="H426" s="2" t="s">
        <v>297</v>
      </c>
      <c r="I426" s="50" t="s">
        <v>3239</v>
      </c>
      <c r="J426" s="50" t="s">
        <v>3571</v>
      </c>
      <c r="K426" s="4">
        <v>3.53</v>
      </c>
      <c r="L426" s="31">
        <v>6.5653072975717599</v>
      </c>
      <c r="M426" s="50"/>
      <c r="N426" s="4"/>
      <c r="O426" s="44">
        <v>45737.375</v>
      </c>
      <c r="P426" s="2"/>
      <c r="Q426"/>
      <c r="R426"/>
    </row>
    <row r="427" spans="1:18" x14ac:dyDescent="0.3">
      <c r="A427" s="3">
        <v>70587</v>
      </c>
      <c r="B427" s="3">
        <v>0</v>
      </c>
      <c r="C427" s="2" t="s">
        <v>2645</v>
      </c>
      <c r="D427" s="45"/>
      <c r="E427" s="4" t="s">
        <v>2645</v>
      </c>
      <c r="F427" s="50" t="s">
        <v>2652</v>
      </c>
      <c r="G427" s="2" t="s">
        <v>303</v>
      </c>
      <c r="H427" s="2" t="s">
        <v>303</v>
      </c>
      <c r="I427" s="50" t="s">
        <v>3052</v>
      </c>
      <c r="J427" s="50" t="s">
        <v>3572</v>
      </c>
      <c r="K427" s="4">
        <v>10.35</v>
      </c>
      <c r="L427" s="31">
        <v>80.070213149814094</v>
      </c>
      <c r="M427" s="50"/>
      <c r="N427" s="4">
        <v>2</v>
      </c>
      <c r="O427" s="44">
        <v>45737.333333333336</v>
      </c>
      <c r="P427" s="2"/>
      <c r="Q427"/>
      <c r="R427"/>
    </row>
    <row r="428" spans="1:18" x14ac:dyDescent="0.3">
      <c r="A428" s="3">
        <v>73583</v>
      </c>
      <c r="B428" s="3">
        <v>0</v>
      </c>
      <c r="C428" s="2" t="s">
        <v>2645</v>
      </c>
      <c r="D428" s="45"/>
      <c r="E428" s="4" t="s">
        <v>2645</v>
      </c>
      <c r="F428" s="50" t="s">
        <v>2689</v>
      </c>
      <c r="G428" s="2" t="s">
        <v>298</v>
      </c>
      <c r="H428" s="2" t="s">
        <v>298</v>
      </c>
      <c r="I428" s="50" t="s">
        <v>3229</v>
      </c>
      <c r="J428" s="50" t="s">
        <v>3570</v>
      </c>
      <c r="L428" s="31">
        <v>71.836456440146506</v>
      </c>
      <c r="M428" s="50"/>
      <c r="N428" s="4"/>
      <c r="O428" s="44"/>
      <c r="P428" s="2"/>
      <c r="Q428"/>
      <c r="R428"/>
    </row>
    <row r="429" spans="1:18" x14ac:dyDescent="0.3">
      <c r="A429" s="3">
        <v>99212</v>
      </c>
      <c r="B429" s="3">
        <v>2</v>
      </c>
      <c r="C429" s="2" t="s">
        <v>2645</v>
      </c>
      <c r="D429" s="45"/>
      <c r="E429" s="4" t="s">
        <v>2645</v>
      </c>
      <c r="F429" s="50" t="s">
        <v>2734</v>
      </c>
      <c r="G429" s="2" t="s">
        <v>303</v>
      </c>
      <c r="H429" s="2" t="s">
        <v>303</v>
      </c>
      <c r="I429" s="50" t="s">
        <v>3237</v>
      </c>
      <c r="J429" s="50" t="s">
        <v>3574</v>
      </c>
      <c r="K429" s="4">
        <v>4.1100000000000003</v>
      </c>
      <c r="L429" s="31">
        <v>81.806311309733402</v>
      </c>
      <c r="M429" s="50"/>
      <c r="N429" s="4"/>
      <c r="O429" s="44">
        <v>45737.375</v>
      </c>
      <c r="P429" s="2"/>
      <c r="Q429"/>
      <c r="R429"/>
    </row>
    <row r="430" spans="1:18" x14ac:dyDescent="0.3">
      <c r="A430" s="3">
        <v>71413</v>
      </c>
      <c r="B430" s="3">
        <v>0</v>
      </c>
      <c r="C430" s="2" t="s">
        <v>2645</v>
      </c>
      <c r="D430" s="45"/>
      <c r="E430" s="4" t="s">
        <v>2645</v>
      </c>
      <c r="F430" s="50" t="s">
        <v>2667</v>
      </c>
      <c r="G430" s="2" t="s">
        <v>323</v>
      </c>
      <c r="H430" s="2" t="s">
        <v>323</v>
      </c>
      <c r="I430" s="50" t="s">
        <v>3222</v>
      </c>
      <c r="J430" s="50" t="s">
        <v>3573</v>
      </c>
      <c r="K430" s="4">
        <v>14.35</v>
      </c>
      <c r="L430" s="31">
        <v>3.5022056829142798</v>
      </c>
      <c r="M430" s="50"/>
      <c r="N430" s="4"/>
      <c r="O430" s="44">
        <v>45737.333333333336</v>
      </c>
      <c r="P430" s="2"/>
      <c r="Q430"/>
      <c r="R430"/>
    </row>
    <row r="431" spans="1:18" x14ac:dyDescent="0.3">
      <c r="A431" s="3">
        <v>99189</v>
      </c>
      <c r="B431" s="3">
        <v>0</v>
      </c>
      <c r="C431" s="2" t="s">
        <v>2645</v>
      </c>
      <c r="D431" s="45"/>
      <c r="E431" s="4" t="s">
        <v>2645</v>
      </c>
      <c r="F431" s="50" t="s">
        <v>2732</v>
      </c>
      <c r="G431" s="2" t="s">
        <v>323</v>
      </c>
      <c r="H431" s="2" t="s">
        <v>323</v>
      </c>
      <c r="I431" s="50" t="s">
        <v>3223</v>
      </c>
      <c r="J431" s="50" t="s">
        <v>3576</v>
      </c>
      <c r="L431" s="31">
        <v>10.742313921275001</v>
      </c>
      <c r="M431" s="50"/>
      <c r="N431" s="4"/>
      <c r="O431" s="44"/>
      <c r="P431" s="2"/>
      <c r="Q431"/>
      <c r="R431"/>
    </row>
    <row r="432" spans="1:18" x14ac:dyDescent="0.3">
      <c r="A432" s="3">
        <v>99031</v>
      </c>
      <c r="B432" s="3">
        <v>133</v>
      </c>
      <c r="C432" s="2" t="s">
        <v>2645</v>
      </c>
      <c r="D432" s="45"/>
      <c r="E432" s="4" t="s">
        <v>2645</v>
      </c>
      <c r="F432" s="50" t="s">
        <v>2698</v>
      </c>
      <c r="G432" s="2" t="s">
        <v>300</v>
      </c>
      <c r="H432" s="2" t="s">
        <v>300</v>
      </c>
      <c r="I432" s="50" t="s">
        <v>3232</v>
      </c>
      <c r="J432" s="50" t="s">
        <v>3575</v>
      </c>
      <c r="K432" s="4">
        <v>19.12</v>
      </c>
      <c r="L432" s="31">
        <v>13.253912194164499</v>
      </c>
      <c r="M432" s="50"/>
      <c r="N432" s="4"/>
      <c r="O432" s="44">
        <v>45737.25</v>
      </c>
      <c r="P432" s="2"/>
      <c r="Q432"/>
      <c r="R432"/>
    </row>
    <row r="433" spans="1:18" x14ac:dyDescent="0.3">
      <c r="A433" s="3">
        <v>70723</v>
      </c>
      <c r="B433" s="3">
        <v>1</v>
      </c>
      <c r="C433" s="2" t="s">
        <v>2645</v>
      </c>
      <c r="D433" s="45"/>
      <c r="E433" s="4" t="s">
        <v>2645</v>
      </c>
      <c r="F433" s="50" t="s">
        <v>2655</v>
      </c>
      <c r="G433" s="2" t="s">
        <v>300</v>
      </c>
      <c r="H433" s="2" t="s">
        <v>300</v>
      </c>
      <c r="I433" s="50" t="s">
        <v>3224</v>
      </c>
      <c r="J433" s="50" t="s">
        <v>3577</v>
      </c>
      <c r="K433" s="4">
        <v>11.04</v>
      </c>
      <c r="L433" s="31">
        <v>5.9361579493534</v>
      </c>
      <c r="M433" s="50"/>
      <c r="N433" s="4"/>
      <c r="O433" s="44">
        <v>45737.333333333336</v>
      </c>
      <c r="P433" s="2"/>
      <c r="Q433"/>
      <c r="R433"/>
    </row>
    <row r="434" spans="1:18" x14ac:dyDescent="0.3">
      <c r="A434" s="3">
        <v>99051</v>
      </c>
      <c r="B434" s="3">
        <v>54</v>
      </c>
      <c r="C434" s="2" t="s">
        <v>2645</v>
      </c>
      <c r="D434" s="45"/>
      <c r="E434" s="4" t="s">
        <v>2645</v>
      </c>
      <c r="F434" s="50" t="s">
        <v>2705</v>
      </c>
      <c r="G434" s="2" t="s">
        <v>300</v>
      </c>
      <c r="H434" s="2" t="s">
        <v>300</v>
      </c>
      <c r="I434" s="50" t="s">
        <v>3236</v>
      </c>
      <c r="J434" s="50" t="s">
        <v>3578</v>
      </c>
      <c r="K434" s="4">
        <v>17.149999999999999</v>
      </c>
      <c r="L434" s="31">
        <v>1.3923701090374201</v>
      </c>
      <c r="M434" s="50"/>
      <c r="N434" s="4"/>
      <c r="O434" s="44">
        <v>45737.333333333336</v>
      </c>
      <c r="P434" s="2"/>
      <c r="Q434"/>
      <c r="R434"/>
    </row>
    <row r="435" spans="1:18" x14ac:dyDescent="0.3">
      <c r="A435" s="3">
        <v>71008</v>
      </c>
      <c r="B435" s="3">
        <v>0</v>
      </c>
      <c r="C435" s="2" t="s">
        <v>2645</v>
      </c>
      <c r="D435" s="45"/>
      <c r="E435" s="4" t="s">
        <v>2645</v>
      </c>
      <c r="F435" s="50" t="s">
        <v>2661</v>
      </c>
      <c r="G435" s="2" t="s">
        <v>300</v>
      </c>
      <c r="H435" s="2" t="s">
        <v>300</v>
      </c>
      <c r="I435" s="50" t="s">
        <v>3230</v>
      </c>
      <c r="J435" s="50" t="s">
        <v>3579</v>
      </c>
      <c r="K435" s="4">
        <v>6.85</v>
      </c>
      <c r="L435" s="31">
        <v>2.7121861952067001</v>
      </c>
      <c r="M435" s="50"/>
      <c r="N435" s="4">
        <v>19</v>
      </c>
      <c r="O435" s="44">
        <v>45737.333333333336</v>
      </c>
      <c r="P435" s="2"/>
      <c r="Q435"/>
      <c r="R435"/>
    </row>
    <row r="436" spans="1:18" x14ac:dyDescent="0.3">
      <c r="A436" s="3">
        <v>70521</v>
      </c>
      <c r="B436" s="3">
        <v>0</v>
      </c>
      <c r="C436" s="2" t="s">
        <v>2645</v>
      </c>
      <c r="D436" s="45"/>
      <c r="E436" s="4" t="s">
        <v>2645</v>
      </c>
      <c r="F436" s="50" t="s">
        <v>2649</v>
      </c>
      <c r="G436" s="2" t="s">
        <v>300</v>
      </c>
      <c r="H436" s="2" t="s">
        <v>300</v>
      </c>
      <c r="I436" s="50" t="s">
        <v>3054</v>
      </c>
      <c r="J436" s="50" t="s">
        <v>3582</v>
      </c>
      <c r="K436" s="4">
        <v>9.2899999999999991</v>
      </c>
      <c r="L436" s="31">
        <v>5.4173481092979596</v>
      </c>
      <c r="M436" s="50"/>
      <c r="N436" s="4">
        <v>25</v>
      </c>
      <c r="O436" s="44">
        <v>45737.333333333336</v>
      </c>
      <c r="P436" s="2"/>
      <c r="Q436"/>
      <c r="R436"/>
    </row>
    <row r="437" spans="1:18" x14ac:dyDescent="0.3">
      <c r="A437" s="3">
        <v>99052</v>
      </c>
      <c r="B437" s="3">
        <v>3</v>
      </c>
      <c r="C437" s="2" t="s">
        <v>2645</v>
      </c>
      <c r="D437" s="45"/>
      <c r="E437" s="4" t="s">
        <v>2645</v>
      </c>
      <c r="F437" s="50" t="s">
        <v>2707</v>
      </c>
      <c r="G437" s="2" t="s">
        <v>300</v>
      </c>
      <c r="H437" s="2" t="s">
        <v>300</v>
      </c>
      <c r="I437" s="50" t="s">
        <v>3049</v>
      </c>
      <c r="J437" s="50" t="s">
        <v>3580</v>
      </c>
      <c r="K437" s="4">
        <v>20.350000000000001</v>
      </c>
      <c r="L437" s="31">
        <v>83.611615684851103</v>
      </c>
      <c r="M437" s="50"/>
      <c r="N437" s="4">
        <v>13</v>
      </c>
      <c r="O437" s="44">
        <v>45737.291666666664</v>
      </c>
      <c r="P437" s="2"/>
      <c r="Q437"/>
      <c r="R437"/>
    </row>
    <row r="438" spans="1:18" x14ac:dyDescent="0.3">
      <c r="A438" s="3">
        <v>73122</v>
      </c>
      <c r="B438" s="3">
        <v>0</v>
      </c>
      <c r="C438" s="2" t="s">
        <v>2645</v>
      </c>
      <c r="D438" s="45"/>
      <c r="E438" s="4" t="s">
        <v>2645</v>
      </c>
      <c r="F438" s="50" t="s">
        <v>2670</v>
      </c>
      <c r="G438" s="2" t="s">
        <v>300</v>
      </c>
      <c r="H438" s="2" t="s">
        <v>300</v>
      </c>
      <c r="I438" s="50" t="s">
        <v>3053</v>
      </c>
      <c r="J438" s="50" t="s">
        <v>3581</v>
      </c>
      <c r="K438" s="4">
        <v>4.75</v>
      </c>
      <c r="L438" s="31">
        <v>7.9199523713084501</v>
      </c>
      <c r="M438" s="50"/>
      <c r="N438" s="4">
        <v>22</v>
      </c>
      <c r="O438" s="44">
        <v>45737.333333333336</v>
      </c>
      <c r="P438" s="2"/>
      <c r="Q438"/>
      <c r="R438"/>
    </row>
    <row r="439" spans="1:18" x14ac:dyDescent="0.3">
      <c r="A439" s="3">
        <v>99161</v>
      </c>
      <c r="B439" s="3">
        <v>203</v>
      </c>
      <c r="C439" s="2" t="s">
        <v>2645</v>
      </c>
      <c r="D439" s="45"/>
      <c r="E439" s="4" t="s">
        <v>2645</v>
      </c>
      <c r="F439" s="50" t="s">
        <v>2729</v>
      </c>
      <c r="G439" s="2" t="s">
        <v>300</v>
      </c>
      <c r="H439" s="2" t="s">
        <v>300</v>
      </c>
      <c r="I439" s="50" t="s">
        <v>3228</v>
      </c>
      <c r="J439" s="50" t="s">
        <v>3583</v>
      </c>
      <c r="K439" s="4">
        <v>0.22</v>
      </c>
      <c r="L439" s="31">
        <v>77.403614621464797</v>
      </c>
      <c r="M439" s="50"/>
      <c r="N439" s="4"/>
      <c r="O439" s="44"/>
      <c r="P439" s="2"/>
      <c r="Q439"/>
      <c r="R439"/>
    </row>
    <row r="440" spans="1:18" x14ac:dyDescent="0.3">
      <c r="A440" s="3">
        <v>99058</v>
      </c>
      <c r="B440" s="3">
        <v>35</v>
      </c>
      <c r="C440" s="2" t="s">
        <v>2645</v>
      </c>
      <c r="D440" s="45"/>
      <c r="E440" s="4" t="s">
        <v>2645</v>
      </c>
      <c r="F440" s="50" t="s">
        <v>2713</v>
      </c>
      <c r="G440" s="2" t="s">
        <v>300</v>
      </c>
      <c r="H440" s="2" t="s">
        <v>300</v>
      </c>
      <c r="I440" s="50" t="s">
        <v>3226</v>
      </c>
      <c r="J440" s="50" t="s">
        <v>3584</v>
      </c>
      <c r="K440" s="4">
        <v>7.05</v>
      </c>
      <c r="L440" s="31">
        <v>0.91373645805958903</v>
      </c>
      <c r="M440" s="50"/>
      <c r="N440" s="4"/>
      <c r="O440" s="44"/>
      <c r="P440" s="2"/>
      <c r="Q440"/>
      <c r="R440"/>
    </row>
    <row r="441" spans="1:18" x14ac:dyDescent="0.3">
      <c r="A441" s="3">
        <v>73443</v>
      </c>
      <c r="B441" s="3">
        <v>0</v>
      </c>
      <c r="C441" s="2" t="s">
        <v>2645</v>
      </c>
      <c r="D441" s="45"/>
      <c r="E441" s="4" t="s">
        <v>2645</v>
      </c>
      <c r="F441" s="50" t="s">
        <v>2680</v>
      </c>
      <c r="G441" s="2" t="s">
        <v>300</v>
      </c>
      <c r="H441" s="2" t="s">
        <v>300</v>
      </c>
      <c r="I441" s="50" t="s">
        <v>3231</v>
      </c>
      <c r="J441" s="50" t="s">
        <v>3585</v>
      </c>
      <c r="K441" s="4">
        <v>13.92</v>
      </c>
      <c r="L441" s="31">
        <v>3.4111238159506501</v>
      </c>
      <c r="M441" s="50"/>
      <c r="N441" s="4"/>
      <c r="O441" s="44">
        <v>45737.291666666664</v>
      </c>
      <c r="P441" s="2"/>
      <c r="Q441"/>
      <c r="R441"/>
    </row>
    <row r="442" spans="1:18" x14ac:dyDescent="0.3">
      <c r="A442" s="3">
        <v>99178</v>
      </c>
      <c r="B442" s="3">
        <v>2</v>
      </c>
      <c r="C442" s="2" t="s">
        <v>2645</v>
      </c>
      <c r="D442" s="45"/>
      <c r="E442" s="4" t="s">
        <v>2645</v>
      </c>
      <c r="F442" s="50" t="s">
        <v>2730</v>
      </c>
      <c r="G442" s="2" t="s">
        <v>300</v>
      </c>
      <c r="H442" s="2" t="s">
        <v>300</v>
      </c>
      <c r="I442" s="50" t="s">
        <v>3233</v>
      </c>
      <c r="J442" s="50" t="s">
        <v>3586</v>
      </c>
      <c r="K442" s="4">
        <v>10.06</v>
      </c>
      <c r="L442" s="31">
        <v>0.79712911327078495</v>
      </c>
      <c r="M442" s="50"/>
      <c r="N442" s="4"/>
      <c r="O442" s="44">
        <v>45737.291666666664</v>
      </c>
      <c r="P442" s="2"/>
      <c r="Q442"/>
      <c r="R442"/>
    </row>
    <row r="443" spans="1:18" x14ac:dyDescent="0.3">
      <c r="A443" s="3">
        <v>99058</v>
      </c>
      <c r="B443" s="3">
        <v>13</v>
      </c>
      <c r="C443" s="2" t="s">
        <v>2645</v>
      </c>
      <c r="D443" s="45"/>
      <c r="E443" s="4" t="s">
        <v>2645</v>
      </c>
      <c r="F443" s="50" t="s">
        <v>2710</v>
      </c>
      <c r="G443" s="2" t="s">
        <v>300</v>
      </c>
      <c r="H443" s="2" t="s">
        <v>300</v>
      </c>
      <c r="I443" s="50" t="s">
        <v>3234</v>
      </c>
      <c r="J443" s="50" t="s">
        <v>3587</v>
      </c>
      <c r="K443" s="4">
        <v>12.46</v>
      </c>
      <c r="L443" s="31">
        <v>1.3218431985142201</v>
      </c>
      <c r="M443" s="50"/>
      <c r="N443" s="4"/>
      <c r="O443" s="44">
        <v>45737.25</v>
      </c>
      <c r="P443" s="2"/>
      <c r="Q443"/>
      <c r="R443"/>
    </row>
    <row r="444" spans="1:18" x14ac:dyDescent="0.3">
      <c r="A444" s="3">
        <v>99061</v>
      </c>
      <c r="B444" s="3">
        <v>203</v>
      </c>
      <c r="C444" s="2" t="s">
        <v>2645</v>
      </c>
      <c r="D444" s="45"/>
      <c r="E444" s="4" t="s">
        <v>2645</v>
      </c>
      <c r="F444" s="50" t="s">
        <v>2727</v>
      </c>
      <c r="G444" s="2" t="s">
        <v>300</v>
      </c>
      <c r="H444" s="2" t="s">
        <v>300</v>
      </c>
      <c r="I444" s="50" t="s">
        <v>3228</v>
      </c>
      <c r="J444" s="50" t="s">
        <v>3588</v>
      </c>
      <c r="K444" s="4">
        <v>8.25</v>
      </c>
      <c r="L444" s="31">
        <v>1.2778844666634099</v>
      </c>
      <c r="M444" s="50"/>
      <c r="N444" s="4"/>
      <c r="O444" s="44">
        <v>45737.25</v>
      </c>
      <c r="P444" s="2"/>
      <c r="Q444"/>
      <c r="R444"/>
    </row>
    <row r="445" spans="1:18" x14ac:dyDescent="0.3">
      <c r="A445" s="3">
        <v>99061</v>
      </c>
      <c r="B445" s="3">
        <v>117</v>
      </c>
      <c r="C445" s="2" t="s">
        <v>2645</v>
      </c>
      <c r="D445" s="45"/>
      <c r="E445" s="4" t="s">
        <v>2645</v>
      </c>
      <c r="F445" s="50" t="s">
        <v>2722</v>
      </c>
      <c r="G445" s="2" t="s">
        <v>300</v>
      </c>
      <c r="H445" s="2" t="s">
        <v>300</v>
      </c>
      <c r="I445" s="50" t="s">
        <v>3045</v>
      </c>
      <c r="J445" s="50" t="s">
        <v>3590</v>
      </c>
      <c r="K445" s="4">
        <v>0.21</v>
      </c>
      <c r="L445" s="31">
        <v>0</v>
      </c>
      <c r="M445" s="50"/>
      <c r="N445" s="4"/>
      <c r="O445" s="44">
        <v>45737.25</v>
      </c>
      <c r="P445" s="2"/>
      <c r="Q445"/>
      <c r="R445"/>
    </row>
    <row r="446" spans="1:18" x14ac:dyDescent="0.3">
      <c r="A446" s="3">
        <v>99061</v>
      </c>
      <c r="B446" s="3">
        <v>116</v>
      </c>
      <c r="C446" s="2" t="s">
        <v>2645</v>
      </c>
      <c r="D446" s="45"/>
      <c r="E446" s="4" t="s">
        <v>2645</v>
      </c>
      <c r="F446" s="50" t="s">
        <v>2720</v>
      </c>
      <c r="G446" s="2" t="s">
        <v>300</v>
      </c>
      <c r="H446" s="2" t="s">
        <v>300</v>
      </c>
      <c r="I446" s="50" t="s">
        <v>3045</v>
      </c>
      <c r="J446" s="50" t="s">
        <v>3589</v>
      </c>
      <c r="K446" s="4">
        <v>0.16</v>
      </c>
      <c r="L446" s="31">
        <v>0.14991228234168799</v>
      </c>
      <c r="M446" s="50"/>
      <c r="N446" s="4"/>
      <c r="O446" s="44">
        <v>45737.25</v>
      </c>
      <c r="P446" s="2"/>
      <c r="Q446"/>
      <c r="R446"/>
    </row>
    <row r="447" spans="1:18" x14ac:dyDescent="0.3">
      <c r="A447" s="3">
        <v>99061</v>
      </c>
      <c r="B447" s="3">
        <v>118</v>
      </c>
      <c r="C447" s="2" t="s">
        <v>2645</v>
      </c>
      <c r="D447" s="45"/>
      <c r="E447" s="4" t="s">
        <v>2645</v>
      </c>
      <c r="F447" s="50" t="s">
        <v>2724</v>
      </c>
      <c r="G447" s="2" t="s">
        <v>300</v>
      </c>
      <c r="H447" s="2" t="s">
        <v>300</v>
      </c>
      <c r="I447" s="50" t="s">
        <v>3045</v>
      </c>
      <c r="J447" s="50" t="s">
        <v>3591</v>
      </c>
      <c r="K447" s="4">
        <v>0.21</v>
      </c>
      <c r="L447" s="31">
        <v>0</v>
      </c>
      <c r="M447" s="50"/>
      <c r="N447" s="4"/>
      <c r="O447" s="44">
        <v>45737.25</v>
      </c>
      <c r="P447" s="2"/>
      <c r="Q447"/>
      <c r="R447"/>
    </row>
    <row r="448" spans="1:18" x14ac:dyDescent="0.3">
      <c r="A448" s="3">
        <v>99061</v>
      </c>
      <c r="B448" s="3">
        <v>120</v>
      </c>
      <c r="C448" s="2" t="s">
        <v>2645</v>
      </c>
      <c r="D448" s="45"/>
      <c r="E448" s="4" t="s">
        <v>2645</v>
      </c>
      <c r="F448" s="50" t="s">
        <v>2725</v>
      </c>
      <c r="G448" s="2" t="s">
        <v>300</v>
      </c>
      <c r="H448" s="2" t="s">
        <v>300</v>
      </c>
      <c r="I448" s="50" t="s">
        <v>3045</v>
      </c>
      <c r="J448" s="50" t="s">
        <v>3592</v>
      </c>
      <c r="K448" s="4">
        <v>0.19</v>
      </c>
      <c r="L448" s="31">
        <v>0</v>
      </c>
      <c r="M448" s="50"/>
      <c r="N448" s="4"/>
      <c r="O448" s="44">
        <v>45737.25</v>
      </c>
      <c r="P448" s="2"/>
      <c r="Q448"/>
      <c r="R448"/>
    </row>
    <row r="449" spans="1:18" x14ac:dyDescent="0.3">
      <c r="A449" s="3">
        <v>99061</v>
      </c>
      <c r="B449" s="3">
        <v>111</v>
      </c>
      <c r="C449" s="2" t="s">
        <v>2645</v>
      </c>
      <c r="D449" s="45"/>
      <c r="E449" s="4" t="s">
        <v>2645</v>
      </c>
      <c r="F449" s="50" t="s">
        <v>2718</v>
      </c>
      <c r="G449" s="2" t="s">
        <v>300</v>
      </c>
      <c r="H449" s="2" t="s">
        <v>300</v>
      </c>
      <c r="I449" s="50" t="s">
        <v>3045</v>
      </c>
      <c r="J449" s="50" t="s">
        <v>3593</v>
      </c>
      <c r="K449" s="4">
        <v>45.18</v>
      </c>
      <c r="L449" s="31">
        <v>0</v>
      </c>
      <c r="M449" s="50"/>
      <c r="N449" s="4">
        <v>15</v>
      </c>
      <c r="O449" s="44">
        <v>45737.25</v>
      </c>
      <c r="P449" s="2"/>
      <c r="Q449"/>
      <c r="R449"/>
    </row>
    <row r="450" spans="1:18" x14ac:dyDescent="0.3">
      <c r="A450" s="3">
        <v>99031</v>
      </c>
      <c r="B450" s="3">
        <v>162</v>
      </c>
      <c r="C450" s="2" t="s">
        <v>2645</v>
      </c>
      <c r="D450" s="45"/>
      <c r="E450" s="4" t="s">
        <v>2645</v>
      </c>
      <c r="F450" s="50" t="s">
        <v>2701</v>
      </c>
      <c r="G450" s="2" t="s">
        <v>300</v>
      </c>
      <c r="H450" s="2" t="s">
        <v>300</v>
      </c>
      <c r="I450" s="50" t="s">
        <v>3221</v>
      </c>
      <c r="J450" s="50" t="s">
        <v>3594</v>
      </c>
      <c r="K450" s="4">
        <v>15</v>
      </c>
      <c r="L450" s="31">
        <v>8.5893548812322305</v>
      </c>
      <c r="M450" s="50"/>
      <c r="N450" s="4"/>
      <c r="O450" s="44">
        <v>45737.25</v>
      </c>
      <c r="P450" s="2"/>
      <c r="Q450"/>
      <c r="R450"/>
    </row>
    <row r="451" spans="1:18" x14ac:dyDescent="0.3">
      <c r="A451" s="3">
        <v>232954</v>
      </c>
      <c r="B451" s="3">
        <v>1</v>
      </c>
      <c r="C451" s="2" t="s">
        <v>2645</v>
      </c>
      <c r="D451" s="45"/>
      <c r="E451" s="4" t="s">
        <v>2645</v>
      </c>
      <c r="F451" s="50" t="s">
        <v>458</v>
      </c>
      <c r="G451" s="2" t="s">
        <v>300</v>
      </c>
      <c r="H451" s="2" t="s">
        <v>300</v>
      </c>
      <c r="I451" s="50" t="s">
        <v>3219</v>
      </c>
      <c r="J451" s="50" t="s">
        <v>3595</v>
      </c>
      <c r="L451" s="31">
        <v>11.912344779435699</v>
      </c>
      <c r="M451" s="50"/>
      <c r="N451" s="4">
        <v>3</v>
      </c>
      <c r="O451" s="44"/>
      <c r="P451" s="2"/>
      <c r="Q451"/>
      <c r="R451"/>
    </row>
    <row r="452" spans="1:18" x14ac:dyDescent="0.3">
      <c r="A452" s="3">
        <v>73562</v>
      </c>
      <c r="B452" s="3">
        <v>0</v>
      </c>
      <c r="C452" s="2" t="s">
        <v>2645</v>
      </c>
      <c r="D452" s="45"/>
      <c r="E452" s="4" t="s">
        <v>2645</v>
      </c>
      <c r="F452" s="50" t="s">
        <v>2686</v>
      </c>
      <c r="G452" s="2" t="s">
        <v>300</v>
      </c>
      <c r="H452" s="2" t="s">
        <v>300</v>
      </c>
      <c r="I452" s="50" t="s">
        <v>3227</v>
      </c>
      <c r="J452" s="50" t="s">
        <v>3596</v>
      </c>
      <c r="K452" s="4">
        <v>4.7699999999999996</v>
      </c>
      <c r="L452" s="31">
        <v>1.5914400645594899</v>
      </c>
      <c r="M452" s="50"/>
      <c r="N452" s="4"/>
      <c r="O452" s="44"/>
      <c r="P452" s="2"/>
      <c r="Q452"/>
      <c r="R452"/>
    </row>
    <row r="453" spans="1:18" x14ac:dyDescent="0.3">
      <c r="A453" s="3">
        <v>73593</v>
      </c>
      <c r="B453" s="3">
        <v>0</v>
      </c>
      <c r="C453" s="2" t="s">
        <v>2645</v>
      </c>
      <c r="D453" s="45"/>
      <c r="E453" s="4" t="s">
        <v>2645</v>
      </c>
      <c r="F453" s="50" t="s">
        <v>2692</v>
      </c>
      <c r="G453" s="2" t="s">
        <v>300</v>
      </c>
      <c r="H453" s="2" t="s">
        <v>300</v>
      </c>
      <c r="I453" s="50" t="s">
        <v>3240</v>
      </c>
      <c r="J453" s="50" t="s">
        <v>3597</v>
      </c>
      <c r="L453" s="31">
        <v>0.88360169147711098</v>
      </c>
      <c r="M453" s="50"/>
      <c r="N453" s="4">
        <v>22</v>
      </c>
      <c r="O453" s="44"/>
      <c r="P453" s="2"/>
      <c r="Q453"/>
      <c r="R453"/>
    </row>
    <row r="454" spans="1:18" x14ac:dyDescent="0.3">
      <c r="A454" s="3">
        <v>73601</v>
      </c>
      <c r="B454" s="3">
        <v>0</v>
      </c>
      <c r="C454" s="2" t="s">
        <v>2645</v>
      </c>
      <c r="D454" s="45"/>
      <c r="E454" s="4" t="s">
        <v>2645</v>
      </c>
      <c r="F454" s="50" t="s">
        <v>2695</v>
      </c>
      <c r="G454" s="2" t="s">
        <v>300</v>
      </c>
      <c r="H454" s="2" t="s">
        <v>300</v>
      </c>
      <c r="I454" s="50" t="s">
        <v>3220</v>
      </c>
      <c r="J454" s="50" t="s">
        <v>3598</v>
      </c>
      <c r="L454" s="31">
        <v>14.3429188689908</v>
      </c>
      <c r="M454" s="50"/>
      <c r="N454" s="4"/>
      <c r="O454" s="44"/>
      <c r="P454" s="2"/>
      <c r="Q454"/>
      <c r="R454"/>
    </row>
    <row r="455" spans="1:18" x14ac:dyDescent="0.3">
      <c r="A455" s="3">
        <v>70652</v>
      </c>
      <c r="B455" s="3">
        <v>0</v>
      </c>
      <c r="C455" s="2" t="s">
        <v>2736</v>
      </c>
      <c r="D455" s="45"/>
      <c r="E455" s="4" t="s">
        <v>2736</v>
      </c>
      <c r="F455" s="50" t="s">
        <v>2772</v>
      </c>
      <c r="G455" s="2" t="s">
        <v>299</v>
      </c>
      <c r="H455" s="2" t="s">
        <v>299</v>
      </c>
      <c r="I455" s="50" t="s">
        <v>3242</v>
      </c>
      <c r="J455" s="50" t="s">
        <v>3601</v>
      </c>
      <c r="K455" s="4">
        <v>14.35</v>
      </c>
      <c r="L455" s="31">
        <v>6.8980174675961496</v>
      </c>
      <c r="M455" s="50"/>
      <c r="N455" s="4"/>
      <c r="O455" s="44">
        <v>45737.291666666664</v>
      </c>
      <c r="P455" s="2"/>
      <c r="Q455"/>
      <c r="R455"/>
    </row>
    <row r="456" spans="1:18" x14ac:dyDescent="0.3">
      <c r="A456" s="3">
        <v>99053</v>
      </c>
      <c r="B456" s="3">
        <v>8</v>
      </c>
      <c r="C456" s="2" t="s">
        <v>2736</v>
      </c>
      <c r="D456" s="45"/>
      <c r="E456" s="4" t="s">
        <v>2736</v>
      </c>
      <c r="F456" s="50" t="s">
        <v>2835</v>
      </c>
      <c r="G456" s="2" t="s">
        <v>302</v>
      </c>
      <c r="H456" s="2" t="s">
        <v>302</v>
      </c>
      <c r="I456" s="50" t="s">
        <v>3241</v>
      </c>
      <c r="J456" s="50" t="s">
        <v>3600</v>
      </c>
      <c r="K456" s="4">
        <v>102.95</v>
      </c>
      <c r="L456" s="31">
        <v>8.66263186166724</v>
      </c>
      <c r="M456" s="50"/>
      <c r="N456" s="4"/>
      <c r="O456" s="44">
        <v>45737.25</v>
      </c>
      <c r="P456" s="2"/>
      <c r="Q456"/>
      <c r="R456"/>
    </row>
    <row r="457" spans="1:18" x14ac:dyDescent="0.3">
      <c r="A457" s="3">
        <v>70663</v>
      </c>
      <c r="B457" s="3">
        <v>0</v>
      </c>
      <c r="C457" s="2" t="s">
        <v>2736</v>
      </c>
      <c r="D457" s="45"/>
      <c r="E457" s="4" t="s">
        <v>2736</v>
      </c>
      <c r="F457" s="50" t="s">
        <v>2775</v>
      </c>
      <c r="G457" s="2" t="s">
        <v>298</v>
      </c>
      <c r="H457" s="2" t="s">
        <v>298</v>
      </c>
      <c r="I457" s="50" t="s">
        <v>3260</v>
      </c>
      <c r="J457" s="50" t="s">
        <v>3141</v>
      </c>
      <c r="K457" s="4">
        <v>8.57</v>
      </c>
      <c r="L457" s="31">
        <v>4.3191761052719402</v>
      </c>
      <c r="M457" s="50"/>
      <c r="N457" s="4"/>
      <c r="O457" s="44">
        <v>45737.333333333336</v>
      </c>
      <c r="P457" s="2"/>
      <c r="Q457"/>
      <c r="R457"/>
    </row>
    <row r="458" spans="1:18" x14ac:dyDescent="0.3">
      <c r="A458" s="3">
        <v>73152</v>
      </c>
      <c r="B458" s="3">
        <v>0</v>
      </c>
      <c r="C458" s="2" t="s">
        <v>2736</v>
      </c>
      <c r="D458" s="45"/>
      <c r="E458" s="4" t="s">
        <v>2736</v>
      </c>
      <c r="F458" s="50" t="s">
        <v>3263</v>
      </c>
      <c r="G458" s="2" t="s">
        <v>354</v>
      </c>
      <c r="H458" s="2" t="s">
        <v>354</v>
      </c>
      <c r="I458" s="50" t="s">
        <v>3264</v>
      </c>
      <c r="J458" s="50" t="s">
        <v>3599</v>
      </c>
      <c r="L458" s="31">
        <v>5.0189574776443697</v>
      </c>
      <c r="M458" s="50"/>
      <c r="N458" s="4">
        <v>0</v>
      </c>
      <c r="O458" s="44"/>
      <c r="P458" s="2"/>
      <c r="Q458"/>
      <c r="R458"/>
    </row>
    <row r="459" spans="1:18" x14ac:dyDescent="0.3">
      <c r="A459" s="3">
        <v>70548</v>
      </c>
      <c r="B459" s="3">
        <v>0</v>
      </c>
      <c r="C459" s="2" t="s">
        <v>2736</v>
      </c>
      <c r="D459" s="45"/>
      <c r="E459" s="4" t="s">
        <v>2736</v>
      </c>
      <c r="F459" s="50" t="s">
        <v>2752</v>
      </c>
      <c r="G459" s="2" t="s">
        <v>303</v>
      </c>
      <c r="H459" s="2" t="s">
        <v>303</v>
      </c>
      <c r="I459" s="50" t="s">
        <v>3252</v>
      </c>
      <c r="J459" s="50" t="s">
        <v>3083</v>
      </c>
      <c r="K459" s="4">
        <v>2.38</v>
      </c>
      <c r="L459" s="31">
        <v>1.0411788071436401</v>
      </c>
      <c r="M459" s="50"/>
      <c r="N459" s="4"/>
      <c r="O459" s="44">
        <v>45737.333333333336</v>
      </c>
      <c r="P459" s="2"/>
      <c r="Q459"/>
      <c r="R459"/>
    </row>
    <row r="460" spans="1:18" x14ac:dyDescent="0.3">
      <c r="A460" s="3">
        <v>70519</v>
      </c>
      <c r="B460" s="3">
        <v>0</v>
      </c>
      <c r="C460" s="2" t="s">
        <v>2736</v>
      </c>
      <c r="D460" s="45"/>
      <c r="E460" s="4" t="s">
        <v>2736</v>
      </c>
      <c r="F460" s="50" t="s">
        <v>2743</v>
      </c>
      <c r="G460" s="2" t="s">
        <v>297</v>
      </c>
      <c r="H460" s="2" t="s">
        <v>297</v>
      </c>
      <c r="I460" s="50" t="s">
        <v>3243</v>
      </c>
      <c r="J460" s="50" t="s">
        <v>3601</v>
      </c>
      <c r="K460" s="4">
        <v>14.48</v>
      </c>
      <c r="L460" s="31">
        <v>2.9564780009791698</v>
      </c>
      <c r="M460" s="50"/>
      <c r="N460" s="4"/>
      <c r="O460" s="44">
        <v>45737.291666666664</v>
      </c>
      <c r="P460" s="2"/>
      <c r="Q460"/>
      <c r="R460"/>
    </row>
    <row r="461" spans="1:18" x14ac:dyDescent="0.3">
      <c r="A461" s="3">
        <v>70650</v>
      </c>
      <c r="B461" s="3">
        <v>0</v>
      </c>
      <c r="C461" s="2" t="s">
        <v>2736</v>
      </c>
      <c r="D461" s="45"/>
      <c r="E461" s="4" t="s">
        <v>2736</v>
      </c>
      <c r="F461" s="50" t="s">
        <v>2769</v>
      </c>
      <c r="G461" s="2" t="s">
        <v>298</v>
      </c>
      <c r="H461" s="2" t="s">
        <v>298</v>
      </c>
      <c r="I461" s="50" t="s">
        <v>3065</v>
      </c>
      <c r="J461" s="50" t="s">
        <v>3602</v>
      </c>
      <c r="K461" s="4">
        <v>11.07</v>
      </c>
      <c r="L461" s="31">
        <v>5.2323965391669001</v>
      </c>
      <c r="M461" s="50"/>
      <c r="N461" s="4"/>
      <c r="O461" s="44">
        <v>45737.333333333336</v>
      </c>
      <c r="P461" s="2"/>
      <c r="Q461"/>
      <c r="R461"/>
    </row>
    <row r="462" spans="1:18" x14ac:dyDescent="0.3">
      <c r="A462" s="3">
        <v>70584</v>
      </c>
      <c r="B462" s="3">
        <v>0</v>
      </c>
      <c r="C462" s="2" t="s">
        <v>2736</v>
      </c>
      <c r="D462" s="45"/>
      <c r="E462" s="4" t="s">
        <v>2736</v>
      </c>
      <c r="F462" s="50" t="s">
        <v>2760</v>
      </c>
      <c r="G462" s="2" t="s">
        <v>303</v>
      </c>
      <c r="H462" s="2" t="s">
        <v>303</v>
      </c>
      <c r="I462" s="50" t="s">
        <v>3256</v>
      </c>
      <c r="J462" s="50" t="s">
        <v>3605</v>
      </c>
      <c r="K462" s="4">
        <v>11.53</v>
      </c>
      <c r="L462" s="31">
        <v>6.5253821514983299</v>
      </c>
      <c r="M462" s="50"/>
      <c r="N462" s="4"/>
      <c r="O462" s="44">
        <v>45737.375</v>
      </c>
      <c r="P462" s="2"/>
      <c r="Q462"/>
      <c r="R462"/>
    </row>
    <row r="463" spans="1:18" x14ac:dyDescent="0.3">
      <c r="A463" s="3">
        <v>70671</v>
      </c>
      <c r="B463" s="3">
        <v>0</v>
      </c>
      <c r="C463" s="2" t="s">
        <v>2736</v>
      </c>
      <c r="D463" s="45"/>
      <c r="E463" s="4" t="s">
        <v>2736</v>
      </c>
      <c r="F463" s="50" t="s">
        <v>2781</v>
      </c>
      <c r="G463" s="2" t="s">
        <v>298</v>
      </c>
      <c r="H463" s="2" t="s">
        <v>298</v>
      </c>
      <c r="I463" s="50" t="s">
        <v>3258</v>
      </c>
      <c r="J463" s="50" t="s">
        <v>3604</v>
      </c>
      <c r="K463" s="4">
        <v>8.85</v>
      </c>
      <c r="L463" s="31">
        <v>5.2790496569488701</v>
      </c>
      <c r="M463" s="50"/>
      <c r="N463" s="4"/>
      <c r="O463" s="44">
        <v>45737.333333333336</v>
      </c>
      <c r="P463" s="2"/>
      <c r="Q463"/>
      <c r="R463"/>
    </row>
    <row r="464" spans="1:18" x14ac:dyDescent="0.3">
      <c r="A464" s="3">
        <v>99120</v>
      </c>
      <c r="B464" s="3">
        <v>0</v>
      </c>
      <c r="C464" s="2" t="s">
        <v>2736</v>
      </c>
      <c r="D464" s="45"/>
      <c r="E464" s="4" t="s">
        <v>2736</v>
      </c>
      <c r="F464" s="50" t="s">
        <v>2840</v>
      </c>
      <c r="G464" s="2" t="s">
        <v>303</v>
      </c>
      <c r="H464" s="2" t="s">
        <v>303</v>
      </c>
      <c r="I464" s="50" t="s">
        <v>3257</v>
      </c>
      <c r="J464" s="50" t="s">
        <v>3607</v>
      </c>
      <c r="K464" s="4">
        <v>0.12</v>
      </c>
      <c r="L464" s="31">
        <v>0.54091583829105605</v>
      </c>
      <c r="M464" s="50"/>
      <c r="N464" s="4"/>
      <c r="O464" s="44">
        <v>45737.375</v>
      </c>
      <c r="P464" s="2"/>
      <c r="Q464"/>
      <c r="R464"/>
    </row>
    <row r="465" spans="1:18" x14ac:dyDescent="0.3">
      <c r="A465" s="3">
        <v>70699</v>
      </c>
      <c r="B465" s="3">
        <v>0</v>
      </c>
      <c r="C465" s="2" t="s">
        <v>2736</v>
      </c>
      <c r="D465" s="45"/>
      <c r="E465" s="4" t="s">
        <v>2736</v>
      </c>
      <c r="F465" s="50" t="s">
        <v>2784</v>
      </c>
      <c r="G465" s="2" t="s">
        <v>323</v>
      </c>
      <c r="H465" s="2" t="s">
        <v>323</v>
      </c>
      <c r="I465" s="50" t="s">
        <v>3265</v>
      </c>
      <c r="J465" s="50" t="s">
        <v>3603</v>
      </c>
      <c r="K465" s="4">
        <v>1.72</v>
      </c>
      <c r="L465" s="31">
        <v>5.42956128351332</v>
      </c>
      <c r="M465" s="50"/>
      <c r="N465" s="4"/>
      <c r="O465" s="44">
        <v>45737.333333333336</v>
      </c>
      <c r="P465" s="2"/>
      <c r="Q465"/>
      <c r="R465"/>
    </row>
    <row r="466" spans="1:18" x14ac:dyDescent="0.3">
      <c r="A466" s="3">
        <v>99152</v>
      </c>
      <c r="B466" s="3">
        <v>9</v>
      </c>
      <c r="C466" s="2" t="s">
        <v>2736</v>
      </c>
      <c r="D466" s="45"/>
      <c r="E466" s="4" t="s">
        <v>2736</v>
      </c>
      <c r="F466" s="50" t="s">
        <v>2842</v>
      </c>
      <c r="G466" s="2" t="s">
        <v>303</v>
      </c>
      <c r="H466" s="2" t="s">
        <v>303</v>
      </c>
      <c r="I466" s="50" t="s">
        <v>3262</v>
      </c>
      <c r="J466" s="50" t="s">
        <v>3608</v>
      </c>
      <c r="K466" s="4">
        <v>4.92</v>
      </c>
      <c r="L466" s="31">
        <v>6.2908769912272096</v>
      </c>
      <c r="M466" s="50"/>
      <c r="N466" s="4"/>
      <c r="O466" s="44">
        <v>45737.375</v>
      </c>
      <c r="P466" s="2"/>
      <c r="Q466"/>
      <c r="R466"/>
    </row>
    <row r="467" spans="1:18" x14ac:dyDescent="0.3">
      <c r="A467" s="3">
        <v>70564</v>
      </c>
      <c r="B467" s="3">
        <v>0</v>
      </c>
      <c r="C467" s="2" t="s">
        <v>2736</v>
      </c>
      <c r="D467" s="45"/>
      <c r="E467" s="4" t="s">
        <v>2736</v>
      </c>
      <c r="F467" s="50" t="s">
        <v>867</v>
      </c>
      <c r="G467" s="2" t="s">
        <v>323</v>
      </c>
      <c r="H467" s="2" t="s">
        <v>323</v>
      </c>
      <c r="I467" s="50" t="s">
        <v>3254</v>
      </c>
      <c r="J467" s="50" t="s">
        <v>3606</v>
      </c>
      <c r="K467" s="4">
        <v>8.48</v>
      </c>
      <c r="L467" s="31">
        <v>3.1211320552637898</v>
      </c>
      <c r="M467" s="50"/>
      <c r="N467" s="4"/>
      <c r="O467" s="44">
        <v>45737.333333333336</v>
      </c>
      <c r="P467" s="2"/>
      <c r="Q467"/>
      <c r="R467"/>
    </row>
    <row r="468" spans="1:18" x14ac:dyDescent="0.3">
      <c r="A468" s="3">
        <v>73063</v>
      </c>
      <c r="B468" s="3">
        <v>0</v>
      </c>
      <c r="C468" s="2" t="s">
        <v>2736</v>
      </c>
      <c r="D468" s="45"/>
      <c r="E468" s="4" t="s">
        <v>2736</v>
      </c>
      <c r="F468" s="50" t="s">
        <v>2793</v>
      </c>
      <c r="G468" s="2" t="s">
        <v>323</v>
      </c>
      <c r="H468" s="2" t="s">
        <v>323</v>
      </c>
      <c r="I468" s="50" t="s">
        <v>3251</v>
      </c>
      <c r="J468" s="50" t="s">
        <v>3609</v>
      </c>
      <c r="K468" s="4">
        <v>11.55</v>
      </c>
      <c r="L468" s="31">
        <v>0.75774488011128904</v>
      </c>
      <c r="M468" s="50"/>
      <c r="N468" s="4"/>
      <c r="O468" s="44">
        <v>45737.291666666664</v>
      </c>
      <c r="P468" s="2"/>
      <c r="Q468"/>
      <c r="R468"/>
    </row>
    <row r="469" spans="1:18" x14ac:dyDescent="0.3">
      <c r="A469" s="3">
        <v>73492</v>
      </c>
      <c r="B469" s="3">
        <v>0</v>
      </c>
      <c r="C469" s="2" t="s">
        <v>2736</v>
      </c>
      <c r="D469" s="45"/>
      <c r="E469" s="4" t="s">
        <v>2736</v>
      </c>
      <c r="F469" s="50" t="s">
        <v>2808</v>
      </c>
      <c r="G469" s="2" t="s">
        <v>323</v>
      </c>
      <c r="H469" s="2" t="s">
        <v>323</v>
      </c>
      <c r="I469" s="50" t="s">
        <v>3255</v>
      </c>
      <c r="J469" s="50" t="s">
        <v>3610</v>
      </c>
      <c r="L469" s="31">
        <v>4.3867358334583697</v>
      </c>
      <c r="M469" s="50" t="s">
        <v>2810</v>
      </c>
      <c r="N469" s="4"/>
      <c r="O469" s="44"/>
      <c r="P469" s="2"/>
      <c r="Q469"/>
      <c r="R469"/>
    </row>
    <row r="470" spans="1:18" x14ac:dyDescent="0.3">
      <c r="A470" s="3">
        <v>70597</v>
      </c>
      <c r="B470" s="3">
        <v>0</v>
      </c>
      <c r="C470" s="2" t="s">
        <v>2736</v>
      </c>
      <c r="D470" s="45"/>
      <c r="E470" s="4" t="s">
        <v>2736</v>
      </c>
      <c r="F470" s="50" t="s">
        <v>2763</v>
      </c>
      <c r="G470" s="2" t="s">
        <v>323</v>
      </c>
      <c r="H470" s="2" t="s">
        <v>323</v>
      </c>
      <c r="I470" s="50" t="s">
        <v>3253</v>
      </c>
      <c r="J470" s="50" t="s">
        <v>3612</v>
      </c>
      <c r="K470" s="4">
        <v>11.48</v>
      </c>
      <c r="L470" s="31">
        <v>0.52311251420883298</v>
      </c>
      <c r="M470" s="50"/>
      <c r="N470" s="4"/>
      <c r="O470" s="44">
        <v>45737.25</v>
      </c>
      <c r="P470" s="2"/>
      <c r="Q470"/>
      <c r="R470"/>
    </row>
    <row r="471" spans="1:18" x14ac:dyDescent="0.3">
      <c r="A471" s="3">
        <v>73507</v>
      </c>
      <c r="B471" s="3">
        <v>0</v>
      </c>
      <c r="C471" s="2" t="s">
        <v>2736</v>
      </c>
      <c r="D471" s="45"/>
      <c r="E471" s="4" t="s">
        <v>2736</v>
      </c>
      <c r="F471" s="50" t="s">
        <v>2812</v>
      </c>
      <c r="G471" s="2" t="s">
        <v>300</v>
      </c>
      <c r="H471" s="2" t="s">
        <v>300</v>
      </c>
      <c r="I471" s="50" t="s">
        <v>3055</v>
      </c>
      <c r="J471" s="50" t="s">
        <v>3615</v>
      </c>
      <c r="K471" s="4">
        <v>15.33</v>
      </c>
      <c r="L471" s="31">
        <v>6.0087233989747197</v>
      </c>
      <c r="M471" s="50"/>
      <c r="N471" s="4">
        <v>13</v>
      </c>
      <c r="O471" s="44">
        <v>45737.291666666664</v>
      </c>
      <c r="P471" s="2"/>
      <c r="Q471"/>
      <c r="R471"/>
    </row>
    <row r="472" spans="1:18" x14ac:dyDescent="0.3">
      <c r="A472" s="3">
        <v>73551</v>
      </c>
      <c r="B472" s="3">
        <v>0</v>
      </c>
      <c r="C472" s="2" t="s">
        <v>2736</v>
      </c>
      <c r="D472" s="45"/>
      <c r="E472" s="4" t="s">
        <v>2736</v>
      </c>
      <c r="F472" s="50" t="s">
        <v>2818</v>
      </c>
      <c r="G472" s="2" t="s">
        <v>323</v>
      </c>
      <c r="H472" s="2" t="s">
        <v>323</v>
      </c>
      <c r="I472" s="50" t="s">
        <v>3268</v>
      </c>
      <c r="J472" s="50" t="s">
        <v>3143</v>
      </c>
      <c r="K472" s="4">
        <v>6.62</v>
      </c>
      <c r="L472" s="31">
        <v>1.56134581103666</v>
      </c>
      <c r="M472" s="50"/>
      <c r="N472" s="4"/>
      <c r="O472" s="44">
        <v>45737.583333333336</v>
      </c>
      <c r="P472" s="2"/>
      <c r="Q472"/>
      <c r="R472"/>
    </row>
    <row r="473" spans="1:18" x14ac:dyDescent="0.3">
      <c r="A473" s="3">
        <v>70971</v>
      </c>
      <c r="B473" s="3">
        <v>1</v>
      </c>
      <c r="C473" s="2" t="s">
        <v>2736</v>
      </c>
      <c r="D473" s="45"/>
      <c r="E473" s="4" t="s">
        <v>2736</v>
      </c>
      <c r="F473" s="50" t="s">
        <v>2791</v>
      </c>
      <c r="G473" s="2" t="s">
        <v>300</v>
      </c>
      <c r="H473" s="2" t="s">
        <v>300</v>
      </c>
      <c r="I473" s="50" t="s">
        <v>3064</v>
      </c>
      <c r="J473" s="50" t="s">
        <v>3611</v>
      </c>
      <c r="K473" s="4">
        <v>13.44</v>
      </c>
      <c r="L473" s="31">
        <v>0.58417314423928701</v>
      </c>
      <c r="M473" s="50"/>
      <c r="N473" s="4"/>
      <c r="O473" s="44">
        <v>45737.333333333336</v>
      </c>
      <c r="P473" s="2"/>
      <c r="Q473"/>
      <c r="R473"/>
    </row>
    <row r="474" spans="1:18" x14ac:dyDescent="0.3">
      <c r="A474" s="3">
        <v>73530</v>
      </c>
      <c r="B474" s="3">
        <v>0</v>
      </c>
      <c r="C474" s="2" t="s">
        <v>2736</v>
      </c>
      <c r="D474" s="45"/>
      <c r="E474" s="4" t="s">
        <v>2736</v>
      </c>
      <c r="F474" s="50" t="s">
        <v>2815</v>
      </c>
      <c r="G474" s="2" t="s">
        <v>300</v>
      </c>
      <c r="H474" s="2" t="s">
        <v>300</v>
      </c>
      <c r="I474" s="50" t="s">
        <v>3259</v>
      </c>
      <c r="J474" s="50" t="s">
        <v>3613</v>
      </c>
      <c r="K474" s="4">
        <v>6.7</v>
      </c>
      <c r="L474" s="31">
        <v>6.6116270621696502</v>
      </c>
      <c r="M474" s="50"/>
      <c r="N474" s="4"/>
      <c r="O474" s="44">
        <v>45737.333333333336</v>
      </c>
      <c r="P474" s="2"/>
      <c r="Q474"/>
      <c r="R474"/>
    </row>
    <row r="475" spans="1:18" x14ac:dyDescent="0.3">
      <c r="A475" s="3">
        <v>73395</v>
      </c>
      <c r="B475" s="3">
        <v>1</v>
      </c>
      <c r="C475" s="2" t="s">
        <v>2736</v>
      </c>
      <c r="D475" s="45"/>
      <c r="E475" s="4" t="s">
        <v>2736</v>
      </c>
      <c r="F475" s="50" t="s">
        <v>2802</v>
      </c>
      <c r="G475" s="2" t="s">
        <v>300</v>
      </c>
      <c r="H475" s="2" t="s">
        <v>300</v>
      </c>
      <c r="I475" s="50" t="s">
        <v>3267</v>
      </c>
      <c r="J475" s="50" t="s">
        <v>3614</v>
      </c>
      <c r="K475" s="4">
        <v>6.68</v>
      </c>
      <c r="L475" s="31">
        <v>1.2371954582573601</v>
      </c>
      <c r="M475" s="50"/>
      <c r="N475" s="4"/>
      <c r="O475" s="44"/>
      <c r="P475" s="2"/>
      <c r="Q475"/>
      <c r="R475"/>
    </row>
    <row r="476" spans="1:18" x14ac:dyDescent="0.3">
      <c r="A476" s="3">
        <v>70483</v>
      </c>
      <c r="B476" s="3">
        <v>1</v>
      </c>
      <c r="C476" s="2" t="s">
        <v>2736</v>
      </c>
      <c r="D476" s="45"/>
      <c r="E476" s="4" t="s">
        <v>2736</v>
      </c>
      <c r="F476" s="50" t="s">
        <v>2740</v>
      </c>
      <c r="G476" s="2" t="s">
        <v>300</v>
      </c>
      <c r="H476" s="2" t="s">
        <v>300</v>
      </c>
      <c r="I476" s="50" t="s">
        <v>3056</v>
      </c>
      <c r="J476" s="50" t="s">
        <v>3618</v>
      </c>
      <c r="K476" s="4">
        <v>10.73</v>
      </c>
      <c r="L476" s="31">
        <v>5.7766024267459102</v>
      </c>
      <c r="M476" s="50"/>
      <c r="N476" s="4"/>
      <c r="O476" s="44">
        <v>45737.166666666664</v>
      </c>
      <c r="P476" s="2"/>
      <c r="Q476"/>
      <c r="R476"/>
    </row>
    <row r="477" spans="1:18" x14ac:dyDescent="0.3">
      <c r="A477" s="3">
        <v>70526</v>
      </c>
      <c r="B477" s="3">
        <v>0</v>
      </c>
      <c r="C477" s="2" t="s">
        <v>2736</v>
      </c>
      <c r="D477" s="45"/>
      <c r="E477" s="4" t="s">
        <v>2736</v>
      </c>
      <c r="F477" s="50" t="s">
        <v>2746</v>
      </c>
      <c r="G477" s="2" t="s">
        <v>300</v>
      </c>
      <c r="H477" s="2" t="s">
        <v>300</v>
      </c>
      <c r="I477" s="50" t="s">
        <v>3066</v>
      </c>
      <c r="J477" s="50" t="s">
        <v>3619</v>
      </c>
      <c r="K477" s="4">
        <v>9.7100000000000009</v>
      </c>
      <c r="L477" s="31">
        <v>6.7660576603464104</v>
      </c>
      <c r="M477" s="50"/>
      <c r="N477" s="4">
        <v>24</v>
      </c>
      <c r="O477" s="44">
        <v>45737.333333333336</v>
      </c>
      <c r="P477" s="2"/>
      <c r="Q477"/>
      <c r="R477"/>
    </row>
    <row r="478" spans="1:18" x14ac:dyDescent="0.3">
      <c r="A478" s="3">
        <v>99031</v>
      </c>
      <c r="B478" s="3">
        <v>63</v>
      </c>
      <c r="C478" s="2" t="s">
        <v>2736</v>
      </c>
      <c r="D478" s="45"/>
      <c r="E478" s="4" t="s">
        <v>2736</v>
      </c>
      <c r="F478" s="50" t="s">
        <v>2824</v>
      </c>
      <c r="G478" s="2" t="s">
        <v>300</v>
      </c>
      <c r="H478" s="2" t="s">
        <v>300</v>
      </c>
      <c r="I478" s="50" t="s">
        <v>3248</v>
      </c>
      <c r="J478" s="50" t="s">
        <v>3616</v>
      </c>
      <c r="K478" s="4">
        <v>1.1000000000000001</v>
      </c>
      <c r="L478" s="31">
        <v>2.71468665955729</v>
      </c>
      <c r="M478" s="50"/>
      <c r="N478" s="4"/>
      <c r="O478" s="44">
        <v>45737.208333333336</v>
      </c>
      <c r="P478" s="2"/>
      <c r="Q478"/>
      <c r="R478"/>
    </row>
    <row r="479" spans="1:18" x14ac:dyDescent="0.3">
      <c r="A479" s="3">
        <v>70959</v>
      </c>
      <c r="B479" s="3">
        <v>0</v>
      </c>
      <c r="C479" s="2" t="s">
        <v>2736</v>
      </c>
      <c r="D479" s="45"/>
      <c r="E479" s="4" t="s">
        <v>2736</v>
      </c>
      <c r="F479" s="50" t="s">
        <v>2787</v>
      </c>
      <c r="G479" s="2" t="s">
        <v>300</v>
      </c>
      <c r="H479" s="2" t="s">
        <v>300</v>
      </c>
      <c r="I479" s="50" t="s">
        <v>3060</v>
      </c>
      <c r="J479" s="50" t="s">
        <v>3620</v>
      </c>
      <c r="L479" s="31">
        <v>1.33631490782903</v>
      </c>
      <c r="M479" s="50" t="s">
        <v>2789</v>
      </c>
      <c r="N479" s="4"/>
      <c r="O479" s="44"/>
      <c r="P479" s="2"/>
      <c r="Q479"/>
      <c r="R479"/>
    </row>
    <row r="480" spans="1:18" x14ac:dyDescent="0.3">
      <c r="A480" s="3">
        <v>70552</v>
      </c>
      <c r="B480" s="3">
        <v>0</v>
      </c>
      <c r="C480" s="2" t="s">
        <v>2736</v>
      </c>
      <c r="D480" s="45"/>
      <c r="E480" s="4" t="s">
        <v>2736</v>
      </c>
      <c r="F480" s="50" t="s">
        <v>2755</v>
      </c>
      <c r="G480" s="2" t="s">
        <v>300</v>
      </c>
      <c r="H480" s="2" t="s">
        <v>300</v>
      </c>
      <c r="I480" s="50" t="s">
        <v>3246</v>
      </c>
      <c r="J480" s="50" t="s">
        <v>3617</v>
      </c>
      <c r="K480" s="4">
        <v>16.77</v>
      </c>
      <c r="L480" s="31">
        <v>3.3103322520092902</v>
      </c>
      <c r="M480" s="50"/>
      <c r="N480" s="4">
        <v>7</v>
      </c>
      <c r="O480" s="44">
        <v>45737.333333333336</v>
      </c>
      <c r="P480" s="2"/>
      <c r="Q480"/>
      <c r="R480"/>
    </row>
    <row r="481" spans="1:18" x14ac:dyDescent="0.3">
      <c r="A481" s="3">
        <v>70531</v>
      </c>
      <c r="B481" s="3">
        <v>0</v>
      </c>
      <c r="C481" s="2" t="s">
        <v>2736</v>
      </c>
      <c r="D481" s="45"/>
      <c r="E481" s="4" t="s">
        <v>2736</v>
      </c>
      <c r="F481" s="50" t="s">
        <v>2749</v>
      </c>
      <c r="G481" s="2" t="s">
        <v>300</v>
      </c>
      <c r="H481" s="2" t="s">
        <v>300</v>
      </c>
      <c r="I481" s="50" t="s">
        <v>3261</v>
      </c>
      <c r="J481" s="50" t="s">
        <v>3621</v>
      </c>
      <c r="K481" s="4">
        <v>19.829999999999998</v>
      </c>
      <c r="L481" s="31">
        <v>7.0319345259156298</v>
      </c>
      <c r="M481" s="50"/>
      <c r="N481" s="4">
        <v>2</v>
      </c>
      <c r="O481" s="44">
        <v>45737.333333333336</v>
      </c>
      <c r="P481" s="2"/>
      <c r="Q481"/>
      <c r="R481"/>
    </row>
    <row r="482" spans="1:18" x14ac:dyDescent="0.3">
      <c r="A482" s="3">
        <v>73450</v>
      </c>
      <c r="B482" s="3">
        <v>0</v>
      </c>
      <c r="C482" s="2" t="s">
        <v>2736</v>
      </c>
      <c r="D482" s="45"/>
      <c r="E482" s="4" t="s">
        <v>2736</v>
      </c>
      <c r="F482" s="50" t="s">
        <v>2805</v>
      </c>
      <c r="G482" s="2" t="s">
        <v>300</v>
      </c>
      <c r="H482" s="2" t="s">
        <v>300</v>
      </c>
      <c r="I482" s="50" t="s">
        <v>3244</v>
      </c>
      <c r="J482" s="50" t="s">
        <v>3623</v>
      </c>
      <c r="K482" s="4">
        <v>5.82</v>
      </c>
      <c r="L482" s="31">
        <v>6.6607949665428796</v>
      </c>
      <c r="M482" s="50"/>
      <c r="N482" s="4"/>
      <c r="O482" s="44">
        <v>45737.291666666664</v>
      </c>
      <c r="P482" s="2"/>
      <c r="Q482"/>
      <c r="R482"/>
    </row>
    <row r="483" spans="1:18" x14ac:dyDescent="0.3">
      <c r="A483" s="3">
        <v>99214</v>
      </c>
      <c r="B483" s="3">
        <v>0</v>
      </c>
      <c r="C483" s="2" t="s">
        <v>2736</v>
      </c>
      <c r="D483" s="45"/>
      <c r="E483" s="4" t="s">
        <v>2736</v>
      </c>
      <c r="F483" s="50" t="s">
        <v>2845</v>
      </c>
      <c r="G483" s="2" t="s">
        <v>300</v>
      </c>
      <c r="H483" s="2" t="s">
        <v>300</v>
      </c>
      <c r="I483" s="50" t="s">
        <v>3062</v>
      </c>
      <c r="J483" s="50" t="s">
        <v>3622</v>
      </c>
      <c r="K483" s="4">
        <v>14.52</v>
      </c>
      <c r="L483" s="31">
        <v>5.0298275510036801</v>
      </c>
      <c r="M483" s="50"/>
      <c r="N483" s="4">
        <v>26</v>
      </c>
      <c r="O483" s="44">
        <v>45737.333333333336</v>
      </c>
      <c r="P483" s="2"/>
      <c r="Q483"/>
      <c r="R483"/>
    </row>
    <row r="484" spans="1:18" x14ac:dyDescent="0.3">
      <c r="A484" s="3">
        <v>70483</v>
      </c>
      <c r="B484" s="3">
        <v>0</v>
      </c>
      <c r="C484" s="2" t="s">
        <v>2736</v>
      </c>
      <c r="D484" s="45"/>
      <c r="E484" s="4" t="s">
        <v>2736</v>
      </c>
      <c r="F484" s="50" t="s">
        <v>2738</v>
      </c>
      <c r="G484" s="2" t="s">
        <v>300</v>
      </c>
      <c r="H484" s="2" t="s">
        <v>300</v>
      </c>
      <c r="I484" s="50" t="s">
        <v>3059</v>
      </c>
      <c r="J484" s="50" t="s">
        <v>3625</v>
      </c>
      <c r="K484" s="4">
        <v>0.35</v>
      </c>
      <c r="L484" s="31">
        <v>2.8625776560265899</v>
      </c>
      <c r="M484" s="50"/>
      <c r="N484" s="4">
        <v>0</v>
      </c>
      <c r="O484" s="44">
        <v>45737.166666666664</v>
      </c>
      <c r="P484" s="2"/>
      <c r="Q484"/>
      <c r="R484"/>
    </row>
    <row r="485" spans="1:18" x14ac:dyDescent="0.3">
      <c r="A485" s="3">
        <v>73140</v>
      </c>
      <c r="B485" s="3">
        <v>0</v>
      </c>
      <c r="C485" s="2" t="s">
        <v>2736</v>
      </c>
      <c r="D485" s="45"/>
      <c r="E485" s="4" t="s">
        <v>2736</v>
      </c>
      <c r="F485" s="50" t="s">
        <v>2799</v>
      </c>
      <c r="G485" s="2" t="s">
        <v>300</v>
      </c>
      <c r="H485" s="2" t="s">
        <v>300</v>
      </c>
      <c r="I485" s="50" t="s">
        <v>3266</v>
      </c>
      <c r="J485" s="50" t="s">
        <v>3627</v>
      </c>
      <c r="K485" s="4">
        <v>16.02</v>
      </c>
      <c r="L485" s="31">
        <v>4.54786208420626</v>
      </c>
      <c r="M485" s="50"/>
      <c r="N485" s="4"/>
      <c r="O485" s="44">
        <v>45737.333333333336</v>
      </c>
      <c r="P485" s="2"/>
      <c r="Q485"/>
      <c r="R485"/>
    </row>
    <row r="486" spans="1:18" x14ac:dyDescent="0.3">
      <c r="A486" s="3">
        <v>73082</v>
      </c>
      <c r="B486" s="3">
        <v>0</v>
      </c>
      <c r="C486" s="2" t="s">
        <v>2736</v>
      </c>
      <c r="D486" s="45"/>
      <c r="E486" s="4" t="s">
        <v>2736</v>
      </c>
      <c r="F486" s="50" t="s">
        <v>2796</v>
      </c>
      <c r="G486" s="2" t="s">
        <v>300</v>
      </c>
      <c r="H486" s="2" t="s">
        <v>300</v>
      </c>
      <c r="I486" s="50" t="s">
        <v>3245</v>
      </c>
      <c r="J486" s="50" t="s">
        <v>3624</v>
      </c>
      <c r="K486" s="4">
        <v>5.16</v>
      </c>
      <c r="L486" s="31">
        <v>0.93294412167551899</v>
      </c>
      <c r="M486" s="50"/>
      <c r="N486" s="4"/>
      <c r="O486" s="44">
        <v>45737.291666666664</v>
      </c>
      <c r="P486" s="2"/>
      <c r="Q486"/>
      <c r="R486"/>
    </row>
    <row r="487" spans="1:18" x14ac:dyDescent="0.3">
      <c r="A487" s="3">
        <v>70644</v>
      </c>
      <c r="B487" s="3">
        <v>0</v>
      </c>
      <c r="C487" s="2" t="s">
        <v>2736</v>
      </c>
      <c r="D487" s="45"/>
      <c r="E487" s="4" t="s">
        <v>2736</v>
      </c>
      <c r="F487" s="50" t="s">
        <v>2766</v>
      </c>
      <c r="G487" s="2" t="s">
        <v>300</v>
      </c>
      <c r="H487" s="2" t="s">
        <v>300</v>
      </c>
      <c r="I487" s="50" t="s">
        <v>3061</v>
      </c>
      <c r="J487" s="50" t="s">
        <v>3626</v>
      </c>
      <c r="K487" s="4">
        <v>9.44</v>
      </c>
      <c r="L487" s="31">
        <v>5.5431587030446998</v>
      </c>
      <c r="M487" s="50"/>
      <c r="N487" s="4">
        <v>36</v>
      </c>
      <c r="O487" s="44">
        <v>45737.333333333336</v>
      </c>
      <c r="P487" s="2"/>
      <c r="Q487"/>
      <c r="R487"/>
    </row>
    <row r="488" spans="1:18" x14ac:dyDescent="0.3">
      <c r="A488" s="3">
        <v>70665</v>
      </c>
      <c r="B488" s="3">
        <v>0</v>
      </c>
      <c r="C488" s="2" t="s">
        <v>2736</v>
      </c>
      <c r="D488" s="45"/>
      <c r="E488" s="4" t="s">
        <v>2736</v>
      </c>
      <c r="F488" s="50" t="s">
        <v>2778</v>
      </c>
      <c r="G488" s="2" t="s">
        <v>300</v>
      </c>
      <c r="H488" s="2" t="s">
        <v>300</v>
      </c>
      <c r="I488" s="50" t="s">
        <v>3063</v>
      </c>
      <c r="J488" s="50" t="s">
        <v>3628</v>
      </c>
      <c r="K488" s="4">
        <v>10.52</v>
      </c>
      <c r="L488" s="31">
        <v>6.7542218800554096E-2</v>
      </c>
      <c r="M488" s="50"/>
      <c r="N488" s="4">
        <v>16</v>
      </c>
      <c r="O488" s="44">
        <v>45737.333333333336</v>
      </c>
      <c r="P488" s="2"/>
      <c r="Q488"/>
      <c r="R488"/>
    </row>
    <row r="489" spans="1:18" x14ac:dyDescent="0.3">
      <c r="A489" s="3">
        <v>73572</v>
      </c>
      <c r="B489" s="3">
        <v>0</v>
      </c>
      <c r="C489" s="2" t="s">
        <v>2736</v>
      </c>
      <c r="D489" s="45"/>
      <c r="E489" s="4" t="s">
        <v>2736</v>
      </c>
      <c r="F489" s="50" t="s">
        <v>2821</v>
      </c>
      <c r="G489" s="2" t="s">
        <v>300</v>
      </c>
      <c r="H489" s="2" t="s">
        <v>300</v>
      </c>
      <c r="I489" s="50" t="s">
        <v>3057</v>
      </c>
      <c r="J489" s="50" t="s">
        <v>3629</v>
      </c>
      <c r="L489" s="31">
        <v>7.1644078094843699</v>
      </c>
      <c r="M489" s="50"/>
      <c r="N489" s="4"/>
      <c r="O489" s="44"/>
      <c r="P489" s="2"/>
      <c r="Q489"/>
      <c r="R489"/>
    </row>
    <row r="490" spans="1:18" x14ac:dyDescent="0.3">
      <c r="A490" s="3">
        <v>99062</v>
      </c>
      <c r="B490" s="3">
        <v>136</v>
      </c>
      <c r="C490" s="2" t="s">
        <v>2736</v>
      </c>
      <c r="D490" s="45"/>
      <c r="E490" s="4" t="s">
        <v>2736</v>
      </c>
      <c r="F490" s="50" t="s">
        <v>2838</v>
      </c>
      <c r="G490" s="2" t="s">
        <v>300</v>
      </c>
      <c r="H490" s="2" t="s">
        <v>300</v>
      </c>
      <c r="I490" s="50" t="s">
        <v>3249</v>
      </c>
      <c r="J490" s="50" t="s">
        <v>3633</v>
      </c>
      <c r="L490" s="31">
        <v>3.28063764000433</v>
      </c>
      <c r="M490" s="50"/>
      <c r="N490" s="4"/>
      <c r="O490" s="44"/>
      <c r="P490" s="2"/>
      <c r="Q490"/>
      <c r="R490"/>
    </row>
    <row r="491" spans="1:18" x14ac:dyDescent="0.3">
      <c r="A491" s="3">
        <v>99031</v>
      </c>
      <c r="B491" s="3">
        <v>183</v>
      </c>
      <c r="C491" s="2" t="s">
        <v>2736</v>
      </c>
      <c r="D491" s="45"/>
      <c r="E491" s="4" t="s">
        <v>2736</v>
      </c>
      <c r="F491" s="50" t="s">
        <v>2827</v>
      </c>
      <c r="G491" s="2" t="s">
        <v>300</v>
      </c>
      <c r="H491" s="2" t="s">
        <v>300</v>
      </c>
      <c r="I491" s="50" t="s">
        <v>3250</v>
      </c>
      <c r="J491" s="50" t="s">
        <v>3630</v>
      </c>
      <c r="L491" s="31">
        <v>7.1533544292020697</v>
      </c>
      <c r="M491" s="50"/>
      <c r="N491" s="4"/>
      <c r="O491" s="44"/>
      <c r="P491" s="2"/>
      <c r="Q491"/>
      <c r="R491"/>
    </row>
    <row r="492" spans="1:18" x14ac:dyDescent="0.3">
      <c r="A492" s="3">
        <v>99031</v>
      </c>
      <c r="B492" s="3">
        <v>184</v>
      </c>
      <c r="C492" s="2" t="s">
        <v>2736</v>
      </c>
      <c r="D492" s="45"/>
      <c r="E492" s="4" t="s">
        <v>2736</v>
      </c>
      <c r="F492" s="50" t="s">
        <v>2830</v>
      </c>
      <c r="G492" s="2" t="s">
        <v>300</v>
      </c>
      <c r="H492" s="2" t="s">
        <v>300</v>
      </c>
      <c r="I492" s="50" t="s">
        <v>3058</v>
      </c>
      <c r="J492" s="50" t="s">
        <v>3631</v>
      </c>
      <c r="L492" s="31">
        <v>6.3217707249241402</v>
      </c>
      <c r="M492" s="50"/>
      <c r="N492" s="4"/>
      <c r="O492" s="44"/>
      <c r="P492" s="2"/>
      <c r="Q492"/>
      <c r="R492"/>
    </row>
    <row r="493" spans="1:18" x14ac:dyDescent="0.3">
      <c r="A493" s="3">
        <v>99031</v>
      </c>
      <c r="B493" s="3">
        <v>185</v>
      </c>
      <c r="C493" s="2" t="s">
        <v>2736</v>
      </c>
      <c r="D493" s="45"/>
      <c r="E493" s="4" t="s">
        <v>2736</v>
      </c>
      <c r="F493" s="50" t="s">
        <v>2833</v>
      </c>
      <c r="G493" s="2" t="s">
        <v>300</v>
      </c>
      <c r="H493" s="2" t="s">
        <v>300</v>
      </c>
      <c r="I493" s="50" t="s">
        <v>3247</v>
      </c>
      <c r="J493" s="50" t="s">
        <v>3632</v>
      </c>
      <c r="L493" s="31">
        <v>8.26115956367153</v>
      </c>
      <c r="M493" s="50"/>
      <c r="N493" s="4"/>
      <c r="O493" s="44"/>
      <c r="P493" s="2"/>
      <c r="Q493"/>
      <c r="R493"/>
    </row>
    <row r="494" spans="1:18" x14ac:dyDescent="0.3">
      <c r="A494" s="3">
        <v>73341</v>
      </c>
      <c r="B494" s="3">
        <v>0</v>
      </c>
      <c r="C494" s="2" t="s">
        <v>2847</v>
      </c>
      <c r="D494" s="45"/>
      <c r="E494" s="4" t="s">
        <v>2514</v>
      </c>
      <c r="F494" s="50" t="s">
        <v>2577</v>
      </c>
      <c r="G494" s="2" t="s">
        <v>300</v>
      </c>
      <c r="H494" s="2" t="s">
        <v>300</v>
      </c>
      <c r="I494" s="50" t="s">
        <v>3042</v>
      </c>
      <c r="J494" s="50" t="s">
        <v>3765</v>
      </c>
      <c r="K494" s="4">
        <v>6.9</v>
      </c>
      <c r="L494" s="31">
        <v>2.3697852935310602</v>
      </c>
      <c r="M494" s="50"/>
      <c r="N494" s="4">
        <v>9</v>
      </c>
      <c r="O494" s="44">
        <v>45737.25</v>
      </c>
      <c r="P494" s="2"/>
      <c r="Q494"/>
      <c r="R494"/>
    </row>
    <row r="495" spans="1:18" x14ac:dyDescent="0.3">
      <c r="A495" s="3">
        <v>70608</v>
      </c>
      <c r="B495" s="3">
        <v>1</v>
      </c>
      <c r="C495" s="2" t="s">
        <v>2847</v>
      </c>
      <c r="D495" s="45"/>
      <c r="E495" s="4" t="s">
        <v>2514</v>
      </c>
      <c r="F495" s="50" t="s">
        <v>2518</v>
      </c>
      <c r="G495" s="2" t="s">
        <v>300</v>
      </c>
      <c r="H495" s="2" t="s">
        <v>300</v>
      </c>
      <c r="I495" s="50" t="s">
        <v>3048</v>
      </c>
      <c r="J495" s="50" t="s">
        <v>3766</v>
      </c>
      <c r="K495" s="4">
        <v>3.21</v>
      </c>
      <c r="L495" s="31">
        <v>3.41920740531291</v>
      </c>
      <c r="M495" s="50"/>
      <c r="N495" s="4">
        <v>10</v>
      </c>
      <c r="O495" s="44">
        <v>45737.25</v>
      </c>
      <c r="P495" s="2"/>
      <c r="Q495"/>
      <c r="R495"/>
    </row>
    <row r="496" spans="1:18" x14ac:dyDescent="0.3">
      <c r="A496" s="3">
        <v>70608</v>
      </c>
      <c r="B496" s="3">
        <v>0</v>
      </c>
      <c r="C496" s="2" t="s">
        <v>2847</v>
      </c>
      <c r="D496" s="45"/>
      <c r="E496" s="4" t="s">
        <v>2514</v>
      </c>
      <c r="F496" s="50" t="s">
        <v>2516</v>
      </c>
      <c r="G496" s="2" t="s">
        <v>300</v>
      </c>
      <c r="H496" s="2" t="s">
        <v>300</v>
      </c>
      <c r="I496" s="50" t="s">
        <v>3043</v>
      </c>
      <c r="J496" s="50" t="s">
        <v>3767</v>
      </c>
      <c r="K496" s="4">
        <v>10.62</v>
      </c>
      <c r="L496" s="31">
        <v>0</v>
      </c>
      <c r="M496" s="50"/>
      <c r="N496" s="4">
        <v>48</v>
      </c>
      <c r="O496" s="44">
        <v>45737.25</v>
      </c>
      <c r="P496" s="2"/>
      <c r="Q496"/>
      <c r="R496"/>
    </row>
    <row r="497" spans="1:18" x14ac:dyDescent="0.3">
      <c r="A497" s="3">
        <v>70607</v>
      </c>
      <c r="B497" s="3">
        <v>0</v>
      </c>
      <c r="C497" s="2" t="s">
        <v>2847</v>
      </c>
      <c r="D497" s="45"/>
      <c r="E497" s="4" t="s">
        <v>2847</v>
      </c>
      <c r="F497" s="50" t="s">
        <v>2885</v>
      </c>
      <c r="G497" s="2" t="s">
        <v>297</v>
      </c>
      <c r="H497" s="2" t="s">
        <v>297</v>
      </c>
      <c r="I497" s="50" t="s">
        <v>3079</v>
      </c>
      <c r="J497" s="50" t="s">
        <v>3768</v>
      </c>
      <c r="K497" s="4">
        <v>4.53</v>
      </c>
      <c r="L497" s="31">
        <v>3.2874659837567601</v>
      </c>
      <c r="M497" s="50"/>
      <c r="N497" s="4"/>
      <c r="O497" s="44">
        <v>45737.208333333336</v>
      </c>
      <c r="P497" s="2"/>
      <c r="Q497"/>
      <c r="R497"/>
    </row>
    <row r="498" spans="1:18" x14ac:dyDescent="0.3">
      <c r="A498" s="3">
        <v>99062</v>
      </c>
      <c r="B498" s="3">
        <v>189</v>
      </c>
      <c r="C498" s="2" t="s">
        <v>2847</v>
      </c>
      <c r="D498" s="45"/>
      <c r="E498" s="4" t="s">
        <v>2847</v>
      </c>
      <c r="F498" s="50" t="s">
        <v>2939</v>
      </c>
      <c r="G498" s="2" t="s">
        <v>302</v>
      </c>
      <c r="H498" s="2" t="s">
        <v>302</v>
      </c>
      <c r="I498" s="50" t="s">
        <v>3073</v>
      </c>
      <c r="J498" s="50" t="s">
        <v>3769</v>
      </c>
      <c r="L498" s="31">
        <v>3.8945191298532098</v>
      </c>
      <c r="M498" s="50"/>
      <c r="N498" s="4"/>
      <c r="O498" s="44"/>
      <c r="P498" s="2"/>
      <c r="Q498"/>
      <c r="R498"/>
    </row>
    <row r="499" spans="1:18" x14ac:dyDescent="0.3">
      <c r="A499" s="3">
        <v>99161</v>
      </c>
      <c r="B499" s="3">
        <v>189</v>
      </c>
      <c r="C499" s="2" t="s">
        <v>2847</v>
      </c>
      <c r="D499" s="45"/>
      <c r="E499" s="4" t="s">
        <v>2847</v>
      </c>
      <c r="F499" s="50" t="s">
        <v>3074</v>
      </c>
      <c r="G499" s="2" t="s">
        <v>300</v>
      </c>
      <c r="H499" s="2" t="s">
        <v>300</v>
      </c>
      <c r="I499" s="50" t="s">
        <v>3073</v>
      </c>
      <c r="J499" s="50" t="s">
        <v>3770</v>
      </c>
      <c r="L499" s="31">
        <v>3.8945191298532098</v>
      </c>
      <c r="M499" s="50"/>
      <c r="N499" s="4">
        <v>0</v>
      </c>
      <c r="O499" s="44"/>
      <c r="P499" s="2"/>
      <c r="Q499"/>
      <c r="R499"/>
    </row>
    <row r="500" spans="1:18" x14ac:dyDescent="0.3">
      <c r="A500" s="3">
        <v>70483</v>
      </c>
      <c r="B500" s="3">
        <v>2</v>
      </c>
      <c r="C500" s="2" t="s">
        <v>2847</v>
      </c>
      <c r="D500" s="45"/>
      <c r="E500" s="4" t="s">
        <v>2847</v>
      </c>
      <c r="F500" s="50" t="s">
        <v>2851</v>
      </c>
      <c r="G500" s="2" t="s">
        <v>300</v>
      </c>
      <c r="H500" s="2" t="s">
        <v>300</v>
      </c>
      <c r="I500" s="50" t="s">
        <v>3056</v>
      </c>
      <c r="J500" s="50" t="s">
        <v>3771</v>
      </c>
      <c r="K500" s="4">
        <v>19.21</v>
      </c>
      <c r="L500" s="31">
        <v>0.22609866867259101</v>
      </c>
      <c r="M500" s="50"/>
      <c r="N500" s="4"/>
      <c r="O500" s="44">
        <v>45737.166666666664</v>
      </c>
      <c r="P500" s="2"/>
      <c r="Q500"/>
      <c r="R500"/>
    </row>
    <row r="501" spans="1:18" x14ac:dyDescent="0.3">
      <c r="A501" s="3">
        <v>99031</v>
      </c>
      <c r="B501" s="3">
        <v>65</v>
      </c>
      <c r="C501" s="2" t="s">
        <v>2847</v>
      </c>
      <c r="D501" s="45"/>
      <c r="E501" s="4" t="s">
        <v>2847</v>
      </c>
      <c r="F501" s="50" t="s">
        <v>2929</v>
      </c>
      <c r="G501" s="2" t="s">
        <v>300</v>
      </c>
      <c r="H501" s="2" t="s">
        <v>300</v>
      </c>
      <c r="I501" s="50" t="s">
        <v>3287</v>
      </c>
      <c r="J501" s="50" t="s">
        <v>3772</v>
      </c>
      <c r="K501" s="4">
        <v>9.3800000000000008</v>
      </c>
      <c r="L501" s="31">
        <v>5.4541914967942402</v>
      </c>
      <c r="M501" s="50"/>
      <c r="N501" s="4"/>
      <c r="O501" s="44">
        <v>45737.25</v>
      </c>
      <c r="P501" s="2"/>
      <c r="Q501"/>
      <c r="R501"/>
    </row>
    <row r="502" spans="1:18" x14ac:dyDescent="0.3">
      <c r="A502" s="3">
        <v>99031</v>
      </c>
      <c r="B502" s="3">
        <v>64</v>
      </c>
      <c r="C502" s="2" t="s">
        <v>2847</v>
      </c>
      <c r="D502" s="45"/>
      <c r="E502" s="4" t="s">
        <v>2847</v>
      </c>
      <c r="F502" s="50" t="s">
        <v>2926</v>
      </c>
      <c r="G502" s="2" t="s">
        <v>300</v>
      </c>
      <c r="H502" s="2" t="s">
        <v>300</v>
      </c>
      <c r="I502" s="50" t="s">
        <v>3271</v>
      </c>
      <c r="J502" s="50" t="s">
        <v>3773</v>
      </c>
      <c r="K502" s="4">
        <v>16.739999999999998</v>
      </c>
      <c r="L502" s="31">
        <v>5.5626131553868099</v>
      </c>
      <c r="M502" s="50"/>
      <c r="N502" s="4"/>
      <c r="O502" s="44">
        <v>45737.25</v>
      </c>
      <c r="P502" s="2"/>
      <c r="Q502"/>
      <c r="R502"/>
    </row>
    <row r="503" spans="1:18" x14ac:dyDescent="0.3">
      <c r="A503" s="3">
        <v>73470</v>
      </c>
      <c r="B503" s="3">
        <v>1</v>
      </c>
      <c r="C503" s="2" t="s">
        <v>2847</v>
      </c>
      <c r="D503" s="45"/>
      <c r="E503" s="4" t="s">
        <v>2847</v>
      </c>
      <c r="F503" s="50" t="s">
        <v>2910</v>
      </c>
      <c r="G503" s="2" t="s">
        <v>300</v>
      </c>
      <c r="H503" s="2" t="s">
        <v>300</v>
      </c>
      <c r="I503" s="50" t="s">
        <v>3289</v>
      </c>
      <c r="J503" s="50" t="s">
        <v>3774</v>
      </c>
      <c r="K503" s="4">
        <v>9.1</v>
      </c>
      <c r="L503" s="31">
        <v>0.69980712937943002</v>
      </c>
      <c r="M503" s="50"/>
      <c r="N503" s="4"/>
      <c r="O503" s="44">
        <v>45737.25</v>
      </c>
      <c r="P503" s="2"/>
      <c r="Q503"/>
      <c r="R503"/>
    </row>
    <row r="504" spans="1:18" x14ac:dyDescent="0.3">
      <c r="A504" s="3">
        <v>73529</v>
      </c>
      <c r="B504" s="3">
        <v>0</v>
      </c>
      <c r="C504" s="2" t="s">
        <v>2847</v>
      </c>
      <c r="D504" s="45"/>
      <c r="E504" s="4" t="s">
        <v>2847</v>
      </c>
      <c r="F504" s="50" t="s">
        <v>2923</v>
      </c>
      <c r="G504" s="2" t="s">
        <v>323</v>
      </c>
      <c r="H504" s="2" t="s">
        <v>323</v>
      </c>
      <c r="I504" s="50" t="s">
        <v>3070</v>
      </c>
      <c r="J504" s="50" t="s">
        <v>3775</v>
      </c>
      <c r="K504" s="4">
        <v>11.44</v>
      </c>
      <c r="L504" s="31">
        <v>1.561155362496</v>
      </c>
      <c r="M504" s="50"/>
      <c r="N504" s="4"/>
      <c r="O504" s="44">
        <v>45737.291666666664</v>
      </c>
      <c r="P504" s="2"/>
      <c r="Q504"/>
      <c r="R504"/>
    </row>
    <row r="505" spans="1:18" x14ac:dyDescent="0.3">
      <c r="A505" s="3">
        <v>70495</v>
      </c>
      <c r="B505" s="3">
        <v>0</v>
      </c>
      <c r="C505" s="2" t="s">
        <v>2847</v>
      </c>
      <c r="D505" s="45"/>
      <c r="E505" s="4" t="s">
        <v>2847</v>
      </c>
      <c r="F505" s="50" t="s">
        <v>2857</v>
      </c>
      <c r="G505" s="2" t="s">
        <v>300</v>
      </c>
      <c r="H505" s="2" t="s">
        <v>300</v>
      </c>
      <c r="I505" s="50" t="s">
        <v>3275</v>
      </c>
      <c r="J505" s="50" t="s">
        <v>3776</v>
      </c>
      <c r="K505" s="4">
        <v>23.54</v>
      </c>
      <c r="L505" s="31">
        <v>1.6363819874104</v>
      </c>
      <c r="M505" s="50" t="s">
        <v>2859</v>
      </c>
      <c r="N505" s="4"/>
      <c r="O505" s="44">
        <v>45737.291666666664</v>
      </c>
      <c r="P505" s="2"/>
      <c r="Q505"/>
      <c r="R505"/>
    </row>
    <row r="506" spans="1:18" x14ac:dyDescent="0.3">
      <c r="A506" s="3">
        <v>73063</v>
      </c>
      <c r="B506" s="3">
        <v>12</v>
      </c>
      <c r="C506" s="2" t="s">
        <v>2847</v>
      </c>
      <c r="D506" s="45"/>
      <c r="E506" s="4" t="s">
        <v>2847</v>
      </c>
      <c r="F506" s="50" t="s">
        <v>2893</v>
      </c>
      <c r="G506" s="2" t="s">
        <v>323</v>
      </c>
      <c r="H506" s="2" t="s">
        <v>323</v>
      </c>
      <c r="I506" s="50" t="s">
        <v>3285</v>
      </c>
      <c r="J506" s="50" t="s">
        <v>3777</v>
      </c>
      <c r="L506" s="31">
        <v>4.3640037472015596</v>
      </c>
      <c r="M506" s="50"/>
      <c r="N506" s="4"/>
      <c r="O506" s="44"/>
      <c r="P506" s="2"/>
      <c r="Q506"/>
      <c r="R506"/>
    </row>
    <row r="507" spans="1:18" x14ac:dyDescent="0.3">
      <c r="A507" s="3">
        <v>70582</v>
      </c>
      <c r="B507" s="3">
        <v>0</v>
      </c>
      <c r="C507" s="2" t="s">
        <v>2847</v>
      </c>
      <c r="D507" s="45"/>
      <c r="E507" s="4" t="s">
        <v>2847</v>
      </c>
      <c r="F507" s="50" t="s">
        <v>2879</v>
      </c>
      <c r="G507" s="2" t="s">
        <v>297</v>
      </c>
      <c r="H507" s="2" t="s">
        <v>297</v>
      </c>
      <c r="I507" s="50" t="s">
        <v>3279</v>
      </c>
      <c r="J507" s="50" t="s">
        <v>3778</v>
      </c>
      <c r="K507" s="4">
        <v>5.37</v>
      </c>
      <c r="L507" s="31">
        <v>2.6443309130119101</v>
      </c>
      <c r="M507" s="50"/>
      <c r="N507" s="4"/>
      <c r="O507" s="44">
        <v>45737.291666666664</v>
      </c>
      <c r="P507" s="2"/>
      <c r="Q507"/>
      <c r="R507"/>
    </row>
    <row r="508" spans="1:18" x14ac:dyDescent="0.3">
      <c r="A508" s="3">
        <v>99052</v>
      </c>
      <c r="B508" s="3">
        <v>2</v>
      </c>
      <c r="C508" s="2" t="s">
        <v>2847</v>
      </c>
      <c r="D508" s="45"/>
      <c r="E508" s="4" t="s">
        <v>2847</v>
      </c>
      <c r="F508" s="50" t="s">
        <v>2933</v>
      </c>
      <c r="G508" s="2" t="s">
        <v>300</v>
      </c>
      <c r="H508" s="2" t="s">
        <v>300</v>
      </c>
      <c r="I508" s="50" t="s">
        <v>3274</v>
      </c>
      <c r="J508" s="50" t="s">
        <v>3779</v>
      </c>
      <c r="K508" s="4">
        <v>3.71</v>
      </c>
      <c r="L508" s="31">
        <v>1.4627183152679499</v>
      </c>
      <c r="M508" s="50"/>
      <c r="N508" s="4"/>
      <c r="O508" s="44">
        <v>45737.333333333336</v>
      </c>
      <c r="P508" s="2"/>
      <c r="Q508"/>
      <c r="R508"/>
    </row>
    <row r="509" spans="1:18" x14ac:dyDescent="0.3">
      <c r="A509" s="3">
        <v>99052</v>
      </c>
      <c r="B509" s="3">
        <v>0</v>
      </c>
      <c r="C509" s="2" t="s">
        <v>2847</v>
      </c>
      <c r="D509" s="45"/>
      <c r="E509" s="4" t="s">
        <v>2847</v>
      </c>
      <c r="F509" s="50" t="s">
        <v>2931</v>
      </c>
      <c r="G509" s="2" t="s">
        <v>300</v>
      </c>
      <c r="H509" s="2" t="s">
        <v>300</v>
      </c>
      <c r="I509" s="50" t="s">
        <v>3273</v>
      </c>
      <c r="J509" s="50" t="s">
        <v>3780</v>
      </c>
      <c r="K509" s="4">
        <v>7.97</v>
      </c>
      <c r="L509" s="31">
        <v>3.2942297105213201</v>
      </c>
      <c r="M509" s="50"/>
      <c r="N509" s="4"/>
      <c r="O509" s="44">
        <v>45737.291666666664</v>
      </c>
      <c r="P509" s="2"/>
      <c r="Q509"/>
      <c r="R509"/>
    </row>
    <row r="510" spans="1:18" x14ac:dyDescent="0.3">
      <c r="A510" s="3">
        <v>99052</v>
      </c>
      <c r="B510" s="3">
        <v>6</v>
      </c>
      <c r="C510" s="2" t="s">
        <v>2847</v>
      </c>
      <c r="D510" s="45"/>
      <c r="E510" s="4" t="s">
        <v>2847</v>
      </c>
      <c r="F510" s="50" t="s">
        <v>2935</v>
      </c>
      <c r="G510" s="2" t="s">
        <v>300</v>
      </c>
      <c r="H510" s="2" t="s">
        <v>300</v>
      </c>
      <c r="I510" s="50" t="s">
        <v>3272</v>
      </c>
      <c r="J510" s="50" t="s">
        <v>3781</v>
      </c>
      <c r="K510" s="4">
        <v>10.84</v>
      </c>
      <c r="L510" s="31">
        <v>0</v>
      </c>
      <c r="M510" s="50"/>
      <c r="N510" s="4"/>
      <c r="O510" s="44">
        <v>45737.291666666664</v>
      </c>
      <c r="P510" s="2"/>
      <c r="Q510"/>
      <c r="R510"/>
    </row>
    <row r="511" spans="1:18" x14ac:dyDescent="0.3">
      <c r="A511" s="3">
        <v>99054</v>
      </c>
      <c r="B511" s="3">
        <v>29</v>
      </c>
      <c r="C511" s="2" t="s">
        <v>2847</v>
      </c>
      <c r="D511" s="45"/>
      <c r="E511" s="4" t="s">
        <v>2847</v>
      </c>
      <c r="F511" s="50" t="s">
        <v>61</v>
      </c>
      <c r="G511" s="2" t="s">
        <v>303</v>
      </c>
      <c r="H511" s="2" t="s">
        <v>303</v>
      </c>
      <c r="I511" s="50" t="s">
        <v>3075</v>
      </c>
      <c r="J511" s="50" t="s">
        <v>3782</v>
      </c>
      <c r="K511" s="4">
        <v>3.61</v>
      </c>
      <c r="L511" s="31">
        <v>0.64905616876441696</v>
      </c>
      <c r="M511" s="50"/>
      <c r="N511" s="4"/>
      <c r="O511" s="44">
        <v>45737.333333333336</v>
      </c>
      <c r="P511" s="2"/>
      <c r="Q511"/>
      <c r="R511"/>
    </row>
    <row r="512" spans="1:18" x14ac:dyDescent="0.3">
      <c r="A512" s="3">
        <v>70509</v>
      </c>
      <c r="B512" s="3">
        <v>0</v>
      </c>
      <c r="C512" s="2" t="s">
        <v>2847</v>
      </c>
      <c r="D512" s="45"/>
      <c r="E512" s="4" t="s">
        <v>2847</v>
      </c>
      <c r="F512" s="50" t="s">
        <v>2861</v>
      </c>
      <c r="G512" s="2" t="s">
        <v>298</v>
      </c>
      <c r="H512" s="2" t="s">
        <v>298</v>
      </c>
      <c r="I512" s="50" t="s">
        <v>3284</v>
      </c>
      <c r="J512" s="50" t="s">
        <v>3783</v>
      </c>
      <c r="K512" s="4">
        <v>2.65</v>
      </c>
      <c r="L512" s="31">
        <v>1.07151086086327</v>
      </c>
      <c r="M512" s="50"/>
      <c r="N512" s="4"/>
      <c r="O512" s="44">
        <v>45737.333333333336</v>
      </c>
      <c r="P512" s="2"/>
      <c r="Q512"/>
      <c r="R512"/>
    </row>
    <row r="513" spans="1:18" x14ac:dyDescent="0.3">
      <c r="A513" s="3">
        <v>70591</v>
      </c>
      <c r="B513" s="3">
        <v>0</v>
      </c>
      <c r="C513" s="2" t="s">
        <v>2847</v>
      </c>
      <c r="D513" s="45"/>
      <c r="E513" s="4" t="s">
        <v>2847</v>
      </c>
      <c r="F513" s="50" t="s">
        <v>2882</v>
      </c>
      <c r="G513" s="2" t="s">
        <v>323</v>
      </c>
      <c r="H513" s="2" t="s">
        <v>323</v>
      </c>
      <c r="I513" s="50" t="s">
        <v>3276</v>
      </c>
      <c r="J513" s="50" t="s">
        <v>3784</v>
      </c>
      <c r="K513" s="4">
        <v>9.27</v>
      </c>
      <c r="L513" s="31">
        <v>0.71240604952967601</v>
      </c>
      <c r="M513" s="50"/>
      <c r="N513" s="4"/>
      <c r="O513" s="44">
        <v>45737.291666666664</v>
      </c>
      <c r="P513" s="2"/>
      <c r="Q513"/>
      <c r="R513"/>
    </row>
    <row r="514" spans="1:18" x14ac:dyDescent="0.3">
      <c r="A514" s="3">
        <v>73261</v>
      </c>
      <c r="B514" s="3">
        <v>0</v>
      </c>
      <c r="C514" s="2" t="s">
        <v>2847</v>
      </c>
      <c r="D514" s="45"/>
      <c r="E514" s="4" t="s">
        <v>2847</v>
      </c>
      <c r="F514" s="50" t="s">
        <v>2899</v>
      </c>
      <c r="G514" s="2" t="s">
        <v>299</v>
      </c>
      <c r="H514" s="2" t="s">
        <v>299</v>
      </c>
      <c r="I514" s="50" t="s">
        <v>3072</v>
      </c>
      <c r="J514" s="50" t="s">
        <v>3785</v>
      </c>
      <c r="K514" s="4">
        <v>12.92</v>
      </c>
      <c r="L514" s="31">
        <v>0.13675278389843001</v>
      </c>
      <c r="M514" s="50"/>
      <c r="N514" s="4"/>
      <c r="O514" s="44">
        <v>45737.291666666664</v>
      </c>
      <c r="P514" s="2"/>
      <c r="Q514"/>
      <c r="R514"/>
    </row>
    <row r="515" spans="1:18" x14ac:dyDescent="0.3">
      <c r="A515" s="3">
        <v>73472</v>
      </c>
      <c r="B515" s="3">
        <v>0</v>
      </c>
      <c r="C515" s="2" t="s">
        <v>2847</v>
      </c>
      <c r="D515" s="45"/>
      <c r="E515" s="4" t="s">
        <v>2847</v>
      </c>
      <c r="F515" s="50" t="s">
        <v>2913</v>
      </c>
      <c r="G515" s="2" t="s">
        <v>297</v>
      </c>
      <c r="H515" s="2" t="s">
        <v>297</v>
      </c>
      <c r="I515" s="50" t="s">
        <v>3269</v>
      </c>
      <c r="J515" s="50" t="s">
        <v>3786</v>
      </c>
      <c r="K515" s="4">
        <v>0.33</v>
      </c>
      <c r="L515" s="31">
        <v>0.80203321613672096</v>
      </c>
      <c r="M515" s="50"/>
      <c r="N515" s="4"/>
      <c r="O515" s="44">
        <v>45737.208333333336</v>
      </c>
      <c r="P515" s="2"/>
      <c r="Q515"/>
      <c r="R515"/>
    </row>
    <row r="516" spans="1:18" x14ac:dyDescent="0.3">
      <c r="A516" s="3">
        <v>70581</v>
      </c>
      <c r="B516" s="3">
        <v>0</v>
      </c>
      <c r="C516" s="2" t="s">
        <v>2847</v>
      </c>
      <c r="D516" s="45"/>
      <c r="E516" s="4" t="s">
        <v>2847</v>
      </c>
      <c r="F516" s="50" t="s">
        <v>2876</v>
      </c>
      <c r="G516" s="2" t="s">
        <v>297</v>
      </c>
      <c r="H516" s="2" t="s">
        <v>297</v>
      </c>
      <c r="I516" s="50" t="s">
        <v>3277</v>
      </c>
      <c r="J516" s="50" t="s">
        <v>3787</v>
      </c>
      <c r="K516" s="4">
        <v>13.6</v>
      </c>
      <c r="L516" s="31">
        <v>3.4823740395154297E-2</v>
      </c>
      <c r="M516" s="50"/>
      <c r="N516" s="4"/>
      <c r="O516" s="44">
        <v>45737.375</v>
      </c>
      <c r="P516" s="2"/>
      <c r="Q516"/>
      <c r="R516"/>
    </row>
    <row r="517" spans="1:18" x14ac:dyDescent="0.3">
      <c r="A517" s="3">
        <v>70738</v>
      </c>
      <c r="B517" s="3">
        <v>0</v>
      </c>
      <c r="C517" s="2" t="s">
        <v>2847</v>
      </c>
      <c r="D517" s="45"/>
      <c r="E517" s="4" t="s">
        <v>2847</v>
      </c>
      <c r="F517" s="50" t="s">
        <v>2891</v>
      </c>
      <c r="G517" s="2" t="s">
        <v>323</v>
      </c>
      <c r="H517" s="2" t="s">
        <v>323</v>
      </c>
      <c r="I517" s="50" t="s">
        <v>3278</v>
      </c>
      <c r="J517" s="50" t="s">
        <v>3788</v>
      </c>
      <c r="K517" s="4">
        <v>11.68</v>
      </c>
      <c r="L517" s="31">
        <v>1.6877755941897301</v>
      </c>
      <c r="M517" s="50"/>
      <c r="N517" s="4"/>
      <c r="O517" s="44">
        <v>45737.375</v>
      </c>
      <c r="P517" s="2"/>
      <c r="Q517"/>
      <c r="R517"/>
    </row>
    <row r="518" spans="1:18" x14ac:dyDescent="0.3">
      <c r="A518" s="3">
        <v>70562</v>
      </c>
      <c r="B518" s="3">
        <v>0</v>
      </c>
      <c r="C518" s="2" t="s">
        <v>2847</v>
      </c>
      <c r="D518" s="45"/>
      <c r="E518" s="4" t="s">
        <v>2847</v>
      </c>
      <c r="F518" s="50" t="s">
        <v>2873</v>
      </c>
      <c r="G518" s="2" t="s">
        <v>299</v>
      </c>
      <c r="H518" s="2" t="s">
        <v>299</v>
      </c>
      <c r="I518" s="50" t="s">
        <v>3077</v>
      </c>
      <c r="J518" s="50" t="s">
        <v>3789</v>
      </c>
      <c r="K518" s="4">
        <v>2.9</v>
      </c>
      <c r="L518" s="31">
        <v>2.8290343926291501</v>
      </c>
      <c r="M518" s="50"/>
      <c r="N518" s="4"/>
      <c r="O518" s="44">
        <v>45737.333333333336</v>
      </c>
      <c r="P518" s="2"/>
      <c r="Q518"/>
      <c r="R518"/>
    </row>
    <row r="519" spans="1:18" x14ac:dyDescent="0.3">
      <c r="A519" s="3">
        <v>99158</v>
      </c>
      <c r="B519" s="3">
        <v>1</v>
      </c>
      <c r="C519" s="2" t="s">
        <v>2847</v>
      </c>
      <c r="D519" s="45"/>
      <c r="E519" s="4" t="s">
        <v>2847</v>
      </c>
      <c r="F519" s="50" t="s">
        <v>2942</v>
      </c>
      <c r="G519" s="2" t="s">
        <v>302</v>
      </c>
      <c r="H519" s="2" t="s">
        <v>302</v>
      </c>
      <c r="I519" s="50" t="s">
        <v>3282</v>
      </c>
      <c r="J519" s="50" t="s">
        <v>3790</v>
      </c>
      <c r="K519" s="4">
        <v>38.32</v>
      </c>
      <c r="L519" s="31">
        <v>2.1419234512951801</v>
      </c>
      <c r="M519" s="50"/>
      <c r="N519" s="4"/>
      <c r="O519" s="44">
        <v>45737.375</v>
      </c>
      <c r="P519" s="2"/>
      <c r="Q519"/>
      <c r="R519"/>
    </row>
    <row r="520" spans="1:18" x14ac:dyDescent="0.3">
      <c r="A520" s="3">
        <v>73488</v>
      </c>
      <c r="B520" s="3">
        <v>0</v>
      </c>
      <c r="C520" s="2" t="s">
        <v>2847</v>
      </c>
      <c r="D520" s="45"/>
      <c r="E520" s="4" t="s">
        <v>2847</v>
      </c>
      <c r="F520" s="50" t="s">
        <v>2919</v>
      </c>
      <c r="G520" s="2" t="s">
        <v>298</v>
      </c>
      <c r="H520" s="2" t="s">
        <v>298</v>
      </c>
      <c r="I520" s="50" t="s">
        <v>3281</v>
      </c>
      <c r="J520" s="50" t="s">
        <v>3791</v>
      </c>
      <c r="K520" s="4">
        <v>5.98</v>
      </c>
      <c r="L520" s="31">
        <v>3.8108809364072198</v>
      </c>
      <c r="M520" s="50"/>
      <c r="N520" s="4"/>
      <c r="O520" s="44">
        <v>45737.291666666664</v>
      </c>
      <c r="P520" s="2"/>
      <c r="Q520"/>
      <c r="R520"/>
    </row>
    <row r="521" spans="1:18" x14ac:dyDescent="0.3">
      <c r="A521" s="3">
        <v>70516</v>
      </c>
      <c r="B521" s="3">
        <v>0</v>
      </c>
      <c r="C521" s="2" t="s">
        <v>2847</v>
      </c>
      <c r="D521" s="45"/>
      <c r="E521" s="4" t="s">
        <v>2847</v>
      </c>
      <c r="F521" s="50" t="s">
        <v>2867</v>
      </c>
      <c r="G521" s="2" t="s">
        <v>323</v>
      </c>
      <c r="H521" s="2" t="s">
        <v>323</v>
      </c>
      <c r="I521" s="50" t="s">
        <v>3280</v>
      </c>
      <c r="J521" s="50" t="s">
        <v>3792</v>
      </c>
      <c r="K521" s="4">
        <v>3.75</v>
      </c>
      <c r="L521" s="31">
        <v>2.3849761718347802</v>
      </c>
      <c r="M521" s="50"/>
      <c r="N521" s="4"/>
      <c r="O521" s="44">
        <v>45737.333333333336</v>
      </c>
      <c r="P521" s="2"/>
      <c r="Q521"/>
      <c r="R521"/>
    </row>
    <row r="522" spans="1:18" x14ac:dyDescent="0.3">
      <c r="A522" s="3">
        <v>70522</v>
      </c>
      <c r="B522" s="3">
        <v>0</v>
      </c>
      <c r="C522" s="2" t="s">
        <v>2847</v>
      </c>
      <c r="D522" s="45"/>
      <c r="E522" s="4" t="s">
        <v>2847</v>
      </c>
      <c r="F522" s="50" t="s">
        <v>2870</v>
      </c>
      <c r="G522" s="2" t="s">
        <v>303</v>
      </c>
      <c r="H522" s="2" t="s">
        <v>303</v>
      </c>
      <c r="I522" s="50" t="s">
        <v>3270</v>
      </c>
      <c r="J522" s="50" t="s">
        <v>3793</v>
      </c>
      <c r="K522" s="4">
        <v>8.49</v>
      </c>
      <c r="L522" s="31">
        <v>2.96872590350671</v>
      </c>
      <c r="M522" s="50"/>
      <c r="N522" s="4"/>
      <c r="O522" s="44"/>
      <c r="P522" s="2"/>
      <c r="Q522"/>
      <c r="R522"/>
    </row>
    <row r="523" spans="1:18" x14ac:dyDescent="0.3">
      <c r="A523" s="3">
        <v>70690</v>
      </c>
      <c r="B523" s="3">
        <v>0</v>
      </c>
      <c r="C523" s="2" t="s">
        <v>2847</v>
      </c>
      <c r="D523" s="45"/>
      <c r="E523" s="4" t="s">
        <v>2847</v>
      </c>
      <c r="F523" s="50" t="s">
        <v>2888</v>
      </c>
      <c r="G523" s="2" t="s">
        <v>300</v>
      </c>
      <c r="H523" s="2" t="s">
        <v>300</v>
      </c>
      <c r="I523" s="50" t="s">
        <v>3288</v>
      </c>
      <c r="J523" s="50" t="s">
        <v>3794</v>
      </c>
      <c r="K523" s="4">
        <v>6.93</v>
      </c>
      <c r="L523" s="31">
        <v>4.3909227758799698</v>
      </c>
      <c r="M523" s="50"/>
      <c r="N523" s="4"/>
      <c r="O523" s="44">
        <v>45737.333333333336</v>
      </c>
      <c r="P523" s="2"/>
      <c r="Q523"/>
      <c r="R523"/>
    </row>
    <row r="524" spans="1:18" x14ac:dyDescent="0.3">
      <c r="A524" s="3">
        <v>99158</v>
      </c>
      <c r="B524" s="3">
        <v>0</v>
      </c>
      <c r="C524" s="2" t="s">
        <v>2847</v>
      </c>
      <c r="D524" s="45"/>
      <c r="E524" s="4" t="s">
        <v>2847</v>
      </c>
      <c r="F524" s="50" t="s">
        <v>2942</v>
      </c>
      <c r="G524" s="2" t="s">
        <v>302</v>
      </c>
      <c r="H524" s="2" t="s">
        <v>302</v>
      </c>
      <c r="I524" s="50" t="s">
        <v>3071</v>
      </c>
      <c r="J524" s="50" t="s">
        <v>3795</v>
      </c>
      <c r="K524" s="4">
        <v>14.22</v>
      </c>
      <c r="L524" s="31">
        <v>7.60907514727114</v>
      </c>
      <c r="M524" s="50"/>
      <c r="N524" s="4"/>
      <c r="O524" s="44">
        <v>45737.375</v>
      </c>
      <c r="P524" s="2"/>
      <c r="Q524"/>
      <c r="R524"/>
    </row>
    <row r="525" spans="1:18" x14ac:dyDescent="0.3">
      <c r="A525" s="3">
        <v>70510</v>
      </c>
      <c r="B525" s="3">
        <v>0</v>
      </c>
      <c r="C525" s="2" t="s">
        <v>2847</v>
      </c>
      <c r="D525" s="45"/>
      <c r="E525" s="4" t="s">
        <v>2847</v>
      </c>
      <c r="F525" s="50" t="s">
        <v>2864</v>
      </c>
      <c r="G525" s="2" t="s">
        <v>300</v>
      </c>
      <c r="H525" s="2" t="s">
        <v>300</v>
      </c>
      <c r="I525" s="50" t="s">
        <v>3080</v>
      </c>
      <c r="J525" s="50" t="s">
        <v>3796</v>
      </c>
      <c r="K525" s="4">
        <v>1.62</v>
      </c>
      <c r="L525" s="31">
        <v>3.20533469819134</v>
      </c>
      <c r="M525" s="50"/>
      <c r="N525" s="4"/>
      <c r="O525" s="44">
        <v>45737.333333333336</v>
      </c>
      <c r="P525" s="2"/>
      <c r="Q525"/>
      <c r="R525"/>
    </row>
    <row r="526" spans="1:18" x14ac:dyDescent="0.3">
      <c r="A526" s="3">
        <v>73149</v>
      </c>
      <c r="B526" s="3">
        <v>1</v>
      </c>
      <c r="C526" s="2" t="s">
        <v>2847</v>
      </c>
      <c r="D526" s="45"/>
      <c r="E526" s="4" t="s">
        <v>2847</v>
      </c>
      <c r="F526" s="50" t="s">
        <v>2896</v>
      </c>
      <c r="G526" s="2" t="s">
        <v>300</v>
      </c>
      <c r="H526" s="2" t="s">
        <v>300</v>
      </c>
      <c r="I526" s="50" t="s">
        <v>3286</v>
      </c>
      <c r="J526" s="50" t="s">
        <v>3797</v>
      </c>
      <c r="K526" s="4">
        <v>13.1</v>
      </c>
      <c r="L526" s="31">
        <v>1.6999881370866801</v>
      </c>
      <c r="M526" s="50"/>
      <c r="N526" s="4"/>
      <c r="O526" s="44"/>
      <c r="P526" s="2"/>
      <c r="Q526"/>
      <c r="R526"/>
    </row>
    <row r="527" spans="1:18" x14ac:dyDescent="0.3">
      <c r="A527" s="3">
        <v>73333</v>
      </c>
      <c r="B527" s="3">
        <v>0</v>
      </c>
      <c r="C527" s="2" t="s">
        <v>2847</v>
      </c>
      <c r="D527" s="45"/>
      <c r="E527" s="4" t="s">
        <v>2847</v>
      </c>
      <c r="F527" s="50" t="s">
        <v>2902</v>
      </c>
      <c r="G527" s="2" t="s">
        <v>300</v>
      </c>
      <c r="H527" s="2" t="s">
        <v>300</v>
      </c>
      <c r="I527" s="50" t="s">
        <v>3067</v>
      </c>
      <c r="J527" s="50" t="s">
        <v>3798</v>
      </c>
      <c r="K527" s="4">
        <v>18.13</v>
      </c>
      <c r="L527" s="31">
        <v>4.2172555410313599</v>
      </c>
      <c r="M527" s="50"/>
      <c r="N527" s="4">
        <v>5</v>
      </c>
      <c r="O527" s="44">
        <v>45737.333333333336</v>
      </c>
      <c r="P527" s="2"/>
      <c r="Q527"/>
      <c r="R527"/>
    </row>
    <row r="528" spans="1:18" x14ac:dyDescent="0.3">
      <c r="A528" s="3">
        <v>70483</v>
      </c>
      <c r="B528" s="3">
        <v>3</v>
      </c>
      <c r="C528" s="2" t="s">
        <v>2847</v>
      </c>
      <c r="D528" s="45"/>
      <c r="E528" s="4" t="s">
        <v>2847</v>
      </c>
      <c r="F528" s="50" t="s">
        <v>2852</v>
      </c>
      <c r="G528" s="2" t="s">
        <v>300</v>
      </c>
      <c r="H528" s="2" t="s">
        <v>300</v>
      </c>
      <c r="I528" s="50" t="s">
        <v>3056</v>
      </c>
      <c r="J528" s="50" t="s">
        <v>3799</v>
      </c>
      <c r="K528" s="4">
        <v>12.33</v>
      </c>
      <c r="L528" s="31">
        <v>5.04164364778035E-2</v>
      </c>
      <c r="M528" s="50"/>
      <c r="N528" s="4"/>
      <c r="O528" s="44">
        <v>45737.333333333336</v>
      </c>
      <c r="P528" s="2"/>
      <c r="Q528"/>
      <c r="R528"/>
    </row>
    <row r="529" spans="1:18" x14ac:dyDescent="0.3">
      <c r="A529" s="3">
        <v>73350</v>
      </c>
      <c r="B529" s="3">
        <v>0</v>
      </c>
      <c r="C529" s="2" t="s">
        <v>2847</v>
      </c>
      <c r="D529" s="45"/>
      <c r="E529" s="4" t="s">
        <v>2847</v>
      </c>
      <c r="F529" s="50" t="s">
        <v>2905</v>
      </c>
      <c r="G529" s="2" t="s">
        <v>323</v>
      </c>
      <c r="H529" s="2" t="s">
        <v>323</v>
      </c>
      <c r="I529" s="50" t="s">
        <v>3283</v>
      </c>
      <c r="J529" s="50" t="s">
        <v>3800</v>
      </c>
      <c r="K529" s="4">
        <v>5.17</v>
      </c>
      <c r="L529" s="31">
        <v>0.87387963502322896</v>
      </c>
      <c r="M529" s="50"/>
      <c r="N529" s="4"/>
      <c r="O529" s="44"/>
      <c r="P529" s="2"/>
      <c r="Q529"/>
      <c r="R529"/>
    </row>
    <row r="530" spans="1:18" x14ac:dyDescent="0.3">
      <c r="A530" s="3">
        <v>73362</v>
      </c>
      <c r="B530" s="3">
        <v>0</v>
      </c>
      <c r="C530" s="2" t="s">
        <v>2847</v>
      </c>
      <c r="D530" s="45"/>
      <c r="E530" s="4" t="s">
        <v>2847</v>
      </c>
      <c r="F530" s="50" t="s">
        <v>2908</v>
      </c>
      <c r="G530" s="2" t="s">
        <v>302</v>
      </c>
      <c r="H530" s="2" t="s">
        <v>302</v>
      </c>
      <c r="I530" s="50" t="s">
        <v>3068</v>
      </c>
      <c r="J530" s="50" t="s">
        <v>3801</v>
      </c>
      <c r="K530" s="4">
        <v>0.72</v>
      </c>
      <c r="L530" s="31">
        <v>2.56232307258546</v>
      </c>
      <c r="M530" s="50"/>
      <c r="N530" s="4"/>
      <c r="O530" s="44">
        <v>45737.333333333336</v>
      </c>
      <c r="P530" s="2"/>
      <c r="Q530"/>
      <c r="R530"/>
    </row>
    <row r="531" spans="1:18" x14ac:dyDescent="0.3">
      <c r="A531" s="3">
        <v>73485</v>
      </c>
      <c r="B531" s="3">
        <v>0</v>
      </c>
      <c r="C531" s="2" t="s">
        <v>2847</v>
      </c>
      <c r="D531" s="45"/>
      <c r="E531" s="4" t="s">
        <v>2847</v>
      </c>
      <c r="F531" s="50" t="s">
        <v>2916</v>
      </c>
      <c r="G531" s="2" t="s">
        <v>297</v>
      </c>
      <c r="H531" s="2" t="s">
        <v>297</v>
      </c>
      <c r="I531" s="50" t="s">
        <v>3069</v>
      </c>
      <c r="J531" s="50" t="s">
        <v>3802</v>
      </c>
      <c r="K531" s="4">
        <v>1.9</v>
      </c>
      <c r="L531" s="31">
        <v>0</v>
      </c>
      <c r="M531" s="50"/>
      <c r="N531" s="4"/>
      <c r="O531" s="44"/>
      <c r="P531" s="2"/>
      <c r="Q531"/>
      <c r="R531"/>
    </row>
    <row r="532" spans="1:18" x14ac:dyDescent="0.3">
      <c r="A532" s="3">
        <v>70492</v>
      </c>
      <c r="B532" s="3">
        <v>0</v>
      </c>
      <c r="C532" s="2" t="s">
        <v>2847</v>
      </c>
      <c r="D532" s="45"/>
      <c r="E532" s="4" t="s">
        <v>2847</v>
      </c>
      <c r="F532" s="50" t="s">
        <v>2854</v>
      </c>
      <c r="G532" s="2" t="s">
        <v>298</v>
      </c>
      <c r="H532" s="2" t="s">
        <v>298</v>
      </c>
      <c r="I532" s="50" t="s">
        <v>3078</v>
      </c>
      <c r="J532" s="50" t="s">
        <v>3803</v>
      </c>
      <c r="K532" s="4">
        <v>1.4</v>
      </c>
      <c r="L532" s="31">
        <v>1.1417319006395701</v>
      </c>
      <c r="M532" s="50"/>
      <c r="N532" s="4"/>
      <c r="O532" s="44">
        <v>45737.291666666664</v>
      </c>
      <c r="P532" s="2"/>
      <c r="Q532"/>
      <c r="R532"/>
    </row>
    <row r="533" spans="1:18" x14ac:dyDescent="0.3">
      <c r="A533" s="3">
        <v>70479</v>
      </c>
      <c r="B533" s="3">
        <v>0</v>
      </c>
      <c r="C533" s="2" t="s">
        <v>2847</v>
      </c>
      <c r="D533" s="45"/>
      <c r="E533" s="4" t="s">
        <v>2847</v>
      </c>
      <c r="F533" s="50" t="s">
        <v>2849</v>
      </c>
      <c r="G533" s="2" t="s">
        <v>298</v>
      </c>
      <c r="H533" s="2" t="s">
        <v>298</v>
      </c>
      <c r="I533" s="50" t="s">
        <v>3076</v>
      </c>
      <c r="J533" s="50" t="s">
        <v>3804</v>
      </c>
      <c r="K533" s="4">
        <v>3.53</v>
      </c>
      <c r="L533" s="31">
        <v>5.0755832860411401</v>
      </c>
      <c r="M533" s="50"/>
      <c r="N533" s="4"/>
      <c r="O533" s="44">
        <v>45737.333333333336</v>
      </c>
      <c r="P533" s="2"/>
      <c r="Q533"/>
      <c r="R533"/>
    </row>
    <row r="534" spans="1:18" x14ac:dyDescent="0.3">
      <c r="Q534"/>
      <c r="R534"/>
    </row>
    <row r="535" spans="1:18" x14ac:dyDescent="0.3">
      <c r="Q535"/>
      <c r="R535"/>
    </row>
    <row r="536" spans="1:18" x14ac:dyDescent="0.3">
      <c r="Q536"/>
      <c r="R536"/>
    </row>
    <row r="537" spans="1:18" x14ac:dyDescent="0.3">
      <c r="Q537"/>
      <c r="R537"/>
    </row>
    <row r="538" spans="1:18" x14ac:dyDescent="0.3">
      <c r="Q538"/>
      <c r="R538"/>
    </row>
    <row r="539" spans="1:18" x14ac:dyDescent="0.3">
      <c r="Q539"/>
      <c r="R539"/>
    </row>
    <row r="540" spans="1:18" x14ac:dyDescent="0.3">
      <c r="Q540"/>
      <c r="R540"/>
    </row>
    <row r="541" spans="1:18" x14ac:dyDescent="0.3">
      <c r="Q541"/>
      <c r="R541"/>
    </row>
    <row r="542" spans="1:18" x14ac:dyDescent="0.3">
      <c r="Q542"/>
      <c r="R542"/>
    </row>
    <row r="543" spans="1:18" x14ac:dyDescent="0.3">
      <c r="Q543"/>
      <c r="R543"/>
    </row>
    <row r="544" spans="1:18" x14ac:dyDescent="0.3">
      <c r="Q544"/>
      <c r="R544"/>
    </row>
    <row r="545" spans="17:18" x14ac:dyDescent="0.3">
      <c r="Q545"/>
      <c r="R545"/>
    </row>
    <row r="546" spans="17:18" x14ac:dyDescent="0.3">
      <c r="Q546"/>
      <c r="R546"/>
    </row>
    <row r="547" spans="17:18" x14ac:dyDescent="0.3">
      <c r="Q547"/>
      <c r="R547"/>
    </row>
    <row r="548" spans="17:18" x14ac:dyDescent="0.3">
      <c r="Q548"/>
      <c r="R548"/>
    </row>
    <row r="549" spans="17:18" x14ac:dyDescent="0.3">
      <c r="Q549"/>
      <c r="R549"/>
    </row>
    <row r="550" spans="17:18" x14ac:dyDescent="0.3">
      <c r="Q550"/>
      <c r="R550"/>
    </row>
    <row r="551" spans="17:18" x14ac:dyDescent="0.3">
      <c r="Q551"/>
      <c r="R551"/>
    </row>
    <row r="552" spans="17:18" x14ac:dyDescent="0.3">
      <c r="Q552"/>
      <c r="R552"/>
    </row>
    <row r="553" spans="17:18" x14ac:dyDescent="0.3">
      <c r="Q553"/>
      <c r="R553"/>
    </row>
    <row r="554" spans="17:18" x14ac:dyDescent="0.3">
      <c r="Q554"/>
      <c r="R554"/>
    </row>
    <row r="555" spans="17:18" x14ac:dyDescent="0.3">
      <c r="Q555"/>
      <c r="R555"/>
    </row>
    <row r="556" spans="17:18" x14ac:dyDescent="0.3">
      <c r="Q556"/>
      <c r="R556"/>
    </row>
    <row r="557" spans="17:18" x14ac:dyDescent="0.3">
      <c r="Q557"/>
      <c r="R557"/>
    </row>
    <row r="558" spans="17:18" x14ac:dyDescent="0.3">
      <c r="Q558"/>
      <c r="R558"/>
    </row>
    <row r="559" spans="17:18" x14ac:dyDescent="0.3">
      <c r="Q559"/>
      <c r="R559"/>
    </row>
    <row r="560" spans="17:18" x14ac:dyDescent="0.3">
      <c r="Q560"/>
      <c r="R560"/>
    </row>
    <row r="561" spans="17:18" x14ac:dyDescent="0.3">
      <c r="Q561"/>
      <c r="R561"/>
    </row>
    <row r="562" spans="17:18" x14ac:dyDescent="0.3">
      <c r="Q562"/>
      <c r="R562"/>
    </row>
    <row r="563" spans="17:18" x14ac:dyDescent="0.3">
      <c r="Q563"/>
      <c r="R563"/>
    </row>
    <row r="564" spans="17:18" x14ac:dyDescent="0.3">
      <c r="Q564"/>
      <c r="R564"/>
    </row>
    <row r="565" spans="17:18" x14ac:dyDescent="0.3">
      <c r="Q565"/>
      <c r="R565"/>
    </row>
    <row r="566" spans="17:18" x14ac:dyDescent="0.3">
      <c r="Q566"/>
      <c r="R566"/>
    </row>
    <row r="567" spans="17:18" x14ac:dyDescent="0.3">
      <c r="Q567"/>
      <c r="R567"/>
    </row>
    <row r="568" spans="17:18" x14ac:dyDescent="0.3">
      <c r="Q568"/>
      <c r="R568"/>
    </row>
    <row r="569" spans="17:18" x14ac:dyDescent="0.3">
      <c r="Q569"/>
      <c r="R569"/>
    </row>
    <row r="570" spans="17:18" x14ac:dyDescent="0.3">
      <c r="Q570"/>
      <c r="R570"/>
    </row>
    <row r="571" spans="17:18" x14ac:dyDescent="0.3">
      <c r="Q571"/>
      <c r="R571"/>
    </row>
    <row r="572" spans="17:18" x14ac:dyDescent="0.3">
      <c r="Q572"/>
      <c r="R572"/>
    </row>
    <row r="573" spans="17:18" x14ac:dyDescent="0.3">
      <c r="Q573"/>
      <c r="R573"/>
    </row>
    <row r="574" spans="17:18" x14ac:dyDescent="0.3">
      <c r="Q574"/>
      <c r="R574"/>
    </row>
    <row r="575" spans="17:18" x14ac:dyDescent="0.3">
      <c r="Q575"/>
      <c r="R575"/>
    </row>
    <row r="576" spans="17:18" x14ac:dyDescent="0.3">
      <c r="Q576"/>
      <c r="R576"/>
    </row>
    <row r="577" spans="17:18" x14ac:dyDescent="0.3">
      <c r="Q577"/>
      <c r="R577"/>
    </row>
    <row r="578" spans="17:18" x14ac:dyDescent="0.3">
      <c r="Q578"/>
      <c r="R578"/>
    </row>
    <row r="579" spans="17:18" x14ac:dyDescent="0.3">
      <c r="Q579"/>
      <c r="R579"/>
    </row>
    <row r="580" spans="17:18" x14ac:dyDescent="0.3">
      <c r="Q580"/>
      <c r="R580"/>
    </row>
    <row r="581" spans="17:18" x14ac:dyDescent="0.3">
      <c r="Q581"/>
      <c r="R581"/>
    </row>
    <row r="582" spans="17:18" x14ac:dyDescent="0.3">
      <c r="Q582"/>
      <c r="R582"/>
    </row>
    <row r="583" spans="17:18" x14ac:dyDescent="0.3">
      <c r="Q583"/>
      <c r="R583"/>
    </row>
    <row r="584" spans="17:18" x14ac:dyDescent="0.3">
      <c r="Q584"/>
      <c r="R584"/>
    </row>
    <row r="585" spans="17:18" x14ac:dyDescent="0.3">
      <c r="Q585"/>
      <c r="R585"/>
    </row>
    <row r="586" spans="17:18" x14ac:dyDescent="0.3">
      <c r="Q586"/>
      <c r="R586"/>
    </row>
    <row r="587" spans="17:18" x14ac:dyDescent="0.3">
      <c r="Q587"/>
      <c r="R587"/>
    </row>
    <row r="588" spans="17:18" x14ac:dyDescent="0.3">
      <c r="Q588"/>
      <c r="R588"/>
    </row>
    <row r="589" spans="17:18" x14ac:dyDescent="0.3">
      <c r="Q589"/>
      <c r="R589"/>
    </row>
    <row r="590" spans="17:18" x14ac:dyDescent="0.3">
      <c r="Q590"/>
      <c r="R590"/>
    </row>
    <row r="591" spans="17:18" x14ac:dyDescent="0.3">
      <c r="Q591"/>
      <c r="R591"/>
    </row>
    <row r="592" spans="17:18" x14ac:dyDescent="0.3">
      <c r="Q592"/>
      <c r="R592"/>
    </row>
    <row r="593" spans="17:18" x14ac:dyDescent="0.3">
      <c r="Q593"/>
      <c r="R593"/>
    </row>
    <row r="594" spans="17:18" x14ac:dyDescent="0.3">
      <c r="Q594"/>
      <c r="R594"/>
    </row>
    <row r="595" spans="17:18" x14ac:dyDescent="0.3">
      <c r="Q595"/>
      <c r="R595"/>
    </row>
    <row r="596" spans="17:18" x14ac:dyDescent="0.3">
      <c r="Q596"/>
      <c r="R596"/>
    </row>
    <row r="597" spans="17:18" x14ac:dyDescent="0.3">
      <c r="Q597"/>
      <c r="R597"/>
    </row>
    <row r="598" spans="17:18" x14ac:dyDescent="0.3">
      <c r="Q598"/>
      <c r="R598"/>
    </row>
    <row r="599" spans="17:18" x14ac:dyDescent="0.3">
      <c r="Q599"/>
      <c r="R599"/>
    </row>
    <row r="600" spans="17:18" x14ac:dyDescent="0.3">
      <c r="Q600"/>
      <c r="R600"/>
    </row>
    <row r="601" spans="17:18" x14ac:dyDescent="0.3">
      <c r="Q601"/>
      <c r="R601"/>
    </row>
    <row r="602" spans="17:18" x14ac:dyDescent="0.3">
      <c r="Q602"/>
      <c r="R602"/>
    </row>
    <row r="603" spans="17:18" x14ac:dyDescent="0.3">
      <c r="Q603"/>
      <c r="R603"/>
    </row>
    <row r="604" spans="17:18" x14ac:dyDescent="0.3">
      <c r="Q604"/>
      <c r="R604"/>
    </row>
    <row r="605" spans="17:18" x14ac:dyDescent="0.3">
      <c r="Q605"/>
      <c r="R605"/>
    </row>
    <row r="606" spans="17:18" x14ac:dyDescent="0.3">
      <c r="Q606"/>
      <c r="R606"/>
    </row>
    <row r="607" spans="17:18" x14ac:dyDescent="0.3">
      <c r="Q607"/>
      <c r="R607"/>
    </row>
    <row r="608" spans="17:18" x14ac:dyDescent="0.3">
      <c r="Q608"/>
      <c r="R608"/>
    </row>
    <row r="609" spans="17:18" x14ac:dyDescent="0.3">
      <c r="Q609"/>
      <c r="R609"/>
    </row>
    <row r="610" spans="17:18" x14ac:dyDescent="0.3">
      <c r="Q610"/>
      <c r="R610"/>
    </row>
    <row r="611" spans="17:18" x14ac:dyDescent="0.3">
      <c r="Q611"/>
      <c r="R611"/>
    </row>
    <row r="612" spans="17:18" x14ac:dyDescent="0.3">
      <c r="Q612"/>
      <c r="R612"/>
    </row>
    <row r="613" spans="17:18" x14ac:dyDescent="0.3">
      <c r="Q613"/>
      <c r="R613"/>
    </row>
    <row r="614" spans="17:18" x14ac:dyDescent="0.3">
      <c r="Q614"/>
      <c r="R614"/>
    </row>
    <row r="615" spans="17:18" x14ac:dyDescent="0.3">
      <c r="Q615"/>
      <c r="R615"/>
    </row>
    <row r="616" spans="17:18" x14ac:dyDescent="0.3">
      <c r="Q616"/>
      <c r="R616"/>
    </row>
    <row r="617" spans="17:18" x14ac:dyDescent="0.3">
      <c r="Q617"/>
      <c r="R617"/>
    </row>
    <row r="618" spans="17:18" x14ac:dyDescent="0.3">
      <c r="Q618"/>
      <c r="R618"/>
    </row>
    <row r="619" spans="17:18" x14ac:dyDescent="0.3">
      <c r="Q619"/>
      <c r="R619"/>
    </row>
    <row r="620" spans="17:18" x14ac:dyDescent="0.3">
      <c r="Q620"/>
      <c r="R620"/>
    </row>
    <row r="621" spans="17:18" x14ac:dyDescent="0.3">
      <c r="Q621"/>
      <c r="R621"/>
    </row>
    <row r="622" spans="17:18" x14ac:dyDescent="0.3">
      <c r="Q622"/>
      <c r="R622"/>
    </row>
    <row r="623" spans="17:18" x14ac:dyDescent="0.3">
      <c r="R623"/>
    </row>
    <row r="624" spans="17:18" x14ac:dyDescent="0.3">
      <c r="R624"/>
    </row>
    <row r="625" spans="18:18" x14ac:dyDescent="0.3">
      <c r="R625"/>
    </row>
    <row r="626" spans="18:18" x14ac:dyDescent="0.3">
      <c r="R626"/>
    </row>
    <row r="627" spans="18:18" x14ac:dyDescent="0.3">
      <c r="R627"/>
    </row>
    <row r="628" spans="18:18" x14ac:dyDescent="0.3">
      <c r="R628"/>
    </row>
    <row r="629" spans="18:18" x14ac:dyDescent="0.3">
      <c r="R629"/>
    </row>
    <row r="630" spans="18:18" x14ac:dyDescent="0.3">
      <c r="R630"/>
    </row>
    <row r="631" spans="18:18" x14ac:dyDescent="0.3">
      <c r="R631"/>
    </row>
    <row r="632" spans="18:18" x14ac:dyDescent="0.3">
      <c r="R632"/>
    </row>
    <row r="633" spans="18:18" x14ac:dyDescent="0.3">
      <c r="R633"/>
    </row>
    <row r="634" spans="18:18" x14ac:dyDescent="0.3">
      <c r="R634"/>
    </row>
    <row r="635" spans="18:18" x14ac:dyDescent="0.3">
      <c r="R635"/>
    </row>
    <row r="636" spans="18:18" x14ac:dyDescent="0.3">
      <c r="R636"/>
    </row>
    <row r="637" spans="18:18" x14ac:dyDescent="0.3">
      <c r="R637"/>
    </row>
    <row r="638" spans="18:18" x14ac:dyDescent="0.3">
      <c r="R638"/>
    </row>
    <row r="639" spans="18:18" x14ac:dyDescent="0.3">
      <c r="R639"/>
    </row>
    <row r="640" spans="18:18" x14ac:dyDescent="0.3">
      <c r="R640"/>
    </row>
    <row r="641" spans="18:18" x14ac:dyDescent="0.3">
      <c r="R641"/>
    </row>
    <row r="642" spans="18:18" x14ac:dyDescent="0.3">
      <c r="R642"/>
    </row>
    <row r="643" spans="18:18" x14ac:dyDescent="0.3">
      <c r="R643"/>
    </row>
    <row r="644" spans="18:18" x14ac:dyDescent="0.3">
      <c r="R644"/>
    </row>
    <row r="645" spans="18:18" x14ac:dyDescent="0.3">
      <c r="R645"/>
    </row>
    <row r="646" spans="18:18" x14ac:dyDescent="0.3">
      <c r="R646"/>
    </row>
    <row r="647" spans="18:18" x14ac:dyDescent="0.3">
      <c r="R647"/>
    </row>
    <row r="648" spans="18:18" x14ac:dyDescent="0.3">
      <c r="R648"/>
    </row>
    <row r="649" spans="18:18" x14ac:dyDescent="0.3">
      <c r="R649"/>
    </row>
    <row r="650" spans="18:18" x14ac:dyDescent="0.3">
      <c r="R650"/>
    </row>
    <row r="651" spans="18:18" x14ac:dyDescent="0.3">
      <c r="R651"/>
    </row>
    <row r="652" spans="18:18" x14ac:dyDescent="0.3">
      <c r="R652"/>
    </row>
    <row r="653" spans="18:18" x14ac:dyDescent="0.3">
      <c r="R653"/>
    </row>
    <row r="654" spans="18:18" x14ac:dyDescent="0.3">
      <c r="R654"/>
    </row>
    <row r="655" spans="18:18" x14ac:dyDescent="0.3">
      <c r="R655"/>
    </row>
    <row r="656" spans="18:18" x14ac:dyDescent="0.3">
      <c r="R656"/>
    </row>
    <row r="657" spans="18:18" x14ac:dyDescent="0.3">
      <c r="R657"/>
    </row>
    <row r="658" spans="18:18" x14ac:dyDescent="0.3">
      <c r="R658"/>
    </row>
    <row r="659" spans="18:18" x14ac:dyDescent="0.3">
      <c r="R659"/>
    </row>
    <row r="660" spans="18:18" x14ac:dyDescent="0.3">
      <c r="R660"/>
    </row>
    <row r="661" spans="18:18" x14ac:dyDescent="0.3">
      <c r="R661"/>
    </row>
    <row r="662" spans="18:18" x14ac:dyDescent="0.3">
      <c r="R662"/>
    </row>
    <row r="663" spans="18:18" x14ac:dyDescent="0.3">
      <c r="R663"/>
    </row>
    <row r="664" spans="18:18" x14ac:dyDescent="0.3">
      <c r="R664"/>
    </row>
    <row r="665" spans="18:18" x14ac:dyDescent="0.3">
      <c r="R665"/>
    </row>
    <row r="666" spans="18:18" x14ac:dyDescent="0.3">
      <c r="R666"/>
    </row>
    <row r="667" spans="18:18" x14ac:dyDescent="0.3">
      <c r="R667"/>
    </row>
    <row r="668" spans="18:18" x14ac:dyDescent="0.3">
      <c r="R668"/>
    </row>
    <row r="669" spans="18:18" x14ac:dyDescent="0.3">
      <c r="R669"/>
    </row>
    <row r="670" spans="18:18" x14ac:dyDescent="0.3">
      <c r="R670"/>
    </row>
    <row r="671" spans="18:18" x14ac:dyDescent="0.3">
      <c r="R671"/>
    </row>
    <row r="672" spans="18:18" x14ac:dyDescent="0.3">
      <c r="R672"/>
    </row>
    <row r="673" spans="18:18" x14ac:dyDescent="0.3">
      <c r="R673"/>
    </row>
    <row r="674" spans="18:18" x14ac:dyDescent="0.3">
      <c r="R674"/>
    </row>
    <row r="675" spans="18:18" x14ac:dyDescent="0.3">
      <c r="R675"/>
    </row>
    <row r="676" spans="18:18" x14ac:dyDescent="0.3">
      <c r="R676"/>
    </row>
    <row r="677" spans="18:18" x14ac:dyDescent="0.3">
      <c r="R677"/>
    </row>
    <row r="678" spans="18:18" x14ac:dyDescent="0.3">
      <c r="R678"/>
    </row>
    <row r="679" spans="18:18" x14ac:dyDescent="0.3">
      <c r="R679"/>
    </row>
    <row r="680" spans="18:18" x14ac:dyDescent="0.3">
      <c r="R680"/>
    </row>
    <row r="681" spans="18:18" x14ac:dyDescent="0.3">
      <c r="R681"/>
    </row>
    <row r="682" spans="18:18" x14ac:dyDescent="0.3">
      <c r="R682"/>
    </row>
    <row r="683" spans="18:18" x14ac:dyDescent="0.3">
      <c r="R683"/>
    </row>
    <row r="684" spans="18:18" x14ac:dyDescent="0.3">
      <c r="R684"/>
    </row>
    <row r="685" spans="18:18" x14ac:dyDescent="0.3">
      <c r="R685"/>
    </row>
    <row r="686" spans="18:18" x14ac:dyDescent="0.3">
      <c r="R686"/>
    </row>
    <row r="687" spans="18:18" x14ac:dyDescent="0.3">
      <c r="R687"/>
    </row>
    <row r="688" spans="18:18" x14ac:dyDescent="0.3">
      <c r="R688"/>
    </row>
    <row r="689" spans="18:18" x14ac:dyDescent="0.3">
      <c r="R689"/>
    </row>
    <row r="690" spans="18:18" x14ac:dyDescent="0.3">
      <c r="R690"/>
    </row>
    <row r="691" spans="18:18" x14ac:dyDescent="0.3">
      <c r="R691"/>
    </row>
    <row r="692" spans="18:18" x14ac:dyDescent="0.3">
      <c r="R692"/>
    </row>
    <row r="693" spans="18:18" x14ac:dyDescent="0.3">
      <c r="R693"/>
    </row>
    <row r="694" spans="18:18" x14ac:dyDescent="0.3">
      <c r="R694"/>
    </row>
    <row r="695" spans="18:18" x14ac:dyDescent="0.3">
      <c r="R695"/>
    </row>
    <row r="696" spans="18:18" x14ac:dyDescent="0.3">
      <c r="R696"/>
    </row>
    <row r="697" spans="18:18" x14ac:dyDescent="0.3">
      <c r="R697"/>
    </row>
    <row r="698" spans="18:18" x14ac:dyDescent="0.3">
      <c r="R698"/>
    </row>
    <row r="699" spans="18:18" x14ac:dyDescent="0.3">
      <c r="R699"/>
    </row>
    <row r="700" spans="18:18" x14ac:dyDescent="0.3">
      <c r="R700"/>
    </row>
    <row r="701" spans="18:18" x14ac:dyDescent="0.3">
      <c r="R701"/>
    </row>
    <row r="702" spans="18:18" x14ac:dyDescent="0.3">
      <c r="R702"/>
    </row>
    <row r="703" spans="18:18" x14ac:dyDescent="0.3">
      <c r="R703"/>
    </row>
    <row r="704" spans="18:18" x14ac:dyDescent="0.3">
      <c r="R704"/>
    </row>
    <row r="705" spans="18:18" x14ac:dyDescent="0.3">
      <c r="R705"/>
    </row>
    <row r="706" spans="18:18" x14ac:dyDescent="0.3">
      <c r="R706"/>
    </row>
    <row r="707" spans="18:18" x14ac:dyDescent="0.3">
      <c r="R707"/>
    </row>
    <row r="708" spans="18:18" x14ac:dyDescent="0.3">
      <c r="R708"/>
    </row>
    <row r="709" spans="18:18" x14ac:dyDescent="0.3">
      <c r="R709"/>
    </row>
    <row r="710" spans="18:18" x14ac:dyDescent="0.3">
      <c r="R710"/>
    </row>
    <row r="711" spans="18:18" x14ac:dyDescent="0.3">
      <c r="R711"/>
    </row>
    <row r="712" spans="18:18" x14ac:dyDescent="0.3">
      <c r="R712"/>
    </row>
    <row r="713" spans="18:18" x14ac:dyDescent="0.3">
      <c r="R713"/>
    </row>
    <row r="714" spans="18:18" x14ac:dyDescent="0.3">
      <c r="R714"/>
    </row>
    <row r="715" spans="18:18" x14ac:dyDescent="0.3">
      <c r="R715"/>
    </row>
    <row r="716" spans="18:18" x14ac:dyDescent="0.3">
      <c r="R716"/>
    </row>
    <row r="717" spans="18:18" x14ac:dyDescent="0.3">
      <c r="R717"/>
    </row>
    <row r="718" spans="18:18" x14ac:dyDescent="0.3">
      <c r="R718"/>
    </row>
    <row r="719" spans="18:18" x14ac:dyDescent="0.3">
      <c r="R719"/>
    </row>
    <row r="720" spans="18:18" x14ac:dyDescent="0.3">
      <c r="R720"/>
    </row>
    <row r="721" spans="18:18" x14ac:dyDescent="0.3">
      <c r="R721"/>
    </row>
    <row r="722" spans="18:18" x14ac:dyDescent="0.3">
      <c r="R722"/>
    </row>
    <row r="723" spans="18:18" x14ac:dyDescent="0.3">
      <c r="R723"/>
    </row>
    <row r="724" spans="18:18" x14ac:dyDescent="0.3">
      <c r="R724"/>
    </row>
    <row r="725" spans="18:18" x14ac:dyDescent="0.3">
      <c r="R725"/>
    </row>
    <row r="726" spans="18:18" x14ac:dyDescent="0.3">
      <c r="R726"/>
    </row>
    <row r="727" spans="18:18" x14ac:dyDescent="0.3">
      <c r="R727"/>
    </row>
    <row r="728" spans="18:18" x14ac:dyDescent="0.3">
      <c r="R728"/>
    </row>
    <row r="729" spans="18:18" x14ac:dyDescent="0.3">
      <c r="R729"/>
    </row>
    <row r="730" spans="18:18" x14ac:dyDescent="0.3">
      <c r="R730"/>
    </row>
    <row r="731" spans="18:18" x14ac:dyDescent="0.3">
      <c r="R731"/>
    </row>
    <row r="732" spans="18:18" x14ac:dyDescent="0.3">
      <c r="R732"/>
    </row>
    <row r="733" spans="18:18" x14ac:dyDescent="0.3">
      <c r="R733"/>
    </row>
    <row r="734" spans="18:18" x14ac:dyDescent="0.3">
      <c r="R734"/>
    </row>
    <row r="735" spans="18:18" x14ac:dyDescent="0.3">
      <c r="R735"/>
    </row>
    <row r="736" spans="18:18" x14ac:dyDescent="0.3">
      <c r="R736"/>
    </row>
    <row r="737" spans="18:18" x14ac:dyDescent="0.3">
      <c r="R737"/>
    </row>
    <row r="738" spans="18:18" x14ac:dyDescent="0.3">
      <c r="R738"/>
    </row>
    <row r="739" spans="18:18" x14ac:dyDescent="0.3">
      <c r="R739"/>
    </row>
    <row r="740" spans="18:18" x14ac:dyDescent="0.3">
      <c r="R740"/>
    </row>
    <row r="741" spans="18:18" x14ac:dyDescent="0.3">
      <c r="R741"/>
    </row>
    <row r="742" spans="18:18" x14ac:dyDescent="0.3">
      <c r="R742"/>
    </row>
    <row r="743" spans="18:18" x14ac:dyDescent="0.3">
      <c r="R743"/>
    </row>
    <row r="744" spans="18:18" x14ac:dyDescent="0.3">
      <c r="R744"/>
    </row>
    <row r="745" spans="18:18" x14ac:dyDescent="0.3">
      <c r="R745"/>
    </row>
    <row r="746" spans="18:18" x14ac:dyDescent="0.3">
      <c r="R746"/>
    </row>
    <row r="747" spans="18:18" x14ac:dyDescent="0.3">
      <c r="R747"/>
    </row>
    <row r="748" spans="18:18" x14ac:dyDescent="0.3">
      <c r="R748"/>
    </row>
    <row r="749" spans="18:18" x14ac:dyDescent="0.3">
      <c r="R749"/>
    </row>
    <row r="750" spans="18:18" x14ac:dyDescent="0.3">
      <c r="R750"/>
    </row>
    <row r="751" spans="18:18" x14ac:dyDescent="0.3">
      <c r="R751"/>
    </row>
    <row r="752" spans="18:18" x14ac:dyDescent="0.3">
      <c r="R752"/>
    </row>
    <row r="753" spans="18:18" x14ac:dyDescent="0.3">
      <c r="R753"/>
    </row>
    <row r="754" spans="18:18" x14ac:dyDescent="0.3">
      <c r="R754"/>
    </row>
    <row r="755" spans="18:18" x14ac:dyDescent="0.3">
      <c r="R755"/>
    </row>
    <row r="756" spans="18:18" x14ac:dyDescent="0.3">
      <c r="R756"/>
    </row>
    <row r="757" spans="18:18" x14ac:dyDescent="0.3">
      <c r="R757"/>
    </row>
    <row r="758" spans="18:18" x14ac:dyDescent="0.3">
      <c r="R758"/>
    </row>
    <row r="759" spans="18:18" x14ac:dyDescent="0.3">
      <c r="R759"/>
    </row>
    <row r="760" spans="18:18" x14ac:dyDescent="0.3">
      <c r="R760"/>
    </row>
    <row r="761" spans="18:18" x14ac:dyDescent="0.3">
      <c r="R761"/>
    </row>
    <row r="762" spans="18:18" x14ac:dyDescent="0.3">
      <c r="R762"/>
    </row>
    <row r="763" spans="18:18" x14ac:dyDescent="0.3">
      <c r="R763"/>
    </row>
    <row r="764" spans="18:18" x14ac:dyDescent="0.3">
      <c r="R764"/>
    </row>
    <row r="765" spans="18:18" x14ac:dyDescent="0.3">
      <c r="R765"/>
    </row>
    <row r="766" spans="18:18" x14ac:dyDescent="0.3">
      <c r="R766"/>
    </row>
    <row r="767" spans="18:18" x14ac:dyDescent="0.3">
      <c r="R767"/>
    </row>
    <row r="768" spans="18:18" x14ac:dyDescent="0.3">
      <c r="R768"/>
    </row>
    <row r="769" spans="18:18" x14ac:dyDescent="0.3">
      <c r="R769"/>
    </row>
    <row r="770" spans="18:18" x14ac:dyDescent="0.3">
      <c r="R770"/>
    </row>
    <row r="771" spans="18:18" x14ac:dyDescent="0.3">
      <c r="R771"/>
    </row>
    <row r="772" spans="18:18" x14ac:dyDescent="0.3">
      <c r="R772"/>
    </row>
    <row r="773" spans="18:18" x14ac:dyDescent="0.3">
      <c r="R773"/>
    </row>
    <row r="774" spans="18:18" x14ac:dyDescent="0.3">
      <c r="R774"/>
    </row>
    <row r="775" spans="18:18" x14ac:dyDescent="0.3">
      <c r="R775"/>
    </row>
    <row r="776" spans="18:18" x14ac:dyDescent="0.3">
      <c r="R776"/>
    </row>
    <row r="777" spans="18:18" x14ac:dyDescent="0.3">
      <c r="R777"/>
    </row>
    <row r="778" spans="18:18" x14ac:dyDescent="0.3">
      <c r="R778"/>
    </row>
    <row r="779" spans="18:18" x14ac:dyDescent="0.3">
      <c r="R779"/>
    </row>
    <row r="780" spans="18:18" x14ac:dyDescent="0.3">
      <c r="R780"/>
    </row>
    <row r="781" spans="18:18" x14ac:dyDescent="0.3">
      <c r="R781"/>
    </row>
    <row r="782" spans="18:18" x14ac:dyDescent="0.3">
      <c r="R782"/>
    </row>
    <row r="783" spans="18:18" x14ac:dyDescent="0.3">
      <c r="R783"/>
    </row>
    <row r="784" spans="18:18" x14ac:dyDescent="0.3">
      <c r="R784"/>
    </row>
    <row r="785" spans="18:18" x14ac:dyDescent="0.3">
      <c r="R785"/>
    </row>
    <row r="786" spans="18:18" x14ac:dyDescent="0.3">
      <c r="R786"/>
    </row>
    <row r="787" spans="18:18" x14ac:dyDescent="0.3">
      <c r="R787"/>
    </row>
    <row r="788" spans="18:18" x14ac:dyDescent="0.3">
      <c r="R788"/>
    </row>
    <row r="789" spans="18:18" x14ac:dyDescent="0.3">
      <c r="R789"/>
    </row>
    <row r="790" spans="18:18" x14ac:dyDescent="0.3">
      <c r="R790"/>
    </row>
    <row r="791" spans="18:18" x14ac:dyDescent="0.3">
      <c r="R791"/>
    </row>
    <row r="792" spans="18:18" x14ac:dyDescent="0.3">
      <c r="R792"/>
    </row>
    <row r="793" spans="18:18" x14ac:dyDescent="0.3">
      <c r="R793"/>
    </row>
    <row r="794" spans="18:18" x14ac:dyDescent="0.3">
      <c r="R794"/>
    </row>
    <row r="795" spans="18:18" x14ac:dyDescent="0.3">
      <c r="R795"/>
    </row>
    <row r="796" spans="18:18" x14ac:dyDescent="0.3">
      <c r="R796"/>
    </row>
    <row r="797" spans="18:18" x14ac:dyDescent="0.3">
      <c r="R797"/>
    </row>
    <row r="798" spans="18:18" x14ac:dyDescent="0.3">
      <c r="R798"/>
    </row>
    <row r="799" spans="18:18" x14ac:dyDescent="0.3">
      <c r="R799"/>
    </row>
    <row r="800" spans="18:18" x14ac:dyDescent="0.3">
      <c r="R800"/>
    </row>
    <row r="801" spans="18:18" x14ac:dyDescent="0.3">
      <c r="R801"/>
    </row>
    <row r="802" spans="18:18" x14ac:dyDescent="0.3">
      <c r="R802"/>
    </row>
    <row r="803" spans="18:18" x14ac:dyDescent="0.3">
      <c r="R803"/>
    </row>
    <row r="804" spans="18:18" x14ac:dyDescent="0.3">
      <c r="R804"/>
    </row>
    <row r="805" spans="18:18" x14ac:dyDescent="0.3">
      <c r="R805"/>
    </row>
    <row r="806" spans="18:18" x14ac:dyDescent="0.3">
      <c r="R806"/>
    </row>
    <row r="807" spans="18:18" x14ac:dyDescent="0.3">
      <c r="R807"/>
    </row>
    <row r="808" spans="18:18" x14ac:dyDescent="0.3">
      <c r="R808"/>
    </row>
    <row r="809" spans="18:18" x14ac:dyDescent="0.3">
      <c r="R809"/>
    </row>
    <row r="810" spans="18:18" x14ac:dyDescent="0.3">
      <c r="R810"/>
    </row>
    <row r="811" spans="18:18" x14ac:dyDescent="0.3">
      <c r="R811"/>
    </row>
    <row r="812" spans="18:18" x14ac:dyDescent="0.3">
      <c r="R812"/>
    </row>
    <row r="813" spans="18:18" x14ac:dyDescent="0.3">
      <c r="R813"/>
    </row>
    <row r="814" spans="18:18" x14ac:dyDescent="0.3">
      <c r="R814"/>
    </row>
    <row r="815" spans="18:18" x14ac:dyDescent="0.3">
      <c r="R815"/>
    </row>
    <row r="816" spans="18:18" x14ac:dyDescent="0.3">
      <c r="R816"/>
    </row>
    <row r="817" spans="18:18" x14ac:dyDescent="0.3">
      <c r="R817"/>
    </row>
    <row r="818" spans="18:18" x14ac:dyDescent="0.3">
      <c r="R818"/>
    </row>
    <row r="819" spans="18:18" x14ac:dyDescent="0.3">
      <c r="R819"/>
    </row>
    <row r="820" spans="18:18" x14ac:dyDescent="0.3">
      <c r="R820"/>
    </row>
    <row r="821" spans="18:18" x14ac:dyDescent="0.3">
      <c r="R821"/>
    </row>
    <row r="822" spans="18:18" x14ac:dyDescent="0.3">
      <c r="R822"/>
    </row>
    <row r="823" spans="18:18" x14ac:dyDescent="0.3">
      <c r="R823"/>
    </row>
    <row r="824" spans="18:18" x14ac:dyDescent="0.3">
      <c r="R824"/>
    </row>
    <row r="825" spans="18:18" x14ac:dyDescent="0.3">
      <c r="R825"/>
    </row>
    <row r="826" spans="18:18" x14ac:dyDescent="0.3">
      <c r="R826"/>
    </row>
    <row r="827" spans="18:18" x14ac:dyDescent="0.3">
      <c r="R827"/>
    </row>
    <row r="828" spans="18:18" x14ac:dyDescent="0.3">
      <c r="R828"/>
    </row>
    <row r="829" spans="18:18" x14ac:dyDescent="0.3">
      <c r="R829"/>
    </row>
    <row r="830" spans="18:18" x14ac:dyDescent="0.3">
      <c r="R830"/>
    </row>
    <row r="831" spans="18:18" x14ac:dyDescent="0.3">
      <c r="R831"/>
    </row>
    <row r="832" spans="18:18" x14ac:dyDescent="0.3">
      <c r="R832"/>
    </row>
    <row r="833" spans="18:18" x14ac:dyDescent="0.3">
      <c r="R833"/>
    </row>
    <row r="834" spans="18:18" x14ac:dyDescent="0.3">
      <c r="R834"/>
    </row>
    <row r="835" spans="18:18" x14ac:dyDescent="0.3">
      <c r="R835"/>
    </row>
    <row r="836" spans="18:18" x14ac:dyDescent="0.3">
      <c r="R836"/>
    </row>
    <row r="837" spans="18:18" x14ac:dyDescent="0.3">
      <c r="R837"/>
    </row>
    <row r="838" spans="18:18" x14ac:dyDescent="0.3">
      <c r="R838"/>
    </row>
    <row r="839" spans="18:18" x14ac:dyDescent="0.3">
      <c r="R839"/>
    </row>
    <row r="840" spans="18:18" x14ac:dyDescent="0.3">
      <c r="R840"/>
    </row>
    <row r="841" spans="18:18" x14ac:dyDescent="0.3">
      <c r="R841"/>
    </row>
    <row r="842" spans="18:18" x14ac:dyDescent="0.3">
      <c r="R842"/>
    </row>
    <row r="843" spans="18:18" x14ac:dyDescent="0.3">
      <c r="R843"/>
    </row>
    <row r="844" spans="18:18" x14ac:dyDescent="0.3">
      <c r="R844"/>
    </row>
    <row r="845" spans="18:18" x14ac:dyDescent="0.3">
      <c r="R845"/>
    </row>
    <row r="846" spans="18:18" x14ac:dyDescent="0.3">
      <c r="R846"/>
    </row>
    <row r="847" spans="18:18" x14ac:dyDescent="0.3">
      <c r="R847"/>
    </row>
    <row r="848" spans="18:18" x14ac:dyDescent="0.3">
      <c r="R848"/>
    </row>
    <row r="849" spans="18:18" x14ac:dyDescent="0.3">
      <c r="R849"/>
    </row>
    <row r="850" spans="18:18" x14ac:dyDescent="0.3">
      <c r="R850"/>
    </row>
    <row r="851" spans="18:18" x14ac:dyDescent="0.3">
      <c r="R851"/>
    </row>
    <row r="852" spans="18:18" x14ac:dyDescent="0.3">
      <c r="R852"/>
    </row>
    <row r="853" spans="18:18" x14ac:dyDescent="0.3">
      <c r="R853"/>
    </row>
    <row r="854" spans="18:18" x14ac:dyDescent="0.3">
      <c r="R854"/>
    </row>
    <row r="855" spans="18:18" x14ac:dyDescent="0.3">
      <c r="R855"/>
    </row>
    <row r="856" spans="18:18" x14ac:dyDescent="0.3">
      <c r="R856"/>
    </row>
    <row r="857" spans="18:18" x14ac:dyDescent="0.3">
      <c r="R857"/>
    </row>
    <row r="858" spans="18:18" x14ac:dyDescent="0.3">
      <c r="R858"/>
    </row>
    <row r="859" spans="18:18" x14ac:dyDescent="0.3">
      <c r="R859"/>
    </row>
    <row r="860" spans="18:18" x14ac:dyDescent="0.3">
      <c r="R860"/>
    </row>
    <row r="861" spans="18:18" x14ac:dyDescent="0.3">
      <c r="R861"/>
    </row>
    <row r="862" spans="18:18" x14ac:dyDescent="0.3">
      <c r="R862"/>
    </row>
    <row r="863" spans="18:18" x14ac:dyDescent="0.3">
      <c r="R863"/>
    </row>
    <row r="864" spans="18:18" x14ac:dyDescent="0.3">
      <c r="R864"/>
    </row>
    <row r="865" spans="18:18" x14ac:dyDescent="0.3">
      <c r="R865"/>
    </row>
    <row r="866" spans="18:18" x14ac:dyDescent="0.3">
      <c r="R866"/>
    </row>
    <row r="867" spans="18:18" x14ac:dyDescent="0.3">
      <c r="R867"/>
    </row>
    <row r="868" spans="18:18" x14ac:dyDescent="0.3">
      <c r="R868"/>
    </row>
    <row r="869" spans="18:18" x14ac:dyDescent="0.3">
      <c r="R869"/>
    </row>
    <row r="870" spans="18:18" x14ac:dyDescent="0.3">
      <c r="R870"/>
    </row>
    <row r="871" spans="18:18" x14ac:dyDescent="0.3">
      <c r="R871"/>
    </row>
    <row r="872" spans="18:18" x14ac:dyDescent="0.3">
      <c r="R872"/>
    </row>
    <row r="873" spans="18:18" x14ac:dyDescent="0.3">
      <c r="R873"/>
    </row>
    <row r="874" spans="18:18" x14ac:dyDescent="0.3">
      <c r="R874"/>
    </row>
    <row r="875" spans="18:18" x14ac:dyDescent="0.3">
      <c r="R875"/>
    </row>
    <row r="876" spans="18:18" x14ac:dyDescent="0.3">
      <c r="R876"/>
    </row>
    <row r="877" spans="18:18" x14ac:dyDescent="0.3">
      <c r="R877"/>
    </row>
    <row r="878" spans="18:18" x14ac:dyDescent="0.3">
      <c r="R878"/>
    </row>
    <row r="879" spans="18:18" x14ac:dyDescent="0.3">
      <c r="R879"/>
    </row>
    <row r="880" spans="18:18" x14ac:dyDescent="0.3">
      <c r="R880"/>
    </row>
    <row r="881" spans="18:18" x14ac:dyDescent="0.3">
      <c r="R881"/>
    </row>
    <row r="882" spans="18:18" x14ac:dyDescent="0.3">
      <c r="R882"/>
    </row>
    <row r="883" spans="18:18" x14ac:dyDescent="0.3">
      <c r="R883"/>
    </row>
    <row r="884" spans="18:18" x14ac:dyDescent="0.3">
      <c r="R884"/>
    </row>
    <row r="885" spans="18:18" x14ac:dyDescent="0.3">
      <c r="R885"/>
    </row>
    <row r="886" spans="18:18" x14ac:dyDescent="0.3">
      <c r="R886"/>
    </row>
    <row r="887" spans="18:18" x14ac:dyDescent="0.3">
      <c r="R887"/>
    </row>
    <row r="888" spans="18:18" x14ac:dyDescent="0.3">
      <c r="R888"/>
    </row>
    <row r="889" spans="18:18" x14ac:dyDescent="0.3">
      <c r="R889"/>
    </row>
    <row r="890" spans="18:18" x14ac:dyDescent="0.3">
      <c r="R890"/>
    </row>
    <row r="891" spans="18:18" x14ac:dyDescent="0.3">
      <c r="R891"/>
    </row>
    <row r="892" spans="18:18" x14ac:dyDescent="0.3">
      <c r="R892"/>
    </row>
    <row r="893" spans="18:18" x14ac:dyDescent="0.3">
      <c r="R893"/>
    </row>
    <row r="894" spans="18:18" x14ac:dyDescent="0.3">
      <c r="R894"/>
    </row>
    <row r="895" spans="18:18" x14ac:dyDescent="0.3">
      <c r="R895"/>
    </row>
    <row r="896" spans="18:18" x14ac:dyDescent="0.3">
      <c r="R896"/>
    </row>
    <row r="897" spans="18:18" x14ac:dyDescent="0.3">
      <c r="R897"/>
    </row>
    <row r="898" spans="18:18" x14ac:dyDescent="0.3">
      <c r="R898"/>
    </row>
    <row r="899" spans="18:18" x14ac:dyDescent="0.3">
      <c r="R899"/>
    </row>
    <row r="900" spans="18:18" x14ac:dyDescent="0.3">
      <c r="R900"/>
    </row>
    <row r="901" spans="18:18" x14ac:dyDescent="0.3">
      <c r="R901"/>
    </row>
    <row r="902" spans="18:18" x14ac:dyDescent="0.3">
      <c r="R902"/>
    </row>
    <row r="903" spans="18:18" x14ac:dyDescent="0.3">
      <c r="R903"/>
    </row>
    <row r="904" spans="18:18" x14ac:dyDescent="0.3">
      <c r="R904"/>
    </row>
    <row r="905" spans="18:18" x14ac:dyDescent="0.3">
      <c r="R905"/>
    </row>
    <row r="906" spans="18:18" x14ac:dyDescent="0.3">
      <c r="R906"/>
    </row>
    <row r="907" spans="18:18" x14ac:dyDescent="0.3">
      <c r="R907"/>
    </row>
    <row r="908" spans="18:18" x14ac:dyDescent="0.3">
      <c r="R908"/>
    </row>
    <row r="909" spans="18:18" x14ac:dyDescent="0.3">
      <c r="R909"/>
    </row>
    <row r="910" spans="18:18" x14ac:dyDescent="0.3">
      <c r="R910"/>
    </row>
    <row r="911" spans="18:18" x14ac:dyDescent="0.3">
      <c r="R911"/>
    </row>
    <row r="912" spans="18:18" x14ac:dyDescent="0.3">
      <c r="R912"/>
    </row>
    <row r="913" spans="18:18" x14ac:dyDescent="0.3">
      <c r="R913"/>
    </row>
    <row r="914" spans="18:18" x14ac:dyDescent="0.3">
      <c r="R914"/>
    </row>
    <row r="915" spans="18:18" x14ac:dyDescent="0.3">
      <c r="R915"/>
    </row>
    <row r="916" spans="18:18" x14ac:dyDescent="0.3">
      <c r="R916"/>
    </row>
    <row r="917" spans="18:18" x14ac:dyDescent="0.3">
      <c r="R917"/>
    </row>
    <row r="918" spans="18:18" x14ac:dyDescent="0.3">
      <c r="R918"/>
    </row>
    <row r="919" spans="18:18" x14ac:dyDescent="0.3">
      <c r="R919"/>
    </row>
    <row r="920" spans="18:18" x14ac:dyDescent="0.3">
      <c r="R920"/>
    </row>
    <row r="921" spans="18:18" x14ac:dyDescent="0.3">
      <c r="R921"/>
    </row>
    <row r="922" spans="18:18" x14ac:dyDescent="0.3">
      <c r="R922"/>
    </row>
    <row r="923" spans="18:18" x14ac:dyDescent="0.3">
      <c r="R923"/>
    </row>
    <row r="924" spans="18:18" x14ac:dyDescent="0.3">
      <c r="R924"/>
    </row>
    <row r="925" spans="18:18" x14ac:dyDescent="0.3">
      <c r="R925"/>
    </row>
    <row r="926" spans="18:18" x14ac:dyDescent="0.3">
      <c r="R926"/>
    </row>
    <row r="927" spans="18:18" x14ac:dyDescent="0.3">
      <c r="R927"/>
    </row>
    <row r="928" spans="18:18" x14ac:dyDescent="0.3">
      <c r="R928"/>
    </row>
    <row r="929" spans="18:18" x14ac:dyDescent="0.3">
      <c r="R929"/>
    </row>
    <row r="930" spans="18:18" x14ac:dyDescent="0.3">
      <c r="R930"/>
    </row>
    <row r="931" spans="18:18" x14ac:dyDescent="0.3">
      <c r="R931"/>
    </row>
    <row r="932" spans="18:18" x14ac:dyDescent="0.3">
      <c r="R932"/>
    </row>
    <row r="933" spans="18:18" x14ac:dyDescent="0.3">
      <c r="R933"/>
    </row>
    <row r="934" spans="18:18" x14ac:dyDescent="0.3">
      <c r="R934"/>
    </row>
    <row r="935" spans="18:18" x14ac:dyDescent="0.3">
      <c r="R935"/>
    </row>
    <row r="936" spans="18:18" x14ac:dyDescent="0.3">
      <c r="R936"/>
    </row>
    <row r="937" spans="18:18" x14ac:dyDescent="0.3">
      <c r="R937"/>
    </row>
    <row r="938" spans="18:18" x14ac:dyDescent="0.3">
      <c r="R938"/>
    </row>
    <row r="939" spans="18:18" x14ac:dyDescent="0.3">
      <c r="R939"/>
    </row>
    <row r="940" spans="18:18" x14ac:dyDescent="0.3">
      <c r="R940"/>
    </row>
    <row r="941" spans="18:18" x14ac:dyDescent="0.3">
      <c r="R941"/>
    </row>
    <row r="942" spans="18:18" x14ac:dyDescent="0.3">
      <c r="R942"/>
    </row>
    <row r="943" spans="18:18" x14ac:dyDescent="0.3">
      <c r="R943"/>
    </row>
    <row r="944" spans="18:18" x14ac:dyDescent="0.3">
      <c r="R944"/>
    </row>
    <row r="945" spans="18:18" x14ac:dyDescent="0.3">
      <c r="R945"/>
    </row>
    <row r="946" spans="18:18" x14ac:dyDescent="0.3">
      <c r="R946"/>
    </row>
    <row r="947" spans="18:18" x14ac:dyDescent="0.3">
      <c r="R947"/>
    </row>
    <row r="948" spans="18:18" x14ac:dyDescent="0.3">
      <c r="R948"/>
    </row>
    <row r="949" spans="18:18" x14ac:dyDescent="0.3">
      <c r="R949"/>
    </row>
    <row r="950" spans="18:18" x14ac:dyDescent="0.3">
      <c r="R950"/>
    </row>
    <row r="951" spans="18:18" x14ac:dyDescent="0.3">
      <c r="R951"/>
    </row>
    <row r="952" spans="18:18" x14ac:dyDescent="0.3">
      <c r="R952"/>
    </row>
    <row r="953" spans="18:18" x14ac:dyDescent="0.3">
      <c r="R953"/>
    </row>
    <row r="954" spans="18:18" x14ac:dyDescent="0.3">
      <c r="R954"/>
    </row>
    <row r="955" spans="18:18" x14ac:dyDescent="0.3">
      <c r="R955"/>
    </row>
    <row r="956" spans="18:18" x14ac:dyDescent="0.3">
      <c r="R956"/>
    </row>
    <row r="957" spans="18:18" x14ac:dyDescent="0.3">
      <c r="R957"/>
    </row>
    <row r="958" spans="18:18" x14ac:dyDescent="0.3">
      <c r="R958"/>
    </row>
    <row r="959" spans="18:18" x14ac:dyDescent="0.3">
      <c r="R959"/>
    </row>
    <row r="960" spans="18:18" x14ac:dyDescent="0.3">
      <c r="R960"/>
    </row>
    <row r="961" spans="18:18" x14ac:dyDescent="0.3">
      <c r="R961"/>
    </row>
    <row r="962" spans="18:18" x14ac:dyDescent="0.3">
      <c r="R962"/>
    </row>
    <row r="963" spans="18:18" x14ac:dyDescent="0.3">
      <c r="R963"/>
    </row>
    <row r="964" spans="18:18" x14ac:dyDescent="0.3">
      <c r="R964"/>
    </row>
    <row r="965" spans="18:18" x14ac:dyDescent="0.3">
      <c r="R965"/>
    </row>
    <row r="966" spans="18:18" x14ac:dyDescent="0.3">
      <c r="R966"/>
    </row>
    <row r="967" spans="18:18" x14ac:dyDescent="0.3">
      <c r="R967"/>
    </row>
    <row r="968" spans="18:18" x14ac:dyDescent="0.3">
      <c r="R968"/>
    </row>
    <row r="969" spans="18:18" x14ac:dyDescent="0.3">
      <c r="R969"/>
    </row>
    <row r="970" spans="18:18" x14ac:dyDescent="0.3">
      <c r="R970"/>
    </row>
    <row r="971" spans="18:18" x14ac:dyDescent="0.3">
      <c r="R971"/>
    </row>
    <row r="972" spans="18:18" x14ac:dyDescent="0.3">
      <c r="R972"/>
    </row>
    <row r="973" spans="18:18" x14ac:dyDescent="0.3">
      <c r="R973"/>
    </row>
    <row r="974" spans="18:18" x14ac:dyDescent="0.3">
      <c r="R974"/>
    </row>
    <row r="975" spans="18:18" x14ac:dyDescent="0.3">
      <c r="R975"/>
    </row>
    <row r="976" spans="18:18" x14ac:dyDescent="0.3">
      <c r="R976"/>
    </row>
    <row r="977" spans="18:18" x14ac:dyDescent="0.3">
      <c r="R977"/>
    </row>
    <row r="978" spans="18:18" x14ac:dyDescent="0.3">
      <c r="R978"/>
    </row>
    <row r="979" spans="18:18" x14ac:dyDescent="0.3">
      <c r="R979"/>
    </row>
    <row r="980" spans="18:18" x14ac:dyDescent="0.3">
      <c r="R980"/>
    </row>
    <row r="981" spans="18:18" x14ac:dyDescent="0.3">
      <c r="R981"/>
    </row>
    <row r="982" spans="18:18" x14ac:dyDescent="0.3">
      <c r="R982"/>
    </row>
    <row r="983" spans="18:18" x14ac:dyDescent="0.3">
      <c r="R983"/>
    </row>
    <row r="984" spans="18:18" x14ac:dyDescent="0.3">
      <c r="R984"/>
    </row>
    <row r="985" spans="18:18" x14ac:dyDescent="0.3">
      <c r="R985"/>
    </row>
    <row r="986" spans="18:18" x14ac:dyDescent="0.3">
      <c r="R986"/>
    </row>
    <row r="987" spans="18:18" x14ac:dyDescent="0.3">
      <c r="R987"/>
    </row>
    <row r="988" spans="18:18" x14ac:dyDescent="0.3">
      <c r="R988"/>
    </row>
    <row r="989" spans="18:18" x14ac:dyDescent="0.3">
      <c r="R989"/>
    </row>
    <row r="990" spans="18:18" x14ac:dyDescent="0.3">
      <c r="R990"/>
    </row>
    <row r="991" spans="18:18" x14ac:dyDescent="0.3">
      <c r="R991"/>
    </row>
    <row r="992" spans="18:18" x14ac:dyDescent="0.3">
      <c r="R992"/>
    </row>
    <row r="993" spans="18:18" x14ac:dyDescent="0.3">
      <c r="R993"/>
    </row>
    <row r="994" spans="18:18" x14ac:dyDescent="0.3">
      <c r="R994"/>
    </row>
    <row r="995" spans="18:18" x14ac:dyDescent="0.3">
      <c r="R995"/>
    </row>
    <row r="996" spans="18:18" x14ac:dyDescent="0.3">
      <c r="R996"/>
    </row>
    <row r="997" spans="18:18" x14ac:dyDescent="0.3">
      <c r="R997"/>
    </row>
    <row r="998" spans="18:18" x14ac:dyDescent="0.3">
      <c r="R998"/>
    </row>
    <row r="999" spans="18:18" x14ac:dyDescent="0.3">
      <c r="R999"/>
    </row>
    <row r="1000" spans="18:18" x14ac:dyDescent="0.3">
      <c r="R1000"/>
    </row>
    <row r="1001" spans="18:18" x14ac:dyDescent="0.3">
      <c r="R1001"/>
    </row>
    <row r="1002" spans="18:18" x14ac:dyDescent="0.3">
      <c r="R1002"/>
    </row>
    <row r="1003" spans="18:18" x14ac:dyDescent="0.3">
      <c r="R1003"/>
    </row>
    <row r="1004" spans="18:18" x14ac:dyDescent="0.3">
      <c r="R1004"/>
    </row>
    <row r="1005" spans="18:18" x14ac:dyDescent="0.3">
      <c r="R1005"/>
    </row>
    <row r="1006" spans="18:18" x14ac:dyDescent="0.3">
      <c r="R1006"/>
    </row>
    <row r="1007" spans="18:18" x14ac:dyDescent="0.3">
      <c r="R1007"/>
    </row>
    <row r="1008" spans="18:18" x14ac:dyDescent="0.3">
      <c r="R1008"/>
    </row>
    <row r="1009" spans="18:18" x14ac:dyDescent="0.3">
      <c r="R1009"/>
    </row>
    <row r="1010" spans="18:18" x14ac:dyDescent="0.3">
      <c r="R1010"/>
    </row>
    <row r="1011" spans="18:18" x14ac:dyDescent="0.3">
      <c r="R1011"/>
    </row>
    <row r="1012" spans="18:18" x14ac:dyDescent="0.3">
      <c r="R1012"/>
    </row>
    <row r="1013" spans="18:18" x14ac:dyDescent="0.3">
      <c r="R1013"/>
    </row>
    <row r="1014" spans="18:18" x14ac:dyDescent="0.3">
      <c r="R1014"/>
    </row>
    <row r="1015" spans="18:18" x14ac:dyDescent="0.3">
      <c r="R1015"/>
    </row>
    <row r="1016" spans="18:18" x14ac:dyDescent="0.3">
      <c r="R1016"/>
    </row>
    <row r="1017" spans="18:18" x14ac:dyDescent="0.3">
      <c r="R1017"/>
    </row>
    <row r="1018" spans="18:18" x14ac:dyDescent="0.3">
      <c r="R1018"/>
    </row>
    <row r="1019" spans="18:18" x14ac:dyDescent="0.3">
      <c r="R1019"/>
    </row>
    <row r="1020" spans="18:18" x14ac:dyDescent="0.3">
      <c r="R1020"/>
    </row>
    <row r="1021" spans="18:18" x14ac:dyDescent="0.3">
      <c r="R1021"/>
    </row>
    <row r="1022" spans="18:18" x14ac:dyDescent="0.3">
      <c r="R1022"/>
    </row>
    <row r="1023" spans="18:18" x14ac:dyDescent="0.3">
      <c r="R1023"/>
    </row>
    <row r="1024" spans="18:18" x14ac:dyDescent="0.3">
      <c r="R1024"/>
    </row>
    <row r="1025" spans="18:18" x14ac:dyDescent="0.3">
      <c r="R1025"/>
    </row>
    <row r="1026" spans="18:18" x14ac:dyDescent="0.3">
      <c r="R1026"/>
    </row>
    <row r="1027" spans="18:18" x14ac:dyDescent="0.3">
      <c r="R1027"/>
    </row>
    <row r="1028" spans="18:18" x14ac:dyDescent="0.3">
      <c r="R1028"/>
    </row>
    <row r="1029" spans="18:18" x14ac:dyDescent="0.3">
      <c r="R1029"/>
    </row>
    <row r="1030" spans="18:18" x14ac:dyDescent="0.3">
      <c r="R1030"/>
    </row>
    <row r="1031" spans="18:18" x14ac:dyDescent="0.3">
      <c r="R1031"/>
    </row>
    <row r="1032" spans="18:18" x14ac:dyDescent="0.3">
      <c r="R1032"/>
    </row>
    <row r="1033" spans="18:18" x14ac:dyDescent="0.3">
      <c r="R1033"/>
    </row>
    <row r="1034" spans="18:18" x14ac:dyDescent="0.3">
      <c r="R1034"/>
    </row>
    <row r="1035" spans="18:18" x14ac:dyDescent="0.3">
      <c r="R1035"/>
    </row>
    <row r="1036" spans="18:18" x14ac:dyDescent="0.3">
      <c r="R1036"/>
    </row>
    <row r="1037" spans="18:18" x14ac:dyDescent="0.3">
      <c r="R1037"/>
    </row>
    <row r="1038" spans="18:18" x14ac:dyDescent="0.3">
      <c r="R1038"/>
    </row>
    <row r="1039" spans="18:18" x14ac:dyDescent="0.3">
      <c r="R1039"/>
    </row>
    <row r="1040" spans="18:18" x14ac:dyDescent="0.3">
      <c r="R1040"/>
    </row>
  </sheetData>
  <phoneticPr fontId="1" type="noConversion"/>
  <printOptions horizontalCentered="1"/>
  <pageMargins left="0.25" right="0.25" top="0.75" bottom="0.75" header="0.3" footer="0.3"/>
  <pageSetup scale="76" fitToHeight="0" orientation="landscape" r:id="rId1"/>
  <headerFooter>
    <oddHeader>&amp;L&amp;"-,Bold"&amp;A&amp;C&amp;D&amp;RPage &amp;P</oddHeader>
  </headerFooter>
  <rowBreaks count="14" manualBreakCount="14">
    <brk id="42" max="15" man="1"/>
    <brk id="78" max="15" man="1"/>
    <brk id="109" max="15" man="1"/>
    <brk id="126" max="15" man="1"/>
    <brk id="156" max="15" man="1"/>
    <brk id="201" max="15" man="1"/>
    <brk id="238" max="15" man="1"/>
    <brk id="278" max="15" man="1"/>
    <brk id="300" max="15" man="1"/>
    <brk id="336" max="15" man="1"/>
    <brk id="376" max="15" man="1"/>
    <brk id="419" max="15" man="1"/>
    <brk id="454" max="15" man="1"/>
    <brk id="493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veDaysPrint">
                <anchor mov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3</xdr:col>
                    <xdr:colOff>22860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B081C-FA3A-416E-A4DA-D5D403203ACE}">
  <sheetPr codeName="Sheet1">
    <pageSetUpPr fitToPage="1"/>
  </sheetPr>
  <dimension ref="A4:I83"/>
  <sheetViews>
    <sheetView zoomScaleNormal="100" workbookViewId="0">
      <pane ySplit="4" topLeftCell="A11" activePane="bottomLeft" state="frozen"/>
      <selection pane="bottomLeft" activeCell="D8" sqref="D8"/>
    </sheetView>
  </sheetViews>
  <sheetFormatPr defaultRowHeight="14.4" x14ac:dyDescent="0.3"/>
  <cols>
    <col min="1" max="1" width="6.44140625" customWidth="1"/>
    <col min="2" max="2" width="10.5546875" style="9" bestFit="1" customWidth="1"/>
    <col min="3" max="3" width="9" style="9" customWidth="1"/>
    <col min="4" max="4" width="7.109375" style="7" customWidth="1"/>
    <col min="5" max="5" width="10.109375" style="7" customWidth="1"/>
    <col min="6" max="6" width="9.77734375" customWidth="1"/>
    <col min="7" max="7" width="35.6640625" customWidth="1"/>
    <col min="8" max="9" width="9.77734375" customWidth="1"/>
    <col min="10" max="10" width="34.6640625" bestFit="1" customWidth="1"/>
    <col min="11" max="11" width="11" customWidth="1"/>
    <col min="12" max="12" width="10.77734375" customWidth="1"/>
    <col min="13" max="13" width="16.44140625" bestFit="1" customWidth="1"/>
    <col min="14" max="14" width="12" bestFit="1" customWidth="1"/>
    <col min="15" max="15" width="19.44140625" bestFit="1" customWidth="1"/>
    <col min="16" max="16" width="30.33203125" bestFit="1" customWidth="1"/>
    <col min="17" max="17" width="61.88671875" bestFit="1" customWidth="1"/>
    <col min="18" max="18" width="21.88671875" bestFit="1" customWidth="1"/>
    <col min="19" max="19" width="12" bestFit="1" customWidth="1"/>
    <col min="20" max="20" width="14" bestFit="1" customWidth="1"/>
    <col min="21" max="21" width="16.21875" bestFit="1" customWidth="1"/>
    <col min="22" max="22" width="13.77734375" bestFit="1" customWidth="1"/>
    <col min="23" max="23" width="12.109375" bestFit="1" customWidth="1"/>
    <col min="24" max="24" width="13.77734375" bestFit="1" customWidth="1"/>
    <col min="25" max="25" width="26" bestFit="1" customWidth="1"/>
    <col min="26" max="26" width="26.33203125" bestFit="1" customWidth="1"/>
    <col min="27" max="27" width="26" bestFit="1" customWidth="1"/>
    <col min="28" max="28" width="26.33203125" bestFit="1" customWidth="1"/>
    <col min="29" max="29" width="26" bestFit="1" customWidth="1"/>
    <col min="30" max="30" width="26.33203125" bestFit="1" customWidth="1"/>
    <col min="31" max="31" width="26" bestFit="1" customWidth="1"/>
    <col min="32" max="32" width="26.33203125" bestFit="1" customWidth="1"/>
    <col min="33" max="36" width="24.109375" bestFit="1" customWidth="1"/>
    <col min="37" max="38" width="19.44140625" bestFit="1" customWidth="1"/>
    <col min="39" max="39" width="30.33203125" bestFit="1" customWidth="1"/>
    <col min="40" max="40" width="22.664062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8.44140625" bestFit="1" customWidth="1"/>
    <col min="47" max="47" width="16.6640625" bestFit="1" customWidth="1"/>
    <col min="48" max="48" width="22.5546875" bestFit="1" customWidth="1"/>
    <col min="49" max="49" width="20.21875" bestFit="1" customWidth="1"/>
    <col min="50" max="50" width="17.109375" bestFit="1" customWidth="1"/>
    <col min="51" max="54" width="14.109375" bestFit="1" customWidth="1"/>
    <col min="55" max="55" width="34.109375" bestFit="1" customWidth="1"/>
    <col min="56" max="56" width="11.109375" bestFit="1" customWidth="1"/>
    <col min="57" max="57" width="23.21875" bestFit="1" customWidth="1"/>
    <col min="58" max="58" width="20.21875" bestFit="1" customWidth="1"/>
    <col min="59" max="59" width="20.44140625" bestFit="1" customWidth="1"/>
    <col min="60" max="60" width="28.21875" bestFit="1" customWidth="1"/>
    <col min="61" max="61" width="22.44140625" bestFit="1" customWidth="1"/>
    <col min="62" max="62" width="23.6640625" bestFit="1" customWidth="1"/>
    <col min="63" max="63" width="22.88671875" bestFit="1" customWidth="1"/>
  </cols>
  <sheetData>
    <row r="4" spans="1:9" ht="44.4" customHeight="1" x14ac:dyDescent="0.3">
      <c r="A4" s="4" t="s">
        <v>270</v>
      </c>
      <c r="B4" s="8" t="s">
        <v>272</v>
      </c>
      <c r="C4" s="8" t="s">
        <v>273</v>
      </c>
      <c r="D4" s="4" t="s">
        <v>275</v>
      </c>
      <c r="E4" s="4" t="s">
        <v>5</v>
      </c>
      <c r="F4" s="4" t="s">
        <v>75</v>
      </c>
      <c r="G4" s="4" t="s">
        <v>10</v>
      </c>
      <c r="H4" s="4" t="s">
        <v>13</v>
      </c>
      <c r="I4" s="4" t="s">
        <v>32</v>
      </c>
    </row>
    <row r="5" spans="1:9" x14ac:dyDescent="0.3">
      <c r="A5" s="3" t="s">
        <v>597</v>
      </c>
      <c r="B5" s="9">
        <v>70011</v>
      </c>
      <c r="C5" s="9">
        <v>0</v>
      </c>
      <c r="D5" s="7">
        <v>102</v>
      </c>
      <c r="E5" s="2" t="s">
        <v>59</v>
      </c>
      <c r="F5" s="46" t="s">
        <v>629</v>
      </c>
      <c r="G5" t="s">
        <v>598</v>
      </c>
      <c r="H5" s="2" t="s">
        <v>300</v>
      </c>
      <c r="I5" s="2">
        <v>2</v>
      </c>
    </row>
    <row r="6" spans="1:9" x14ac:dyDescent="0.3">
      <c r="A6" s="3" t="s">
        <v>599</v>
      </c>
      <c r="B6" s="9">
        <v>70013</v>
      </c>
      <c r="C6" s="9">
        <v>0</v>
      </c>
      <c r="D6" s="7">
        <v>102</v>
      </c>
      <c r="E6" s="2" t="s">
        <v>59</v>
      </c>
      <c r="F6" s="46" t="s">
        <v>629</v>
      </c>
      <c r="G6" t="s">
        <v>600</v>
      </c>
      <c r="H6" s="2" t="s">
        <v>300</v>
      </c>
      <c r="I6" s="2">
        <v>30</v>
      </c>
    </row>
    <row r="7" spans="1:9" x14ac:dyDescent="0.3">
      <c r="A7" s="3" t="s">
        <v>593</v>
      </c>
      <c r="B7" s="9">
        <v>70024</v>
      </c>
      <c r="C7" s="9">
        <v>0</v>
      </c>
      <c r="D7" s="7">
        <v>102</v>
      </c>
      <c r="E7" s="2" t="s">
        <v>60</v>
      </c>
      <c r="F7" s="46" t="s">
        <v>630</v>
      </c>
      <c r="G7" t="s">
        <v>594</v>
      </c>
      <c r="H7" s="2" t="s">
        <v>300</v>
      </c>
      <c r="I7" s="2">
        <v>110</v>
      </c>
    </row>
    <row r="8" spans="1:9" x14ac:dyDescent="0.3">
      <c r="A8" s="3" t="s">
        <v>591</v>
      </c>
      <c r="B8" s="9">
        <v>70537</v>
      </c>
      <c r="C8" s="9">
        <v>0</v>
      </c>
      <c r="D8" s="7">
        <v>102</v>
      </c>
      <c r="E8" s="2" t="s">
        <v>60</v>
      </c>
      <c r="F8" s="46" t="s">
        <v>630</v>
      </c>
      <c r="G8" t="s">
        <v>592</v>
      </c>
      <c r="H8" s="2" t="s">
        <v>300</v>
      </c>
      <c r="I8" s="2">
        <v>2</v>
      </c>
    </row>
    <row r="9" spans="1:9" x14ac:dyDescent="0.3">
      <c r="A9" s="3" t="s">
        <v>631</v>
      </c>
      <c r="B9" s="9">
        <v>70894</v>
      </c>
      <c r="C9" s="9">
        <v>0</v>
      </c>
      <c r="D9" s="7">
        <v>102</v>
      </c>
      <c r="E9" s="2" t="s">
        <v>59</v>
      </c>
      <c r="F9" s="46" t="s">
        <v>632</v>
      </c>
      <c r="G9" t="s">
        <v>633</v>
      </c>
      <c r="H9" s="2" t="s">
        <v>300</v>
      </c>
      <c r="I9" s="2">
        <v>44</v>
      </c>
    </row>
    <row r="10" spans="1:9" x14ac:dyDescent="0.3">
      <c r="A10" s="3" t="s">
        <v>634</v>
      </c>
      <c r="B10" s="9">
        <v>70895</v>
      </c>
      <c r="C10" s="9">
        <v>0</v>
      </c>
      <c r="D10" s="7">
        <v>102</v>
      </c>
      <c r="E10" s="2" t="s">
        <v>59</v>
      </c>
      <c r="F10" s="46" t="s">
        <v>632</v>
      </c>
      <c r="G10" t="s">
        <v>635</v>
      </c>
      <c r="H10" s="2" t="s">
        <v>300</v>
      </c>
      <c r="I10" s="2">
        <v>4</v>
      </c>
    </row>
    <row r="11" spans="1:9" x14ac:dyDescent="0.3">
      <c r="A11" s="3" t="s">
        <v>636</v>
      </c>
      <c r="B11" s="9">
        <v>70897</v>
      </c>
      <c r="C11" s="9">
        <v>3</v>
      </c>
      <c r="D11" s="7">
        <v>102</v>
      </c>
      <c r="E11" s="2" t="s">
        <v>59</v>
      </c>
      <c r="F11" s="46" t="s">
        <v>632</v>
      </c>
      <c r="G11" t="s">
        <v>637</v>
      </c>
      <c r="H11" s="2" t="s">
        <v>300</v>
      </c>
      <c r="I11" s="2">
        <v>2</v>
      </c>
    </row>
    <row r="12" spans="1:9" x14ac:dyDescent="0.3">
      <c r="A12" s="3" t="s">
        <v>638</v>
      </c>
      <c r="B12" s="9">
        <v>70897</v>
      </c>
      <c r="C12" s="9">
        <v>4</v>
      </c>
      <c r="D12" s="7">
        <v>102</v>
      </c>
      <c r="E12" s="2" t="s">
        <v>53</v>
      </c>
      <c r="F12" s="46" t="s">
        <v>629</v>
      </c>
      <c r="G12" t="s">
        <v>639</v>
      </c>
      <c r="H12" s="2" t="s">
        <v>300</v>
      </c>
      <c r="I12" s="2">
        <v>2</v>
      </c>
    </row>
    <row r="13" spans="1:9" x14ac:dyDescent="0.3">
      <c r="A13" s="3" t="s">
        <v>640</v>
      </c>
      <c r="B13" s="9">
        <v>71128</v>
      </c>
      <c r="C13" s="9">
        <v>0</v>
      </c>
      <c r="D13" s="7">
        <v>102</v>
      </c>
      <c r="E13" s="2" t="s">
        <v>52</v>
      </c>
      <c r="F13" s="46" t="s">
        <v>641</v>
      </c>
      <c r="G13" t="s">
        <v>642</v>
      </c>
      <c r="H13" s="2" t="s">
        <v>300</v>
      </c>
      <c r="I13" s="2">
        <v>78</v>
      </c>
    </row>
    <row r="14" spans="1:9" x14ac:dyDescent="0.3">
      <c r="A14" s="3" t="s">
        <v>643</v>
      </c>
      <c r="B14" s="9">
        <v>71132</v>
      </c>
      <c r="C14" s="9">
        <v>0</v>
      </c>
      <c r="D14" s="7">
        <v>102</v>
      </c>
      <c r="E14" s="2" t="s">
        <v>52</v>
      </c>
      <c r="F14" s="46" t="s">
        <v>641</v>
      </c>
      <c r="G14" t="s">
        <v>644</v>
      </c>
      <c r="H14" s="2" t="s">
        <v>300</v>
      </c>
      <c r="I14" s="2">
        <v>8</v>
      </c>
    </row>
    <row r="15" spans="1:9" x14ac:dyDescent="0.3">
      <c r="A15" s="3" t="s">
        <v>645</v>
      </c>
      <c r="B15" s="9">
        <v>71145</v>
      </c>
      <c r="C15" s="9">
        <v>0</v>
      </c>
      <c r="D15" s="7">
        <v>102</v>
      </c>
      <c r="E15" s="2" t="s">
        <v>53</v>
      </c>
      <c r="F15" s="46" t="s">
        <v>629</v>
      </c>
      <c r="G15" t="s">
        <v>646</v>
      </c>
      <c r="H15" s="2" t="s">
        <v>300</v>
      </c>
      <c r="I15" s="2">
        <v>44</v>
      </c>
    </row>
    <row r="16" spans="1:9" x14ac:dyDescent="0.3">
      <c r="A16" s="3" t="s">
        <v>617</v>
      </c>
      <c r="B16" s="9">
        <v>71146</v>
      </c>
      <c r="C16" s="9">
        <v>0</v>
      </c>
      <c r="D16" s="7">
        <v>102</v>
      </c>
      <c r="E16" s="2" t="s">
        <v>52</v>
      </c>
      <c r="F16" s="46" t="s">
        <v>630</v>
      </c>
      <c r="G16" t="s">
        <v>618</v>
      </c>
      <c r="H16" s="2" t="s">
        <v>300</v>
      </c>
      <c r="I16" s="2">
        <v>35</v>
      </c>
    </row>
    <row r="17" spans="1:9" x14ac:dyDescent="0.3">
      <c r="A17" s="3" t="s">
        <v>621</v>
      </c>
      <c r="B17" s="9">
        <v>71159</v>
      </c>
      <c r="C17" s="9">
        <v>0</v>
      </c>
      <c r="D17" s="7">
        <v>102</v>
      </c>
      <c r="E17" s="2" t="s">
        <v>52</v>
      </c>
      <c r="F17" s="46" t="s">
        <v>630</v>
      </c>
      <c r="G17" t="s">
        <v>622</v>
      </c>
      <c r="H17" s="2" t="s">
        <v>300</v>
      </c>
      <c r="I17" s="2">
        <v>122</v>
      </c>
    </row>
    <row r="18" spans="1:9" x14ac:dyDescent="0.3">
      <c r="A18" s="3" t="s">
        <v>623</v>
      </c>
      <c r="B18" s="9">
        <v>71161</v>
      </c>
      <c r="C18" s="9">
        <v>0</v>
      </c>
      <c r="D18" s="7">
        <v>102</v>
      </c>
      <c r="E18" s="2" t="s">
        <v>52</v>
      </c>
      <c r="F18" s="46" t="s">
        <v>630</v>
      </c>
      <c r="G18" t="s">
        <v>624</v>
      </c>
      <c r="H18" s="2" t="s">
        <v>300</v>
      </c>
      <c r="I18" s="2">
        <v>2</v>
      </c>
    </row>
    <row r="19" spans="1:9" x14ac:dyDescent="0.3">
      <c r="A19" s="3" t="s">
        <v>625</v>
      </c>
      <c r="B19" s="9">
        <v>71163</v>
      </c>
      <c r="C19" s="9">
        <v>0</v>
      </c>
      <c r="D19" s="7">
        <v>102</v>
      </c>
      <c r="E19" s="2" t="s">
        <v>52</v>
      </c>
      <c r="F19" s="46" t="s">
        <v>630</v>
      </c>
      <c r="G19" t="s">
        <v>626</v>
      </c>
      <c r="H19" s="2" t="s">
        <v>300</v>
      </c>
      <c r="I19" s="2">
        <v>22</v>
      </c>
    </row>
    <row r="20" spans="1:9" x14ac:dyDescent="0.3">
      <c r="A20" s="3" t="s">
        <v>647</v>
      </c>
      <c r="B20" s="9">
        <v>71255</v>
      </c>
      <c r="C20" s="9">
        <v>0</v>
      </c>
      <c r="D20" s="7">
        <v>102</v>
      </c>
      <c r="E20" s="2" t="s">
        <v>60</v>
      </c>
      <c r="F20" s="46" t="s">
        <v>630</v>
      </c>
      <c r="G20" t="s">
        <v>648</v>
      </c>
      <c r="H20" s="2" t="s">
        <v>298</v>
      </c>
      <c r="I20" s="2">
        <v>2</v>
      </c>
    </row>
    <row r="21" spans="1:9" x14ac:dyDescent="0.3">
      <c r="A21" s="3" t="s">
        <v>649</v>
      </c>
      <c r="B21" s="9">
        <v>71366</v>
      </c>
      <c r="C21" s="9">
        <v>0</v>
      </c>
      <c r="D21" s="7">
        <v>102</v>
      </c>
      <c r="E21" s="2" t="s">
        <v>53</v>
      </c>
      <c r="F21" s="46" t="s">
        <v>629</v>
      </c>
      <c r="G21" t="s">
        <v>650</v>
      </c>
      <c r="H21" s="2" t="s">
        <v>303</v>
      </c>
      <c r="I21" s="2">
        <v>2</v>
      </c>
    </row>
    <row r="22" spans="1:9" x14ac:dyDescent="0.3">
      <c r="A22" s="3" t="s">
        <v>651</v>
      </c>
      <c r="B22" s="9">
        <v>71415</v>
      </c>
      <c r="C22" s="9">
        <v>0</v>
      </c>
      <c r="D22" s="7">
        <v>102</v>
      </c>
      <c r="E22" s="2" t="s">
        <v>60</v>
      </c>
      <c r="F22" s="46" t="s">
        <v>630</v>
      </c>
      <c r="G22" t="s">
        <v>652</v>
      </c>
      <c r="H22" s="2" t="s">
        <v>303</v>
      </c>
      <c r="I22" s="2">
        <v>8</v>
      </c>
    </row>
    <row r="23" spans="1:9" x14ac:dyDescent="0.3">
      <c r="A23" s="3" t="s">
        <v>653</v>
      </c>
      <c r="B23" s="9">
        <v>73107</v>
      </c>
      <c r="C23" s="9">
        <v>0</v>
      </c>
      <c r="D23" s="7">
        <v>102</v>
      </c>
      <c r="E23" s="2" t="s">
        <v>60</v>
      </c>
      <c r="F23" s="46" t="s">
        <v>641</v>
      </c>
      <c r="G23" t="s">
        <v>654</v>
      </c>
      <c r="H23" s="2" t="s">
        <v>300</v>
      </c>
      <c r="I23" s="2">
        <v>22</v>
      </c>
    </row>
    <row r="24" spans="1:9" x14ac:dyDescent="0.3">
      <c r="A24" s="3" t="s">
        <v>655</v>
      </c>
      <c r="B24" s="9">
        <v>73262</v>
      </c>
      <c r="C24" s="9">
        <v>0</v>
      </c>
      <c r="D24" s="7">
        <v>102</v>
      </c>
      <c r="E24" s="2" t="s">
        <v>53</v>
      </c>
      <c r="F24" s="46" t="s">
        <v>629</v>
      </c>
      <c r="G24" t="s">
        <v>656</v>
      </c>
      <c r="H24" s="2" t="s">
        <v>300</v>
      </c>
      <c r="I24" s="2">
        <v>15</v>
      </c>
    </row>
    <row r="25" spans="1:9" x14ac:dyDescent="0.3">
      <c r="A25" s="3" t="s">
        <v>595</v>
      </c>
      <c r="B25" s="9">
        <v>73289</v>
      </c>
      <c r="C25" s="9">
        <v>0</v>
      </c>
      <c r="D25" s="7">
        <v>102</v>
      </c>
      <c r="E25" s="2" t="s">
        <v>60</v>
      </c>
      <c r="F25" s="46" t="s">
        <v>630</v>
      </c>
      <c r="G25" t="s">
        <v>596</v>
      </c>
      <c r="H25" s="2" t="s">
        <v>300</v>
      </c>
      <c r="I25" s="2">
        <v>25</v>
      </c>
    </row>
    <row r="26" spans="1:9" x14ac:dyDescent="0.3">
      <c r="A26" s="3" t="s">
        <v>657</v>
      </c>
      <c r="B26" s="9">
        <v>73368</v>
      </c>
      <c r="C26" s="9">
        <v>0</v>
      </c>
      <c r="D26" s="7">
        <v>102</v>
      </c>
      <c r="E26" s="2" t="s">
        <v>60</v>
      </c>
      <c r="F26" s="46" t="s">
        <v>632</v>
      </c>
      <c r="G26" t="s">
        <v>658</v>
      </c>
      <c r="H26" s="2" t="s">
        <v>303</v>
      </c>
      <c r="I26" s="2">
        <v>4</v>
      </c>
    </row>
    <row r="27" spans="1:9" x14ac:dyDescent="0.3">
      <c r="A27" s="3" t="s">
        <v>659</v>
      </c>
      <c r="B27" s="9">
        <v>73394</v>
      </c>
      <c r="C27" s="9">
        <v>0</v>
      </c>
      <c r="D27" s="7">
        <v>102</v>
      </c>
      <c r="E27" s="2" t="s">
        <v>59</v>
      </c>
      <c r="F27" s="46" t="s">
        <v>629</v>
      </c>
      <c r="G27" t="s">
        <v>660</v>
      </c>
      <c r="H27" s="2" t="s">
        <v>298</v>
      </c>
      <c r="I27" s="2">
        <v>12</v>
      </c>
    </row>
    <row r="28" spans="1:9" x14ac:dyDescent="0.3">
      <c r="A28" s="3" t="s">
        <v>589</v>
      </c>
      <c r="B28" s="9">
        <v>73413</v>
      </c>
      <c r="C28" s="9">
        <v>0</v>
      </c>
      <c r="D28" s="7">
        <v>102</v>
      </c>
      <c r="E28" s="2" t="s">
        <v>60</v>
      </c>
      <c r="F28" s="46" t="s">
        <v>630</v>
      </c>
      <c r="G28" t="s">
        <v>590</v>
      </c>
      <c r="H28" s="2" t="s">
        <v>300</v>
      </c>
      <c r="I28" s="2">
        <v>443</v>
      </c>
    </row>
    <row r="29" spans="1:9" x14ac:dyDescent="0.3">
      <c r="A29" s="3" t="s">
        <v>661</v>
      </c>
      <c r="B29" s="9">
        <v>73425</v>
      </c>
      <c r="C29" s="9">
        <v>0</v>
      </c>
      <c r="D29" s="7">
        <v>102</v>
      </c>
      <c r="E29" s="2" t="s">
        <v>53</v>
      </c>
      <c r="F29" s="46" t="s">
        <v>629</v>
      </c>
      <c r="G29" t="s">
        <v>662</v>
      </c>
      <c r="H29" s="2" t="s">
        <v>300</v>
      </c>
      <c r="I29" s="2">
        <v>8</v>
      </c>
    </row>
    <row r="30" spans="1:9" x14ac:dyDescent="0.3">
      <c r="A30" s="3" t="s">
        <v>615</v>
      </c>
      <c r="B30" s="9">
        <v>73444</v>
      </c>
      <c r="C30" s="9">
        <v>0</v>
      </c>
      <c r="D30" s="7">
        <v>102</v>
      </c>
      <c r="E30" s="2" t="s">
        <v>52</v>
      </c>
      <c r="F30" s="46" t="s">
        <v>630</v>
      </c>
      <c r="G30" t="s">
        <v>616</v>
      </c>
      <c r="H30" s="2" t="s">
        <v>300</v>
      </c>
      <c r="I30" s="2">
        <v>44</v>
      </c>
    </row>
    <row r="31" spans="1:9" x14ac:dyDescent="0.3">
      <c r="A31" s="3" t="s">
        <v>663</v>
      </c>
      <c r="B31" s="9">
        <v>73470</v>
      </c>
      <c r="C31" s="9">
        <v>3</v>
      </c>
      <c r="D31" s="7">
        <v>102</v>
      </c>
      <c r="E31" s="2" t="s">
        <v>58</v>
      </c>
      <c r="F31" s="46" t="s">
        <v>664</v>
      </c>
      <c r="G31" t="s">
        <v>665</v>
      </c>
      <c r="H31" s="2" t="s">
        <v>300</v>
      </c>
      <c r="I31" s="2">
        <v>2</v>
      </c>
    </row>
    <row r="32" spans="1:9" x14ac:dyDescent="0.3">
      <c r="A32" s="3" t="s">
        <v>666</v>
      </c>
      <c r="B32" s="9">
        <v>73476</v>
      </c>
      <c r="C32" s="9">
        <v>0</v>
      </c>
      <c r="D32" s="7">
        <v>102</v>
      </c>
      <c r="E32" s="2" t="s">
        <v>59</v>
      </c>
      <c r="F32" s="46" t="s">
        <v>632</v>
      </c>
      <c r="G32" t="s">
        <v>667</v>
      </c>
      <c r="H32" s="2" t="s">
        <v>303</v>
      </c>
      <c r="I32" s="2">
        <v>4</v>
      </c>
    </row>
    <row r="33" spans="1:9" x14ac:dyDescent="0.3">
      <c r="A33" s="3" t="s">
        <v>668</v>
      </c>
      <c r="B33" s="9">
        <v>73495</v>
      </c>
      <c r="C33" s="9">
        <v>0</v>
      </c>
      <c r="D33" s="7">
        <v>102</v>
      </c>
      <c r="E33" s="2" t="s">
        <v>60</v>
      </c>
      <c r="F33" s="46" t="s">
        <v>641</v>
      </c>
      <c r="G33" t="s">
        <v>669</v>
      </c>
      <c r="H33" s="2" t="s">
        <v>300</v>
      </c>
      <c r="I33" s="2">
        <v>6</v>
      </c>
    </row>
    <row r="34" spans="1:9" x14ac:dyDescent="0.3">
      <c r="A34" s="3" t="s">
        <v>670</v>
      </c>
      <c r="B34" s="9">
        <v>73508</v>
      </c>
      <c r="C34" s="9">
        <v>0</v>
      </c>
      <c r="D34" s="7">
        <v>102</v>
      </c>
      <c r="E34" s="2" t="s">
        <v>52</v>
      </c>
      <c r="F34" s="46" t="s">
        <v>641</v>
      </c>
      <c r="G34" t="s">
        <v>671</v>
      </c>
      <c r="H34" s="2" t="s">
        <v>300</v>
      </c>
      <c r="I34" s="2">
        <v>88</v>
      </c>
    </row>
    <row r="35" spans="1:9" x14ac:dyDescent="0.3">
      <c r="A35" s="3" t="s">
        <v>672</v>
      </c>
      <c r="B35" s="9">
        <v>73516</v>
      </c>
      <c r="C35" s="9">
        <v>0</v>
      </c>
      <c r="D35" s="7">
        <v>102</v>
      </c>
      <c r="E35" s="2" t="s">
        <v>52</v>
      </c>
      <c r="F35" s="46" t="s">
        <v>641</v>
      </c>
      <c r="G35" t="s">
        <v>673</v>
      </c>
      <c r="H35" s="2" t="s">
        <v>300</v>
      </c>
      <c r="I35" s="2">
        <v>4</v>
      </c>
    </row>
    <row r="36" spans="1:9" x14ac:dyDescent="0.3">
      <c r="A36" s="3" t="s">
        <v>674</v>
      </c>
      <c r="B36" s="9">
        <v>73517</v>
      </c>
      <c r="C36" s="9">
        <v>0</v>
      </c>
      <c r="D36" s="7">
        <v>102</v>
      </c>
      <c r="E36" s="2" t="s">
        <v>58</v>
      </c>
      <c r="F36" s="46" t="s">
        <v>664</v>
      </c>
      <c r="G36" t="s">
        <v>675</v>
      </c>
      <c r="H36" s="2" t="s">
        <v>300</v>
      </c>
      <c r="I36" s="2">
        <v>4</v>
      </c>
    </row>
    <row r="37" spans="1:9" x14ac:dyDescent="0.3">
      <c r="A37" s="3" t="s">
        <v>605</v>
      </c>
      <c r="B37" s="9">
        <v>73519</v>
      </c>
      <c r="C37" s="9">
        <v>0</v>
      </c>
      <c r="D37" s="7">
        <v>102</v>
      </c>
      <c r="E37" s="2" t="s">
        <v>59</v>
      </c>
      <c r="F37" s="46" t="s">
        <v>629</v>
      </c>
      <c r="G37" t="s">
        <v>606</v>
      </c>
      <c r="H37" s="2" t="s">
        <v>300</v>
      </c>
      <c r="I37" s="2">
        <v>2</v>
      </c>
    </row>
    <row r="38" spans="1:9" x14ac:dyDescent="0.3">
      <c r="A38" s="3" t="s">
        <v>676</v>
      </c>
      <c r="B38" s="9">
        <v>73522</v>
      </c>
      <c r="C38" s="9">
        <v>0</v>
      </c>
      <c r="D38" s="7">
        <v>102</v>
      </c>
      <c r="E38" s="2" t="s">
        <v>53</v>
      </c>
      <c r="F38" s="46" t="s">
        <v>632</v>
      </c>
      <c r="G38" t="s">
        <v>677</v>
      </c>
      <c r="H38" s="2" t="s">
        <v>300</v>
      </c>
      <c r="I38" s="2">
        <v>12</v>
      </c>
    </row>
    <row r="39" spans="1:9" x14ac:dyDescent="0.3">
      <c r="A39" s="3" t="s">
        <v>678</v>
      </c>
      <c r="B39" s="9">
        <v>73539</v>
      </c>
      <c r="C39" s="9">
        <v>0</v>
      </c>
      <c r="D39" s="7">
        <v>102</v>
      </c>
      <c r="E39" s="2" t="s">
        <v>53</v>
      </c>
      <c r="F39" s="46" t="s">
        <v>632</v>
      </c>
      <c r="G39" t="s">
        <v>679</v>
      </c>
      <c r="H39" s="2" t="s">
        <v>303</v>
      </c>
      <c r="I39" s="2">
        <v>18</v>
      </c>
    </row>
    <row r="40" spans="1:9" x14ac:dyDescent="0.3">
      <c r="A40" s="3" t="s">
        <v>680</v>
      </c>
      <c r="B40" s="9">
        <v>73540</v>
      </c>
      <c r="C40" s="9">
        <v>0</v>
      </c>
      <c r="D40" s="7">
        <v>102</v>
      </c>
      <c r="E40" s="2" t="s">
        <v>60</v>
      </c>
      <c r="F40" s="46" t="s">
        <v>630</v>
      </c>
      <c r="G40" t="s">
        <v>681</v>
      </c>
      <c r="H40" s="2" t="s">
        <v>302</v>
      </c>
      <c r="I40" s="2">
        <v>12</v>
      </c>
    </row>
    <row r="41" spans="1:9" x14ac:dyDescent="0.3">
      <c r="A41" s="3" t="s">
        <v>682</v>
      </c>
      <c r="B41" s="9">
        <v>73543</v>
      </c>
      <c r="C41" s="9">
        <v>0</v>
      </c>
      <c r="D41" s="7">
        <v>102</v>
      </c>
      <c r="E41" s="2" t="s">
        <v>59</v>
      </c>
      <c r="F41" s="46" t="s">
        <v>632</v>
      </c>
      <c r="G41" t="s">
        <v>683</v>
      </c>
      <c r="H41" s="2" t="s">
        <v>300</v>
      </c>
      <c r="I41" s="2">
        <v>8</v>
      </c>
    </row>
    <row r="42" spans="1:9" x14ac:dyDescent="0.3">
      <c r="A42" s="3" t="s">
        <v>684</v>
      </c>
      <c r="B42" s="9">
        <v>73544</v>
      </c>
      <c r="C42" s="9">
        <v>0</v>
      </c>
      <c r="D42" s="7">
        <v>102</v>
      </c>
      <c r="E42" s="2" t="s">
        <v>58</v>
      </c>
      <c r="F42" s="46" t="s">
        <v>664</v>
      </c>
      <c r="G42" t="s">
        <v>685</v>
      </c>
      <c r="H42" s="2" t="s">
        <v>303</v>
      </c>
      <c r="I42" s="2">
        <v>4</v>
      </c>
    </row>
    <row r="43" spans="1:9" x14ac:dyDescent="0.3">
      <c r="A43" s="3" t="s">
        <v>686</v>
      </c>
      <c r="B43" s="9">
        <v>73549</v>
      </c>
      <c r="C43" s="9">
        <v>0</v>
      </c>
      <c r="D43" s="7">
        <v>102</v>
      </c>
      <c r="E43" s="2" t="s">
        <v>60</v>
      </c>
      <c r="F43" s="46" t="s">
        <v>630</v>
      </c>
      <c r="G43" t="s">
        <v>687</v>
      </c>
      <c r="H43" s="2" t="s">
        <v>303</v>
      </c>
      <c r="I43" s="2">
        <v>4</v>
      </c>
    </row>
    <row r="44" spans="1:9" x14ac:dyDescent="0.3">
      <c r="A44" s="3" t="s">
        <v>688</v>
      </c>
      <c r="B44" s="9">
        <v>73557</v>
      </c>
      <c r="C44" s="9">
        <v>0</v>
      </c>
      <c r="D44" s="7">
        <v>102</v>
      </c>
      <c r="E44" s="2" t="s">
        <v>53</v>
      </c>
      <c r="F44" s="46" t="s">
        <v>629</v>
      </c>
      <c r="G44" t="s">
        <v>689</v>
      </c>
      <c r="H44" s="2" t="s">
        <v>300</v>
      </c>
      <c r="I44" s="2">
        <v>12</v>
      </c>
    </row>
    <row r="45" spans="1:9" x14ac:dyDescent="0.3">
      <c r="A45" s="3" t="s">
        <v>690</v>
      </c>
      <c r="B45" s="9">
        <v>73565</v>
      </c>
      <c r="C45" s="9">
        <v>0</v>
      </c>
      <c r="D45" s="7">
        <v>102</v>
      </c>
      <c r="E45" s="2" t="s">
        <v>53</v>
      </c>
      <c r="F45" s="46" t="s">
        <v>629</v>
      </c>
      <c r="G45" t="s">
        <v>691</v>
      </c>
      <c r="H45" s="2" t="s">
        <v>300</v>
      </c>
      <c r="I45" s="2">
        <v>2</v>
      </c>
    </row>
    <row r="46" spans="1:9" x14ac:dyDescent="0.3">
      <c r="A46" s="3" t="s">
        <v>692</v>
      </c>
      <c r="B46" s="9">
        <v>73566</v>
      </c>
      <c r="C46" s="9">
        <v>0</v>
      </c>
      <c r="D46" s="7">
        <v>102</v>
      </c>
      <c r="E46" s="2" t="s">
        <v>59</v>
      </c>
      <c r="F46" s="46" t="s">
        <v>632</v>
      </c>
      <c r="G46" t="s">
        <v>693</v>
      </c>
      <c r="H46" s="2" t="s">
        <v>300</v>
      </c>
      <c r="I46" s="2">
        <v>4</v>
      </c>
    </row>
    <row r="47" spans="1:9" x14ac:dyDescent="0.3">
      <c r="A47" s="3" t="s">
        <v>601</v>
      </c>
      <c r="B47" s="9">
        <v>73569</v>
      </c>
      <c r="C47" s="9">
        <v>0</v>
      </c>
      <c r="D47" s="7">
        <v>102</v>
      </c>
      <c r="E47" s="2" t="s">
        <v>60</v>
      </c>
      <c r="F47" s="46" t="s">
        <v>630</v>
      </c>
      <c r="G47" t="s">
        <v>602</v>
      </c>
      <c r="H47" s="2" t="s">
        <v>300</v>
      </c>
      <c r="I47" s="2">
        <v>55</v>
      </c>
    </row>
    <row r="48" spans="1:9" x14ac:dyDescent="0.3">
      <c r="A48" s="3" t="s">
        <v>694</v>
      </c>
      <c r="B48" s="9">
        <v>73577</v>
      </c>
      <c r="C48" s="9">
        <v>0</v>
      </c>
      <c r="D48" s="7">
        <v>102</v>
      </c>
      <c r="E48" s="2" t="s">
        <v>53</v>
      </c>
      <c r="F48" s="46" t="s">
        <v>632</v>
      </c>
      <c r="G48" t="s">
        <v>695</v>
      </c>
      <c r="H48" s="2" t="s">
        <v>300</v>
      </c>
      <c r="I48" s="2">
        <v>8</v>
      </c>
    </row>
    <row r="49" spans="1:9" x14ac:dyDescent="0.3">
      <c r="A49" s="3" t="s">
        <v>696</v>
      </c>
      <c r="B49" s="9">
        <v>73578</v>
      </c>
      <c r="C49" s="9">
        <v>0</v>
      </c>
      <c r="D49" s="7">
        <v>102</v>
      </c>
      <c r="E49" s="2" t="s">
        <v>58</v>
      </c>
      <c r="F49" s="46" t="s">
        <v>664</v>
      </c>
      <c r="G49" t="s">
        <v>697</v>
      </c>
      <c r="H49" s="2" t="s">
        <v>300</v>
      </c>
      <c r="I49" s="2">
        <v>4</v>
      </c>
    </row>
    <row r="50" spans="1:9" x14ac:dyDescent="0.3">
      <c r="A50" s="3" t="s">
        <v>698</v>
      </c>
      <c r="B50" s="9">
        <v>73580</v>
      </c>
      <c r="C50" s="9">
        <v>0</v>
      </c>
      <c r="D50" s="7">
        <v>102</v>
      </c>
      <c r="E50" s="2" t="s">
        <v>59</v>
      </c>
      <c r="F50" s="46" t="s">
        <v>632</v>
      </c>
      <c r="G50" t="s">
        <v>699</v>
      </c>
      <c r="H50" s="2" t="s">
        <v>303</v>
      </c>
      <c r="I50" s="2">
        <v>8</v>
      </c>
    </row>
    <row r="51" spans="1:9" x14ac:dyDescent="0.3">
      <c r="A51" s="3" t="s">
        <v>700</v>
      </c>
      <c r="B51" s="9">
        <v>73586</v>
      </c>
      <c r="C51" s="9">
        <v>0</v>
      </c>
      <c r="D51" s="7">
        <v>102</v>
      </c>
      <c r="E51" s="2" t="s">
        <v>60</v>
      </c>
      <c r="F51" s="46" t="s">
        <v>641</v>
      </c>
      <c r="G51" t="s">
        <v>701</v>
      </c>
      <c r="H51" s="2" t="s">
        <v>300</v>
      </c>
      <c r="I51" s="2">
        <v>11</v>
      </c>
    </row>
    <row r="52" spans="1:9" x14ac:dyDescent="0.3">
      <c r="A52" s="3" t="s">
        <v>613</v>
      </c>
      <c r="B52" s="9">
        <v>73590</v>
      </c>
      <c r="C52" s="9">
        <v>0</v>
      </c>
      <c r="D52" s="7">
        <v>102</v>
      </c>
      <c r="E52" s="2" t="s">
        <v>52</v>
      </c>
      <c r="F52" s="46" t="s">
        <v>630</v>
      </c>
      <c r="G52" t="s">
        <v>614</v>
      </c>
      <c r="H52" s="2" t="s">
        <v>300</v>
      </c>
      <c r="I52" s="2">
        <v>12</v>
      </c>
    </row>
    <row r="53" spans="1:9" x14ac:dyDescent="0.3">
      <c r="A53" s="3" t="s">
        <v>702</v>
      </c>
      <c r="B53" s="9">
        <v>73595</v>
      </c>
      <c r="C53" s="9">
        <v>0</v>
      </c>
      <c r="D53" s="7">
        <v>102</v>
      </c>
      <c r="E53" s="2" t="s">
        <v>58</v>
      </c>
      <c r="F53" s="46" t="s">
        <v>664</v>
      </c>
      <c r="G53" t="s">
        <v>703</v>
      </c>
      <c r="H53" s="2" t="s">
        <v>300</v>
      </c>
      <c r="I53" s="2">
        <v>2</v>
      </c>
    </row>
    <row r="54" spans="1:9" x14ac:dyDescent="0.3">
      <c r="A54" s="3" t="s">
        <v>704</v>
      </c>
      <c r="B54" s="9">
        <v>73610</v>
      </c>
      <c r="C54" s="9">
        <v>0</v>
      </c>
      <c r="D54" s="7">
        <v>102</v>
      </c>
      <c r="E54" s="2" t="s">
        <v>53</v>
      </c>
      <c r="F54" s="46" t="s">
        <v>632</v>
      </c>
      <c r="G54" t="s">
        <v>705</v>
      </c>
      <c r="H54" s="2" t="s">
        <v>300</v>
      </c>
      <c r="I54" s="2">
        <v>2258</v>
      </c>
    </row>
    <row r="55" spans="1:9" x14ac:dyDescent="0.3">
      <c r="A55" s="3" t="s">
        <v>706</v>
      </c>
      <c r="B55" s="9">
        <v>99031</v>
      </c>
      <c r="C55" s="9">
        <v>61</v>
      </c>
      <c r="D55" s="7">
        <v>102</v>
      </c>
      <c r="E55" s="2" t="s">
        <v>58</v>
      </c>
      <c r="F55" s="46" t="s">
        <v>664</v>
      </c>
      <c r="G55" t="s">
        <v>707</v>
      </c>
      <c r="H55" s="2" t="s">
        <v>300</v>
      </c>
      <c r="I55" s="2">
        <v>8</v>
      </c>
    </row>
    <row r="56" spans="1:9" x14ac:dyDescent="0.3">
      <c r="A56" s="3" t="s">
        <v>708</v>
      </c>
      <c r="B56" s="9">
        <v>99031</v>
      </c>
      <c r="C56" s="9">
        <v>89</v>
      </c>
      <c r="D56" s="7">
        <v>102</v>
      </c>
      <c r="E56" s="2" t="s">
        <v>58</v>
      </c>
      <c r="F56" s="46" t="s">
        <v>664</v>
      </c>
      <c r="G56" t="s">
        <v>709</v>
      </c>
      <c r="H56" s="2" t="s">
        <v>300</v>
      </c>
      <c r="I56" s="2">
        <v>4</v>
      </c>
    </row>
    <row r="57" spans="1:9" x14ac:dyDescent="0.3">
      <c r="A57" s="3" t="s">
        <v>710</v>
      </c>
      <c r="B57" s="9">
        <v>99031</v>
      </c>
      <c r="C57" s="9">
        <v>90</v>
      </c>
      <c r="D57" s="7">
        <v>102</v>
      </c>
      <c r="E57" s="2" t="s">
        <v>58</v>
      </c>
      <c r="F57" s="46" t="s">
        <v>664</v>
      </c>
      <c r="G57" t="s">
        <v>711</v>
      </c>
      <c r="H57" s="2" t="s">
        <v>300</v>
      </c>
      <c r="I57" s="2">
        <v>6</v>
      </c>
    </row>
    <row r="58" spans="1:9" x14ac:dyDescent="0.3">
      <c r="A58" s="3" t="s">
        <v>712</v>
      </c>
      <c r="B58" s="9">
        <v>99031</v>
      </c>
      <c r="C58" s="9">
        <v>91</v>
      </c>
      <c r="D58" s="7">
        <v>102</v>
      </c>
      <c r="E58" s="2" t="s">
        <v>53</v>
      </c>
      <c r="F58" s="46" t="s">
        <v>629</v>
      </c>
      <c r="G58" t="s">
        <v>713</v>
      </c>
      <c r="H58" s="2" t="s">
        <v>300</v>
      </c>
      <c r="I58" s="2">
        <v>2</v>
      </c>
    </row>
    <row r="59" spans="1:9" x14ac:dyDescent="0.3">
      <c r="A59" s="3" t="s">
        <v>627</v>
      </c>
      <c r="B59" s="9">
        <v>99031</v>
      </c>
      <c r="C59" s="9">
        <v>92</v>
      </c>
      <c r="D59" s="7">
        <v>102</v>
      </c>
      <c r="E59" s="2" t="s">
        <v>52</v>
      </c>
      <c r="F59" s="46" t="s">
        <v>630</v>
      </c>
      <c r="G59" t="s">
        <v>628</v>
      </c>
      <c r="H59" s="2" t="s">
        <v>300</v>
      </c>
      <c r="I59" s="2">
        <v>4</v>
      </c>
    </row>
    <row r="60" spans="1:9" x14ac:dyDescent="0.3">
      <c r="A60" s="3" t="s">
        <v>714</v>
      </c>
      <c r="B60" s="9">
        <v>99031</v>
      </c>
      <c r="C60" s="9">
        <v>93</v>
      </c>
      <c r="D60" s="7">
        <v>102</v>
      </c>
      <c r="E60" s="2" t="s">
        <v>59</v>
      </c>
      <c r="F60" s="46" t="s">
        <v>632</v>
      </c>
      <c r="G60" t="s">
        <v>715</v>
      </c>
      <c r="H60" s="2" t="s">
        <v>300</v>
      </c>
      <c r="I60" s="2">
        <v>4</v>
      </c>
    </row>
    <row r="61" spans="1:9" x14ac:dyDescent="0.3">
      <c r="A61" s="3" t="s">
        <v>716</v>
      </c>
      <c r="B61" s="9">
        <v>99031</v>
      </c>
      <c r="C61" s="9">
        <v>94</v>
      </c>
      <c r="D61" s="7">
        <v>102</v>
      </c>
      <c r="E61" s="2" t="s">
        <v>59</v>
      </c>
      <c r="F61" s="46" t="s">
        <v>632</v>
      </c>
      <c r="G61" t="s">
        <v>717</v>
      </c>
      <c r="H61" s="2" t="s">
        <v>300</v>
      </c>
      <c r="I61" s="2">
        <v>4</v>
      </c>
    </row>
    <row r="62" spans="1:9" x14ac:dyDescent="0.3">
      <c r="A62" s="3" t="s">
        <v>718</v>
      </c>
      <c r="B62" s="9">
        <v>99031</v>
      </c>
      <c r="C62" s="9">
        <v>97</v>
      </c>
      <c r="D62" s="7">
        <v>102</v>
      </c>
      <c r="E62" s="2" t="s">
        <v>58</v>
      </c>
      <c r="F62" s="46" t="s">
        <v>664</v>
      </c>
      <c r="G62" t="s">
        <v>719</v>
      </c>
      <c r="H62" s="2" t="s">
        <v>300</v>
      </c>
      <c r="I62" s="2">
        <v>2</v>
      </c>
    </row>
    <row r="63" spans="1:9" x14ac:dyDescent="0.3">
      <c r="A63" s="3" t="s">
        <v>609</v>
      </c>
      <c r="B63" s="9">
        <v>99031</v>
      </c>
      <c r="C63" s="9">
        <v>104</v>
      </c>
      <c r="D63" s="7">
        <v>102</v>
      </c>
      <c r="E63" s="2" t="s">
        <v>60</v>
      </c>
      <c r="F63" s="46" t="s">
        <v>630</v>
      </c>
      <c r="G63" t="s">
        <v>610</v>
      </c>
      <c r="H63" s="2" t="s">
        <v>300</v>
      </c>
      <c r="I63" s="2">
        <v>2</v>
      </c>
    </row>
    <row r="64" spans="1:9" x14ac:dyDescent="0.3">
      <c r="A64" s="3" t="s">
        <v>720</v>
      </c>
      <c r="B64" s="9">
        <v>99031</v>
      </c>
      <c r="C64" s="9">
        <v>148</v>
      </c>
      <c r="D64" s="7">
        <v>102</v>
      </c>
      <c r="E64" s="2" t="s">
        <v>59</v>
      </c>
      <c r="F64" s="46" t="s">
        <v>632</v>
      </c>
      <c r="G64" t="s">
        <v>721</v>
      </c>
      <c r="H64" s="2" t="s">
        <v>300</v>
      </c>
      <c r="I64" s="2">
        <v>6</v>
      </c>
    </row>
    <row r="65" spans="1:9" x14ac:dyDescent="0.3">
      <c r="A65" s="3" t="s">
        <v>722</v>
      </c>
      <c r="B65" s="9">
        <v>99031</v>
      </c>
      <c r="C65" s="9">
        <v>172</v>
      </c>
      <c r="D65" s="7">
        <v>102</v>
      </c>
      <c r="E65" s="2" t="s">
        <v>52</v>
      </c>
      <c r="F65" s="46" t="s">
        <v>641</v>
      </c>
      <c r="G65" t="s">
        <v>723</v>
      </c>
      <c r="H65" s="2" t="s">
        <v>300</v>
      </c>
      <c r="I65" s="2">
        <v>4</v>
      </c>
    </row>
    <row r="66" spans="1:9" x14ac:dyDescent="0.3">
      <c r="A66" s="3" t="s">
        <v>724</v>
      </c>
      <c r="B66" s="9">
        <v>99031</v>
      </c>
      <c r="C66" s="9">
        <v>180</v>
      </c>
      <c r="D66" s="7">
        <v>102</v>
      </c>
      <c r="E66" s="2" t="s">
        <v>52</v>
      </c>
      <c r="F66" s="46" t="s">
        <v>641</v>
      </c>
      <c r="G66" t="s">
        <v>725</v>
      </c>
      <c r="H66" s="2" t="s">
        <v>300</v>
      </c>
      <c r="I66" s="2">
        <v>6</v>
      </c>
    </row>
    <row r="67" spans="1:9" x14ac:dyDescent="0.3">
      <c r="A67" s="3" t="s">
        <v>726</v>
      </c>
      <c r="B67" s="9">
        <v>99031</v>
      </c>
      <c r="C67" s="9">
        <v>181</v>
      </c>
      <c r="D67" s="7">
        <v>102</v>
      </c>
      <c r="E67" s="2" t="s">
        <v>58</v>
      </c>
      <c r="F67" s="46" t="s">
        <v>664</v>
      </c>
      <c r="G67" t="s">
        <v>727</v>
      </c>
      <c r="H67" s="2" t="s">
        <v>300</v>
      </c>
      <c r="I67" s="2">
        <v>8</v>
      </c>
    </row>
    <row r="68" spans="1:9" x14ac:dyDescent="0.3">
      <c r="A68" s="3" t="s">
        <v>607</v>
      </c>
      <c r="B68" s="9">
        <v>99031</v>
      </c>
      <c r="C68" s="9">
        <v>182</v>
      </c>
      <c r="D68" s="7">
        <v>102</v>
      </c>
      <c r="E68" s="2" t="s">
        <v>59</v>
      </c>
      <c r="F68" s="46" t="s">
        <v>629</v>
      </c>
      <c r="G68" t="s">
        <v>608</v>
      </c>
      <c r="H68" s="2" t="s">
        <v>300</v>
      </c>
      <c r="I68" s="2">
        <v>2</v>
      </c>
    </row>
    <row r="69" spans="1:9" x14ac:dyDescent="0.3">
      <c r="A69" s="3" t="s">
        <v>611</v>
      </c>
      <c r="B69" s="9">
        <v>99031</v>
      </c>
      <c r="C69" s="9">
        <v>189</v>
      </c>
      <c r="D69" s="7">
        <v>102</v>
      </c>
      <c r="E69" s="2" t="s">
        <v>53</v>
      </c>
      <c r="F69" s="46" t="s">
        <v>664</v>
      </c>
      <c r="G69" t="s">
        <v>612</v>
      </c>
      <c r="H69" s="2" t="s">
        <v>300</v>
      </c>
      <c r="I69" s="2">
        <v>4</v>
      </c>
    </row>
    <row r="70" spans="1:9" x14ac:dyDescent="0.3">
      <c r="A70" s="3" t="s">
        <v>728</v>
      </c>
      <c r="B70" s="9">
        <v>99031</v>
      </c>
      <c r="C70" s="9">
        <v>190</v>
      </c>
      <c r="D70" s="7">
        <v>102</v>
      </c>
      <c r="E70" s="2" t="s">
        <v>58</v>
      </c>
      <c r="F70" s="46" t="s">
        <v>664</v>
      </c>
      <c r="G70" t="s">
        <v>729</v>
      </c>
      <c r="H70" s="2" t="s">
        <v>300</v>
      </c>
      <c r="I70" s="2">
        <v>38</v>
      </c>
    </row>
    <row r="71" spans="1:9" x14ac:dyDescent="0.3">
      <c r="A71" s="3" t="s">
        <v>730</v>
      </c>
      <c r="B71" s="9">
        <v>99031</v>
      </c>
      <c r="C71" s="9">
        <v>191</v>
      </c>
      <c r="D71" s="7">
        <v>102</v>
      </c>
      <c r="E71" s="2" t="s">
        <v>53</v>
      </c>
      <c r="F71" s="46" t="s">
        <v>629</v>
      </c>
      <c r="G71" t="s">
        <v>731</v>
      </c>
      <c r="H71" s="2" t="s">
        <v>300</v>
      </c>
      <c r="I71" s="2">
        <v>8</v>
      </c>
    </row>
    <row r="72" spans="1:9" x14ac:dyDescent="0.3">
      <c r="A72" s="3" t="s">
        <v>732</v>
      </c>
      <c r="B72" s="9">
        <v>99061</v>
      </c>
      <c r="C72" s="9">
        <v>106</v>
      </c>
      <c r="D72" s="7">
        <v>102</v>
      </c>
      <c r="E72" s="2" t="s">
        <v>53</v>
      </c>
      <c r="F72" s="46" t="s">
        <v>629</v>
      </c>
      <c r="G72" t="s">
        <v>733</v>
      </c>
      <c r="H72" s="2" t="s">
        <v>300</v>
      </c>
      <c r="I72" s="2">
        <v>41</v>
      </c>
    </row>
    <row r="73" spans="1:9" x14ac:dyDescent="0.3">
      <c r="A73" s="3" t="s">
        <v>734</v>
      </c>
      <c r="B73" s="9">
        <v>99061</v>
      </c>
      <c r="C73" s="9">
        <v>107</v>
      </c>
      <c r="D73" s="7">
        <v>102</v>
      </c>
      <c r="E73" s="2" t="s">
        <v>59</v>
      </c>
      <c r="F73" s="46" t="s">
        <v>632</v>
      </c>
      <c r="G73" t="s">
        <v>735</v>
      </c>
      <c r="H73" s="2" t="s">
        <v>300</v>
      </c>
      <c r="I73" s="2">
        <v>52</v>
      </c>
    </row>
    <row r="74" spans="1:9" x14ac:dyDescent="0.3">
      <c r="A74" s="3" t="s">
        <v>619</v>
      </c>
      <c r="B74" s="9">
        <v>99061</v>
      </c>
      <c r="C74" s="9">
        <v>112</v>
      </c>
      <c r="D74" s="7">
        <v>102</v>
      </c>
      <c r="E74" s="2" t="s">
        <v>52</v>
      </c>
      <c r="F74" s="46" t="s">
        <v>630</v>
      </c>
      <c r="G74" t="s">
        <v>620</v>
      </c>
      <c r="H74" s="2" t="s">
        <v>300</v>
      </c>
      <c r="I74" s="2">
        <v>29</v>
      </c>
    </row>
    <row r="75" spans="1:9" x14ac:dyDescent="0.3">
      <c r="A75" s="3" t="s">
        <v>736</v>
      </c>
      <c r="B75" s="9">
        <v>99062</v>
      </c>
      <c r="C75" s="9">
        <v>37</v>
      </c>
      <c r="D75" s="7">
        <v>102</v>
      </c>
      <c r="E75" s="2" t="s">
        <v>58</v>
      </c>
      <c r="F75" s="46" t="s">
        <v>664</v>
      </c>
      <c r="G75" t="s">
        <v>737</v>
      </c>
      <c r="H75" s="2" t="s">
        <v>300</v>
      </c>
      <c r="I75" s="2">
        <v>77</v>
      </c>
    </row>
    <row r="76" spans="1:9" x14ac:dyDescent="0.3">
      <c r="A76" s="3" t="s">
        <v>738</v>
      </c>
      <c r="B76" s="9">
        <v>99062</v>
      </c>
      <c r="C76" s="9">
        <v>96</v>
      </c>
      <c r="D76" s="7">
        <v>102</v>
      </c>
      <c r="E76" s="2" t="s">
        <v>52</v>
      </c>
      <c r="F76" s="46" t="s">
        <v>641</v>
      </c>
      <c r="G76" t="s">
        <v>739</v>
      </c>
      <c r="H76" s="2" t="s">
        <v>300</v>
      </c>
      <c r="I76" s="2">
        <v>52</v>
      </c>
    </row>
    <row r="77" spans="1:9" x14ac:dyDescent="0.3">
      <c r="A77" s="3" t="s">
        <v>740</v>
      </c>
      <c r="B77" s="9">
        <v>99137</v>
      </c>
      <c r="C77" s="9">
        <v>0</v>
      </c>
      <c r="D77" s="7">
        <v>102</v>
      </c>
      <c r="E77" s="2" t="s">
        <v>52</v>
      </c>
      <c r="F77" s="46" t="s">
        <v>630</v>
      </c>
      <c r="G77" t="s">
        <v>741</v>
      </c>
      <c r="H77" s="2" t="s">
        <v>323</v>
      </c>
      <c r="I77" s="2">
        <v>4</v>
      </c>
    </row>
    <row r="78" spans="1:9" x14ac:dyDescent="0.3">
      <c r="A78" s="3" t="s">
        <v>742</v>
      </c>
      <c r="B78" s="9">
        <v>99137</v>
      </c>
      <c r="C78" s="9">
        <v>1</v>
      </c>
      <c r="D78" s="7">
        <v>102</v>
      </c>
      <c r="E78" s="2" t="s">
        <v>52</v>
      </c>
      <c r="F78" s="46" t="s">
        <v>630</v>
      </c>
      <c r="G78" t="s">
        <v>743</v>
      </c>
      <c r="H78" s="2" t="s">
        <v>323</v>
      </c>
      <c r="I78" s="2">
        <v>4</v>
      </c>
    </row>
    <row r="79" spans="1:9" x14ac:dyDescent="0.3">
      <c r="A79" s="3" t="s">
        <v>744</v>
      </c>
      <c r="B79" s="9">
        <v>99137</v>
      </c>
      <c r="C79" s="9">
        <v>2</v>
      </c>
      <c r="D79" s="7">
        <v>102</v>
      </c>
      <c r="E79" s="2" t="s">
        <v>52</v>
      </c>
      <c r="F79" s="46" t="s">
        <v>664</v>
      </c>
      <c r="G79" t="s">
        <v>745</v>
      </c>
      <c r="H79" s="2" t="s">
        <v>323</v>
      </c>
      <c r="I79" s="2">
        <v>4</v>
      </c>
    </row>
    <row r="80" spans="1:9" x14ac:dyDescent="0.3">
      <c r="A80" s="3" t="s">
        <v>746</v>
      </c>
      <c r="B80" s="9">
        <v>99138</v>
      </c>
      <c r="C80" s="9">
        <v>4</v>
      </c>
      <c r="D80" s="7">
        <v>102</v>
      </c>
      <c r="E80" s="2" t="s">
        <v>53</v>
      </c>
      <c r="F80" s="46" t="s">
        <v>629</v>
      </c>
      <c r="G80" t="s">
        <v>747</v>
      </c>
      <c r="H80" s="2" t="s">
        <v>300</v>
      </c>
      <c r="I80" s="2">
        <v>8</v>
      </c>
    </row>
    <row r="81" spans="1:9" x14ac:dyDescent="0.3">
      <c r="A81" s="3" t="s">
        <v>748</v>
      </c>
      <c r="B81" s="9">
        <v>99189</v>
      </c>
      <c r="C81" s="9">
        <v>1</v>
      </c>
      <c r="D81" s="7">
        <v>102</v>
      </c>
      <c r="E81" s="2" t="s">
        <v>58</v>
      </c>
      <c r="F81" s="46" t="s">
        <v>664</v>
      </c>
      <c r="G81" t="s">
        <v>749</v>
      </c>
      <c r="H81" s="2" t="s">
        <v>300</v>
      </c>
      <c r="I81" s="2">
        <v>2</v>
      </c>
    </row>
    <row r="82" spans="1:9" x14ac:dyDescent="0.3">
      <c r="A82" s="3" t="s">
        <v>750</v>
      </c>
      <c r="B82" s="9">
        <v>99189</v>
      </c>
      <c r="C82" s="9">
        <v>2</v>
      </c>
      <c r="D82" s="7">
        <v>102</v>
      </c>
      <c r="E82" s="2" t="s">
        <v>58</v>
      </c>
      <c r="F82" s="46" t="s">
        <v>664</v>
      </c>
      <c r="G82" t="s">
        <v>751</v>
      </c>
      <c r="H82" s="2" t="s">
        <v>323</v>
      </c>
      <c r="I82" s="2">
        <v>2</v>
      </c>
    </row>
    <row r="83" spans="1:9" x14ac:dyDescent="0.3">
      <c r="A83" s="3" t="s">
        <v>752</v>
      </c>
      <c r="B83" s="9">
        <v>99189</v>
      </c>
      <c r="C83" s="9">
        <v>3</v>
      </c>
      <c r="D83" s="7">
        <v>102</v>
      </c>
      <c r="E83" s="2" t="s">
        <v>58</v>
      </c>
      <c r="F83" s="46" t="s">
        <v>664</v>
      </c>
      <c r="G83" t="s">
        <v>753</v>
      </c>
      <c r="H83" s="2" t="s">
        <v>323</v>
      </c>
      <c r="I83" s="2">
        <v>2</v>
      </c>
    </row>
  </sheetData>
  <phoneticPr fontId="1" type="noConversion"/>
  <pageMargins left="0.45" right="0.45" top="0.5" bottom="0.5" header="0.3" footer="0.3"/>
  <pageSetup scale="89" fitToHeight="0" orientation="portrait" r:id="rId1"/>
  <headerFooter>
    <oddHeader>&amp;L&amp;A&amp;C&amp;D&amp;RPage &amp;P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7F883-0971-4E9E-A439-F26DF66C03D8}">
  <sheetPr codeName="Sheet3">
    <pageSetUpPr fitToPage="1"/>
  </sheetPr>
  <dimension ref="A4:M24"/>
  <sheetViews>
    <sheetView view="pageBreakPreview" topLeftCell="A4" zoomScale="60" zoomScaleNormal="100" workbookViewId="0">
      <selection activeCell="D13" sqref="D13:M13"/>
    </sheetView>
  </sheetViews>
  <sheetFormatPr defaultRowHeight="14.4" x14ac:dyDescent="0.3"/>
  <cols>
    <col min="1" max="1" width="8.21875" style="9" bestFit="1" customWidth="1"/>
    <col min="2" max="2" width="8.33203125" style="9" bestFit="1" customWidth="1"/>
    <col min="3" max="3" width="9.6640625" style="9" customWidth="1"/>
    <col min="4" max="4" width="7.77734375" style="7" customWidth="1"/>
    <col min="5" max="5" width="8.5546875" style="7" customWidth="1"/>
    <col min="6" max="6" width="34.21875" bestFit="1" customWidth="1"/>
    <col min="7" max="7" width="7.109375" style="7" customWidth="1"/>
    <col min="8" max="8" width="9.77734375" style="7" customWidth="1"/>
    <col min="9" max="9" width="11.33203125" style="7" customWidth="1"/>
    <col min="10" max="10" width="17.21875" style="7" customWidth="1"/>
    <col min="11" max="11" width="17.109375" style="7" customWidth="1"/>
    <col min="12" max="12" width="16.33203125" style="7" customWidth="1"/>
    <col min="13" max="13" width="19.44140625" style="7" customWidth="1"/>
    <col min="14" max="14" width="29.5546875" bestFit="1" customWidth="1"/>
    <col min="15" max="15" width="30.21875" bestFit="1" customWidth="1"/>
    <col min="16" max="16" width="22.88671875" bestFit="1" customWidth="1"/>
    <col min="17" max="17" width="41.5546875" bestFit="1" customWidth="1"/>
    <col min="18" max="18" width="20.44140625" bestFit="1" customWidth="1"/>
    <col min="19" max="20" width="20.21875" bestFit="1" customWidth="1"/>
  </cols>
  <sheetData>
    <row r="4" spans="1:13" ht="44.4" customHeight="1" x14ac:dyDescent="0.3">
      <c r="A4" s="4" t="s">
        <v>270</v>
      </c>
      <c r="B4" s="4" t="s">
        <v>272</v>
      </c>
      <c r="C4" s="4" t="s">
        <v>273</v>
      </c>
      <c r="D4" s="4" t="s">
        <v>275</v>
      </c>
      <c r="E4" s="4" t="s">
        <v>5</v>
      </c>
      <c r="F4" s="4" t="s">
        <v>10</v>
      </c>
      <c r="G4" s="4" t="s">
        <v>276</v>
      </c>
      <c r="H4" s="4" t="s">
        <v>8</v>
      </c>
      <c r="I4" s="4" t="s">
        <v>32</v>
      </c>
      <c r="J4" s="4" t="s">
        <v>206</v>
      </c>
      <c r="K4" s="4" t="s">
        <v>207</v>
      </c>
      <c r="L4" s="4" t="s">
        <v>208</v>
      </c>
      <c r="M4" s="4" t="s">
        <v>209</v>
      </c>
    </row>
    <row r="5" spans="1:13" x14ac:dyDescent="0.3">
      <c r="A5" s="9" t="s">
        <v>589</v>
      </c>
      <c r="B5" s="9">
        <v>73413</v>
      </c>
      <c r="C5" s="9">
        <v>0</v>
      </c>
      <c r="D5" s="7">
        <v>102</v>
      </c>
      <c r="E5" s="7" t="s">
        <v>60</v>
      </c>
      <c r="F5" t="s">
        <v>590</v>
      </c>
      <c r="G5" s="7">
        <v>102</v>
      </c>
      <c r="H5" s="7" t="s">
        <v>53</v>
      </c>
      <c r="I5" s="7">
        <v>443</v>
      </c>
      <c r="J5" s="7" t="s">
        <v>435</v>
      </c>
      <c r="K5" s="7" t="s">
        <v>301</v>
      </c>
      <c r="L5" s="7" t="s">
        <v>58</v>
      </c>
      <c r="M5" s="7" t="s">
        <v>54</v>
      </c>
    </row>
    <row r="6" spans="1:13" x14ac:dyDescent="0.3">
      <c r="A6" s="9" t="s">
        <v>591</v>
      </c>
      <c r="B6" s="9">
        <v>70537</v>
      </c>
      <c r="C6" s="9">
        <v>0</v>
      </c>
      <c r="D6" s="7">
        <v>102</v>
      </c>
      <c r="E6" s="7" t="s">
        <v>60</v>
      </c>
      <c r="F6" t="s">
        <v>592</v>
      </c>
      <c r="G6" s="7">
        <v>102</v>
      </c>
      <c r="H6" s="7" t="s">
        <v>53</v>
      </c>
      <c r="I6" s="7">
        <v>2</v>
      </c>
      <c r="J6" s="7" t="s">
        <v>435</v>
      </c>
      <c r="K6" s="7" t="s">
        <v>301</v>
      </c>
      <c r="L6" s="7" t="s">
        <v>58</v>
      </c>
      <c r="M6" s="7" t="s">
        <v>54</v>
      </c>
    </row>
    <row r="7" spans="1:13" x14ac:dyDescent="0.3">
      <c r="A7" s="9" t="s">
        <v>593</v>
      </c>
      <c r="B7" s="9">
        <v>70024</v>
      </c>
      <c r="C7" s="9">
        <v>0</v>
      </c>
      <c r="D7" s="7">
        <v>102</v>
      </c>
      <c r="E7" s="7" t="s">
        <v>60</v>
      </c>
      <c r="F7" t="s">
        <v>594</v>
      </c>
      <c r="G7" s="7">
        <v>102</v>
      </c>
      <c r="H7" s="7" t="s">
        <v>53</v>
      </c>
      <c r="I7" s="7">
        <v>110</v>
      </c>
      <c r="J7" s="7" t="s">
        <v>435</v>
      </c>
      <c r="K7" s="7" t="s">
        <v>301</v>
      </c>
      <c r="L7" s="7" t="s">
        <v>58</v>
      </c>
      <c r="M7" s="7" t="s">
        <v>54</v>
      </c>
    </row>
    <row r="8" spans="1:13" x14ac:dyDescent="0.3">
      <c r="A8" s="9" t="s">
        <v>595</v>
      </c>
      <c r="B8" s="9">
        <v>73289</v>
      </c>
      <c r="C8" s="9">
        <v>0</v>
      </c>
      <c r="D8" s="7">
        <v>102</v>
      </c>
      <c r="E8" s="7" t="s">
        <v>60</v>
      </c>
      <c r="F8" t="s">
        <v>596</v>
      </c>
      <c r="G8" s="7">
        <v>102</v>
      </c>
      <c r="H8" s="7" t="s">
        <v>53</v>
      </c>
      <c r="I8" s="7">
        <v>25</v>
      </c>
      <c r="J8" s="7" t="s">
        <v>435</v>
      </c>
      <c r="K8" s="7" t="s">
        <v>301</v>
      </c>
      <c r="L8" s="7" t="s">
        <v>58</v>
      </c>
      <c r="M8" s="7" t="s">
        <v>54</v>
      </c>
    </row>
    <row r="9" spans="1:13" x14ac:dyDescent="0.3">
      <c r="A9" s="9" t="s">
        <v>597</v>
      </c>
      <c r="B9" s="9">
        <v>70011</v>
      </c>
      <c r="C9" s="9">
        <v>0</v>
      </c>
      <c r="D9" s="7">
        <v>102</v>
      </c>
      <c r="E9" s="7" t="s">
        <v>59</v>
      </c>
      <c r="F9" t="s">
        <v>598</v>
      </c>
      <c r="G9" s="7">
        <v>102</v>
      </c>
      <c r="H9" s="7" t="s">
        <v>52</v>
      </c>
      <c r="I9" s="7">
        <v>2</v>
      </c>
      <c r="J9" s="7" t="s">
        <v>434</v>
      </c>
      <c r="K9" s="7" t="s">
        <v>303</v>
      </c>
      <c r="L9" s="7" t="s">
        <v>58</v>
      </c>
    </row>
    <row r="10" spans="1:13" x14ac:dyDescent="0.3">
      <c r="A10" s="9" t="s">
        <v>599</v>
      </c>
      <c r="B10" s="9">
        <v>70013</v>
      </c>
      <c r="C10" s="9">
        <v>0</v>
      </c>
      <c r="D10" s="7">
        <v>102</v>
      </c>
      <c r="E10" s="7" t="s">
        <v>59</v>
      </c>
      <c r="F10" t="s">
        <v>600</v>
      </c>
      <c r="G10" s="7">
        <v>102</v>
      </c>
      <c r="H10" s="7" t="s">
        <v>52</v>
      </c>
      <c r="I10" s="7">
        <v>30</v>
      </c>
      <c r="J10" s="7" t="s">
        <v>434</v>
      </c>
      <c r="K10" s="7" t="s">
        <v>303</v>
      </c>
      <c r="L10" s="7" t="s">
        <v>58</v>
      </c>
    </row>
    <row r="11" spans="1:13" x14ac:dyDescent="0.3">
      <c r="A11" s="9" t="s">
        <v>601</v>
      </c>
      <c r="B11" s="9">
        <v>73569</v>
      </c>
      <c r="C11" s="9">
        <v>0</v>
      </c>
      <c r="D11" s="7">
        <v>102</v>
      </c>
      <c r="E11" s="7" t="s">
        <v>60</v>
      </c>
      <c r="F11" t="s">
        <v>602</v>
      </c>
      <c r="G11" s="7">
        <v>102</v>
      </c>
      <c r="H11" s="7" t="s">
        <v>53</v>
      </c>
      <c r="I11" s="7">
        <v>55</v>
      </c>
      <c r="J11" s="7" t="s">
        <v>435</v>
      </c>
      <c r="K11" s="7" t="s">
        <v>301</v>
      </c>
      <c r="L11" s="7" t="s">
        <v>58</v>
      </c>
      <c r="M11" s="7" t="s">
        <v>54</v>
      </c>
    </row>
    <row r="12" spans="1:13" x14ac:dyDescent="0.3">
      <c r="A12" s="9" t="s">
        <v>603</v>
      </c>
      <c r="B12" s="9">
        <v>73523</v>
      </c>
      <c r="C12" s="9">
        <v>1</v>
      </c>
      <c r="D12" s="7">
        <v>102</v>
      </c>
      <c r="E12" s="7" t="s">
        <v>60</v>
      </c>
      <c r="F12" t="s">
        <v>604</v>
      </c>
      <c r="G12" s="7">
        <v>102</v>
      </c>
      <c r="H12" s="7" t="s">
        <v>53</v>
      </c>
      <c r="J12" s="7" t="s">
        <v>435</v>
      </c>
      <c r="K12" s="7" t="s">
        <v>301</v>
      </c>
      <c r="L12" s="7" t="s">
        <v>58</v>
      </c>
      <c r="M12" s="7" t="s">
        <v>54</v>
      </c>
    </row>
    <row r="13" spans="1:13" x14ac:dyDescent="0.3">
      <c r="A13" s="9" t="s">
        <v>605</v>
      </c>
      <c r="B13" s="9">
        <v>73519</v>
      </c>
      <c r="C13" s="9">
        <v>0</v>
      </c>
      <c r="D13" s="7">
        <v>102</v>
      </c>
      <c r="E13" s="7" t="s">
        <v>59</v>
      </c>
      <c r="F13" t="s">
        <v>606</v>
      </c>
      <c r="G13" s="7">
        <v>102</v>
      </c>
      <c r="H13" s="7" t="s">
        <v>52</v>
      </c>
      <c r="I13" s="7">
        <v>2</v>
      </c>
      <c r="J13" s="7" t="s">
        <v>434</v>
      </c>
      <c r="K13" s="7" t="s">
        <v>303</v>
      </c>
      <c r="L13" s="7" t="s">
        <v>58</v>
      </c>
    </row>
    <row r="14" spans="1:13" x14ac:dyDescent="0.3">
      <c r="A14" s="9" t="s">
        <v>607</v>
      </c>
      <c r="B14" s="9">
        <v>99031</v>
      </c>
      <c r="C14" s="9">
        <v>182</v>
      </c>
      <c r="D14" s="7">
        <v>102</v>
      </c>
      <c r="E14" s="7" t="s">
        <v>59</v>
      </c>
      <c r="F14" t="s">
        <v>608</v>
      </c>
      <c r="G14" s="7">
        <v>102</v>
      </c>
      <c r="H14" s="7" t="s">
        <v>52</v>
      </c>
      <c r="I14" s="7">
        <v>2</v>
      </c>
      <c r="J14" s="7" t="s">
        <v>434</v>
      </c>
      <c r="K14" s="7" t="s">
        <v>303</v>
      </c>
      <c r="L14" s="7" t="s">
        <v>58</v>
      </c>
    </row>
    <row r="15" spans="1:13" x14ac:dyDescent="0.3">
      <c r="A15" s="9" t="s">
        <v>609</v>
      </c>
      <c r="B15" s="9">
        <v>99031</v>
      </c>
      <c r="C15" s="9">
        <v>104</v>
      </c>
      <c r="D15" s="7">
        <v>102</v>
      </c>
      <c r="E15" s="7" t="s">
        <v>60</v>
      </c>
      <c r="F15" t="s">
        <v>610</v>
      </c>
      <c r="G15" s="7">
        <v>102</v>
      </c>
      <c r="H15" s="7" t="s">
        <v>53</v>
      </c>
      <c r="I15" s="7">
        <v>2</v>
      </c>
      <c r="J15" s="7" t="s">
        <v>435</v>
      </c>
      <c r="K15" s="7" t="s">
        <v>301</v>
      </c>
      <c r="L15" s="7" t="s">
        <v>58</v>
      </c>
      <c r="M15" s="7" t="s">
        <v>54</v>
      </c>
    </row>
    <row r="16" spans="1:13" x14ac:dyDescent="0.3">
      <c r="A16" s="9" t="s">
        <v>611</v>
      </c>
      <c r="B16" s="9">
        <v>99031</v>
      </c>
      <c r="C16" s="9">
        <v>189</v>
      </c>
      <c r="D16" s="7">
        <v>102</v>
      </c>
      <c r="E16" s="7" t="s">
        <v>53</v>
      </c>
      <c r="F16" t="s">
        <v>612</v>
      </c>
      <c r="G16" s="7">
        <v>102</v>
      </c>
      <c r="H16" s="7" t="s">
        <v>58</v>
      </c>
      <c r="I16" s="7">
        <v>4</v>
      </c>
      <c r="J16" s="7" t="s">
        <v>434</v>
      </c>
      <c r="K16" s="7" t="s">
        <v>303</v>
      </c>
      <c r="L16" s="7" t="s">
        <v>59</v>
      </c>
    </row>
    <row r="17" spans="1:12" x14ac:dyDescent="0.3">
      <c r="A17" s="9" t="s">
        <v>613</v>
      </c>
      <c r="B17" s="9">
        <v>73590</v>
      </c>
      <c r="C17" s="9">
        <v>0</v>
      </c>
      <c r="D17" s="7">
        <v>102</v>
      </c>
      <c r="E17" s="7" t="s">
        <v>52</v>
      </c>
      <c r="F17" t="s">
        <v>614</v>
      </c>
      <c r="G17" s="7">
        <v>102</v>
      </c>
      <c r="H17" s="7" t="s">
        <v>53</v>
      </c>
      <c r="I17" s="7">
        <v>12</v>
      </c>
      <c r="J17" s="7" t="s">
        <v>434</v>
      </c>
      <c r="K17" s="7" t="s">
        <v>303</v>
      </c>
      <c r="L17" s="7" t="s">
        <v>60</v>
      </c>
    </row>
    <row r="18" spans="1:12" x14ac:dyDescent="0.3">
      <c r="A18" s="9" t="s">
        <v>615</v>
      </c>
      <c r="B18" s="9">
        <v>73444</v>
      </c>
      <c r="C18" s="9">
        <v>0</v>
      </c>
      <c r="D18" s="7">
        <v>102</v>
      </c>
      <c r="E18" s="7" t="s">
        <v>52</v>
      </c>
      <c r="F18" t="s">
        <v>616</v>
      </c>
      <c r="G18" s="7">
        <v>102</v>
      </c>
      <c r="H18" s="7" t="s">
        <v>53</v>
      </c>
      <c r="I18" s="7">
        <v>44</v>
      </c>
      <c r="J18" s="7" t="s">
        <v>434</v>
      </c>
      <c r="K18" s="7" t="s">
        <v>303</v>
      </c>
      <c r="L18" s="7" t="s">
        <v>60</v>
      </c>
    </row>
    <row r="19" spans="1:12" x14ac:dyDescent="0.3">
      <c r="A19" s="9" t="s">
        <v>617</v>
      </c>
      <c r="B19" s="9">
        <v>71146</v>
      </c>
      <c r="C19" s="9">
        <v>0</v>
      </c>
      <c r="D19" s="7">
        <v>102</v>
      </c>
      <c r="E19" s="7" t="s">
        <v>52</v>
      </c>
      <c r="F19" t="s">
        <v>618</v>
      </c>
      <c r="G19" s="7">
        <v>102</v>
      </c>
      <c r="H19" s="7" t="s">
        <v>53</v>
      </c>
      <c r="I19" s="7">
        <v>35</v>
      </c>
      <c r="J19" s="7" t="s">
        <v>434</v>
      </c>
      <c r="K19" s="7" t="s">
        <v>303</v>
      </c>
      <c r="L19" s="7" t="s">
        <v>60</v>
      </c>
    </row>
    <row r="20" spans="1:12" x14ac:dyDescent="0.3">
      <c r="A20" s="9" t="s">
        <v>619</v>
      </c>
      <c r="B20" s="9">
        <v>99061</v>
      </c>
      <c r="C20" s="9">
        <v>112</v>
      </c>
      <c r="D20" s="7">
        <v>102</v>
      </c>
      <c r="E20" s="7" t="s">
        <v>52</v>
      </c>
      <c r="F20" t="s">
        <v>620</v>
      </c>
      <c r="G20" s="7">
        <v>102</v>
      </c>
      <c r="H20" s="7" t="s">
        <v>53</v>
      </c>
      <c r="I20" s="7">
        <v>29</v>
      </c>
      <c r="J20" s="7" t="s">
        <v>434</v>
      </c>
      <c r="K20" s="7" t="s">
        <v>303</v>
      </c>
      <c r="L20" s="7" t="s">
        <v>60</v>
      </c>
    </row>
    <row r="21" spans="1:12" x14ac:dyDescent="0.3">
      <c r="A21" s="9" t="s">
        <v>621</v>
      </c>
      <c r="B21" s="9">
        <v>71159</v>
      </c>
      <c r="C21" s="9">
        <v>0</v>
      </c>
      <c r="D21" s="7">
        <v>102</v>
      </c>
      <c r="E21" s="7" t="s">
        <v>52</v>
      </c>
      <c r="F21" t="s">
        <v>622</v>
      </c>
      <c r="G21" s="7">
        <v>102</v>
      </c>
      <c r="H21" s="7" t="s">
        <v>53</v>
      </c>
      <c r="I21" s="7">
        <v>122</v>
      </c>
      <c r="J21" s="7" t="s">
        <v>434</v>
      </c>
      <c r="K21" s="7" t="s">
        <v>303</v>
      </c>
      <c r="L21" s="7" t="s">
        <v>60</v>
      </c>
    </row>
    <row r="22" spans="1:12" x14ac:dyDescent="0.3">
      <c r="A22" s="9" t="s">
        <v>623</v>
      </c>
      <c r="B22" s="9">
        <v>71161</v>
      </c>
      <c r="C22" s="9">
        <v>0</v>
      </c>
      <c r="D22" s="7">
        <v>102</v>
      </c>
      <c r="E22" s="7" t="s">
        <v>52</v>
      </c>
      <c r="F22" t="s">
        <v>624</v>
      </c>
      <c r="G22" s="7">
        <v>102</v>
      </c>
      <c r="H22" s="7" t="s">
        <v>53</v>
      </c>
      <c r="I22" s="7">
        <v>2</v>
      </c>
      <c r="J22" s="7" t="s">
        <v>434</v>
      </c>
      <c r="K22" s="7" t="s">
        <v>303</v>
      </c>
      <c r="L22" s="7" t="s">
        <v>60</v>
      </c>
    </row>
    <row r="23" spans="1:12" x14ac:dyDescent="0.3">
      <c r="A23" s="9" t="s">
        <v>625</v>
      </c>
      <c r="B23" s="9">
        <v>71163</v>
      </c>
      <c r="C23" s="9">
        <v>0</v>
      </c>
      <c r="D23" s="7">
        <v>102</v>
      </c>
      <c r="E23" s="7" t="s">
        <v>52</v>
      </c>
      <c r="F23" t="s">
        <v>626</v>
      </c>
      <c r="G23" s="7">
        <v>102</v>
      </c>
      <c r="H23" s="7" t="s">
        <v>53</v>
      </c>
      <c r="I23" s="7">
        <v>22</v>
      </c>
      <c r="J23" s="7" t="s">
        <v>434</v>
      </c>
      <c r="K23" s="7" t="s">
        <v>303</v>
      </c>
      <c r="L23" s="7" t="s">
        <v>60</v>
      </c>
    </row>
    <row r="24" spans="1:12" x14ac:dyDescent="0.3">
      <c r="A24" s="9" t="s">
        <v>627</v>
      </c>
      <c r="B24" s="9">
        <v>99031</v>
      </c>
      <c r="C24" s="9">
        <v>92</v>
      </c>
      <c r="D24" s="7">
        <v>102</v>
      </c>
      <c r="E24" s="7" t="s">
        <v>52</v>
      </c>
      <c r="F24" t="s">
        <v>628</v>
      </c>
      <c r="G24" s="7">
        <v>102</v>
      </c>
      <c r="H24" s="7" t="s">
        <v>53</v>
      </c>
      <c r="I24" s="7">
        <v>4</v>
      </c>
      <c r="J24" s="7" t="s">
        <v>434</v>
      </c>
      <c r="K24" s="7" t="s">
        <v>303</v>
      </c>
      <c r="L24" s="7" t="s">
        <v>60</v>
      </c>
    </row>
  </sheetData>
  <phoneticPr fontId="1" type="noConversion"/>
  <pageMargins left="0.7" right="0.7" top="0.75" bottom="0.75" header="0.3" footer="0.3"/>
  <pageSetup scale="69" fitToHeight="0" orientation="landscape" r:id="rId1"/>
  <headerFooter>
    <oddHeader>&amp;L&amp;A&amp;C&amp;D&amp;RPage &amp;P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3C711-8D85-4E5D-854C-47ECC73F5179}">
  <sheetPr codeName="Sheet4">
    <pageSetUpPr fitToPage="1"/>
  </sheetPr>
  <dimension ref="A1:N32"/>
  <sheetViews>
    <sheetView zoomScale="98" zoomScaleNormal="98" workbookViewId="0">
      <selection activeCell="G5" sqref="G5"/>
    </sheetView>
  </sheetViews>
  <sheetFormatPr defaultRowHeight="14.4" x14ac:dyDescent="0.3"/>
  <cols>
    <col min="1" max="1" width="11.21875" style="9" bestFit="1" customWidth="1"/>
    <col min="2" max="2" width="12.77734375" style="9" bestFit="1" customWidth="1"/>
    <col min="3" max="3" width="7.77734375" style="7" customWidth="1"/>
    <col min="4" max="4" width="9.77734375" style="7" customWidth="1"/>
    <col min="5" max="5" width="7.33203125" style="7" customWidth="1"/>
    <col min="6" max="6" width="9.88671875" style="7" customWidth="1"/>
    <col min="7" max="7" width="36.77734375" style="7" customWidth="1"/>
    <col min="8" max="8" width="11.109375" style="7" customWidth="1"/>
    <col min="9" max="9" width="17.6640625" style="7" customWidth="1"/>
    <col min="10" max="10" width="12.88671875" style="7" customWidth="1"/>
    <col min="11" max="11" width="43.77734375" bestFit="1" customWidth="1"/>
    <col min="12" max="12" width="21" style="7" bestFit="1" customWidth="1"/>
    <col min="13" max="13" width="46.77734375" style="7" bestFit="1" customWidth="1"/>
    <col min="14" max="14" width="35.44140625" style="7" bestFit="1" customWidth="1"/>
    <col min="15" max="15" width="12" bestFit="1" customWidth="1"/>
    <col min="16" max="17" width="20.21875" customWidth="1"/>
  </cols>
  <sheetData>
    <row r="1" spans="1:14" ht="49.8" customHeight="1" x14ac:dyDescent="0.3">
      <c r="A1" s="8" t="s">
        <v>272</v>
      </c>
      <c r="B1" s="8" t="s">
        <v>273</v>
      </c>
      <c r="C1" s="4" t="s">
        <v>275</v>
      </c>
      <c r="D1" s="4" t="s">
        <v>5</v>
      </c>
      <c r="E1" s="4" t="s">
        <v>276</v>
      </c>
      <c r="F1" s="4" t="s">
        <v>8</v>
      </c>
      <c r="G1" s="4" t="s">
        <v>10</v>
      </c>
      <c r="H1" s="4" t="s">
        <v>13</v>
      </c>
      <c r="I1" s="4" t="s">
        <v>207</v>
      </c>
      <c r="J1" s="4" t="s">
        <v>208</v>
      </c>
      <c r="L1"/>
      <c r="M1"/>
      <c r="N1"/>
    </row>
    <row r="2" spans="1:14" x14ac:dyDescent="0.3">
      <c r="A2" s="9">
        <v>70537</v>
      </c>
      <c r="B2" s="9">
        <v>0</v>
      </c>
      <c r="C2" s="7">
        <v>102</v>
      </c>
      <c r="D2" s="7" t="s">
        <v>60</v>
      </c>
      <c r="E2" s="7">
        <v>102</v>
      </c>
      <c r="F2" s="7" t="s">
        <v>53</v>
      </c>
      <c r="G2" t="s">
        <v>592</v>
      </c>
      <c r="H2" s="7" t="s">
        <v>300</v>
      </c>
      <c r="I2" s="7" t="s">
        <v>301</v>
      </c>
      <c r="J2" s="7" t="s">
        <v>58</v>
      </c>
      <c r="L2"/>
      <c r="M2"/>
      <c r="N2"/>
    </row>
    <row r="3" spans="1:14" x14ac:dyDescent="0.3">
      <c r="A3" s="9">
        <v>73289</v>
      </c>
      <c r="B3" s="9">
        <v>0</v>
      </c>
      <c r="C3" s="7">
        <v>102</v>
      </c>
      <c r="D3" s="7" t="s">
        <v>60</v>
      </c>
      <c r="E3" s="7">
        <v>102</v>
      </c>
      <c r="F3" s="7" t="s">
        <v>53</v>
      </c>
      <c r="G3" t="s">
        <v>596</v>
      </c>
      <c r="H3" s="7" t="s">
        <v>300</v>
      </c>
      <c r="I3" s="7" t="s">
        <v>301</v>
      </c>
      <c r="J3" s="7" t="s">
        <v>58</v>
      </c>
      <c r="L3"/>
      <c r="M3"/>
      <c r="N3"/>
    </row>
    <row r="4" spans="1:14" x14ac:dyDescent="0.3">
      <c r="A4" s="9">
        <v>73569</v>
      </c>
      <c r="B4" s="9">
        <v>0</v>
      </c>
      <c r="C4" s="7">
        <v>102</v>
      </c>
      <c r="D4" s="7" t="s">
        <v>60</v>
      </c>
      <c r="E4" s="7">
        <v>102</v>
      </c>
      <c r="F4" s="7" t="s">
        <v>53</v>
      </c>
      <c r="G4" t="s">
        <v>602</v>
      </c>
      <c r="H4" s="7" t="s">
        <v>300</v>
      </c>
      <c r="I4" s="7" t="s">
        <v>301</v>
      </c>
      <c r="J4" s="7" t="s">
        <v>58</v>
      </c>
      <c r="L4"/>
      <c r="M4"/>
      <c r="N4"/>
    </row>
    <row r="5" spans="1:14" x14ac:dyDescent="0.3">
      <c r="A5" s="9">
        <v>70024</v>
      </c>
      <c r="B5" s="9">
        <v>0</v>
      </c>
      <c r="C5" s="7">
        <v>102</v>
      </c>
      <c r="D5" s="7" t="s">
        <v>60</v>
      </c>
      <c r="E5" s="7">
        <v>102</v>
      </c>
      <c r="F5" s="7" t="s">
        <v>53</v>
      </c>
      <c r="G5" t="s">
        <v>594</v>
      </c>
      <c r="H5" s="7" t="s">
        <v>300</v>
      </c>
      <c r="I5" s="7" t="s">
        <v>301</v>
      </c>
      <c r="J5" s="7" t="s">
        <v>58</v>
      </c>
      <c r="L5"/>
      <c r="M5"/>
      <c r="N5"/>
    </row>
    <row r="6" spans="1:14" x14ac:dyDescent="0.3">
      <c r="A6" s="9">
        <v>73413</v>
      </c>
      <c r="B6" s="9">
        <v>0</v>
      </c>
      <c r="C6" s="7">
        <v>102</v>
      </c>
      <c r="D6" s="7" t="s">
        <v>60</v>
      </c>
      <c r="E6" s="7">
        <v>102</v>
      </c>
      <c r="F6" s="7" t="s">
        <v>53</v>
      </c>
      <c r="G6" t="s">
        <v>590</v>
      </c>
      <c r="H6" s="7" t="s">
        <v>300</v>
      </c>
      <c r="I6" s="7" t="s">
        <v>301</v>
      </c>
      <c r="J6" s="7" t="s">
        <v>58</v>
      </c>
      <c r="L6"/>
      <c r="M6"/>
      <c r="N6"/>
    </row>
    <row r="7" spans="1:14" x14ac:dyDescent="0.3">
      <c r="A7" s="9">
        <v>99031</v>
      </c>
      <c r="B7" s="9">
        <v>104</v>
      </c>
      <c r="C7" s="7">
        <v>102</v>
      </c>
      <c r="D7" s="7" t="s">
        <v>60</v>
      </c>
      <c r="E7" s="7">
        <v>102</v>
      </c>
      <c r="F7" s="7" t="s">
        <v>53</v>
      </c>
      <c r="G7" t="s">
        <v>610</v>
      </c>
      <c r="H7" s="7" t="s">
        <v>300</v>
      </c>
      <c r="I7" s="7" t="s">
        <v>301</v>
      </c>
      <c r="J7" s="7" t="s">
        <v>58</v>
      </c>
      <c r="L7"/>
      <c r="M7"/>
      <c r="N7"/>
    </row>
    <row r="8" spans="1:14" x14ac:dyDescent="0.3">
      <c r="A8" s="9">
        <v>73523</v>
      </c>
      <c r="B8" s="9">
        <v>1</v>
      </c>
      <c r="C8" s="7">
        <v>102</v>
      </c>
      <c r="D8" s="7" t="s">
        <v>60</v>
      </c>
      <c r="E8" s="7">
        <v>102</v>
      </c>
      <c r="F8" s="7" t="s">
        <v>53</v>
      </c>
      <c r="G8" t="s">
        <v>604</v>
      </c>
      <c r="H8" s="7" t="s">
        <v>300</v>
      </c>
      <c r="I8" s="7" t="s">
        <v>301</v>
      </c>
      <c r="J8" s="7" t="s">
        <v>58</v>
      </c>
      <c r="L8"/>
      <c r="M8"/>
      <c r="N8"/>
    </row>
    <row r="9" spans="1:14" x14ac:dyDescent="0.3">
      <c r="L9"/>
      <c r="M9"/>
      <c r="N9"/>
    </row>
    <row r="10" spans="1:14" x14ac:dyDescent="0.3">
      <c r="L10"/>
      <c r="M10"/>
      <c r="N10"/>
    </row>
    <row r="11" spans="1:14" x14ac:dyDescent="0.3">
      <c r="L11"/>
      <c r="M11"/>
      <c r="N11"/>
    </row>
    <row r="12" spans="1:14" x14ac:dyDescent="0.3">
      <c r="L12"/>
      <c r="M12"/>
      <c r="N12"/>
    </row>
    <row r="13" spans="1:14" x14ac:dyDescent="0.3">
      <c r="L13"/>
      <c r="M13"/>
      <c r="N13"/>
    </row>
    <row r="14" spans="1:14" x14ac:dyDescent="0.3">
      <c r="L14"/>
      <c r="M14"/>
      <c r="N14"/>
    </row>
    <row r="15" spans="1:14" x14ac:dyDescent="0.3">
      <c r="L15"/>
      <c r="M15"/>
      <c r="N15"/>
    </row>
    <row r="16" spans="1:14" x14ac:dyDescent="0.3">
      <c r="L16"/>
      <c r="M16"/>
      <c r="N16"/>
    </row>
    <row r="17" spans="12:14" x14ac:dyDescent="0.3">
      <c r="L17"/>
      <c r="M17"/>
      <c r="N17"/>
    </row>
    <row r="18" spans="12:14" x14ac:dyDescent="0.3">
      <c r="L18"/>
      <c r="M18"/>
      <c r="N18"/>
    </row>
    <row r="19" spans="12:14" x14ac:dyDescent="0.3">
      <c r="L19"/>
      <c r="M19"/>
      <c r="N19"/>
    </row>
    <row r="20" spans="12:14" x14ac:dyDescent="0.3">
      <c r="L20"/>
      <c r="M20"/>
      <c r="N20"/>
    </row>
    <row r="21" spans="12:14" x14ac:dyDescent="0.3">
      <c r="L21"/>
      <c r="M21"/>
      <c r="N21"/>
    </row>
    <row r="22" spans="12:14" x14ac:dyDescent="0.3">
      <c r="L22"/>
      <c r="M22"/>
      <c r="N22"/>
    </row>
    <row r="23" spans="12:14" x14ac:dyDescent="0.3">
      <c r="L23"/>
      <c r="M23"/>
      <c r="N23"/>
    </row>
    <row r="24" spans="12:14" x14ac:dyDescent="0.3">
      <c r="L24"/>
      <c r="M24"/>
      <c r="N24"/>
    </row>
    <row r="25" spans="12:14" x14ac:dyDescent="0.3">
      <c r="L25"/>
      <c r="M25"/>
      <c r="N25"/>
    </row>
    <row r="26" spans="12:14" x14ac:dyDescent="0.3">
      <c r="L26"/>
      <c r="M26"/>
      <c r="N26"/>
    </row>
    <row r="27" spans="12:14" x14ac:dyDescent="0.3">
      <c r="L27"/>
      <c r="M27"/>
      <c r="N27"/>
    </row>
    <row r="28" spans="12:14" x14ac:dyDescent="0.3">
      <c r="L28"/>
      <c r="M28"/>
      <c r="N28"/>
    </row>
    <row r="29" spans="12:14" x14ac:dyDescent="0.3">
      <c r="L29"/>
      <c r="M29"/>
      <c r="N29"/>
    </row>
    <row r="30" spans="12:14" x14ac:dyDescent="0.3">
      <c r="L30"/>
      <c r="M30"/>
      <c r="N30"/>
    </row>
    <row r="31" spans="12:14" x14ac:dyDescent="0.3">
      <c r="L31"/>
      <c r="M31"/>
      <c r="N31"/>
    </row>
    <row r="32" spans="12:14" x14ac:dyDescent="0.3">
      <c r="L32"/>
      <c r="M32"/>
      <c r="N32"/>
    </row>
  </sheetData>
  <phoneticPr fontId="1" type="noConversion"/>
  <pageMargins left="0.45" right="0.45" top="0.5" bottom="0.5" header="0.3" footer="0.3"/>
  <pageSetup scale="93" fitToHeight="0" orientation="landscape" r:id="rId1"/>
  <headerFooter>
    <oddHeader>&amp;CService: "Large Gap" Special Deliverys needed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4D0A0-EDD0-4AB0-A723-4D809E280F20}">
  <sheetPr codeName="Sheet5"/>
  <dimension ref="A4:J233"/>
  <sheetViews>
    <sheetView topLeftCell="A5" zoomScaleNormal="100" zoomScaleSheetLayoutView="148" workbookViewId="0">
      <selection activeCell="C9" sqref="C9"/>
    </sheetView>
  </sheetViews>
  <sheetFormatPr defaultRowHeight="14.4" x14ac:dyDescent="0.3"/>
  <cols>
    <col min="1" max="1" width="10.33203125" bestFit="1" customWidth="1"/>
    <col min="2" max="2" width="11.44140625" bestFit="1" customWidth="1"/>
    <col min="3" max="3" width="8.109375" style="7" customWidth="1"/>
    <col min="4" max="4" width="7" style="7" customWidth="1"/>
    <col min="5" max="5" width="8.33203125" style="7" customWidth="1"/>
    <col min="6" max="6" width="32.109375" style="7" customWidth="1"/>
    <col min="7" max="7" width="14.5546875" style="7" customWidth="1"/>
    <col min="8" max="8" width="19.33203125" style="7" bestFit="1" customWidth="1"/>
    <col min="9" max="9" width="34.21875" bestFit="1" customWidth="1"/>
    <col min="10" max="10" width="32.44140625" style="7" bestFit="1" customWidth="1"/>
    <col min="11" max="11" width="20.21875" bestFit="1" customWidth="1"/>
    <col min="12" max="12" width="22.6640625" bestFit="1" customWidth="1"/>
  </cols>
  <sheetData>
    <row r="4" spans="1:10" s="4" customFormat="1" ht="45" customHeight="1" x14ac:dyDescent="0.3">
      <c r="A4" s="4" t="s">
        <v>272</v>
      </c>
      <c r="B4" s="4" t="s">
        <v>273</v>
      </c>
      <c r="C4" s="4" t="s">
        <v>5</v>
      </c>
      <c r="D4" s="4" t="s">
        <v>276</v>
      </c>
      <c r="E4" s="4" t="s">
        <v>8</v>
      </c>
      <c r="F4" s="4" t="s">
        <v>10</v>
      </c>
      <c r="G4" s="4" t="s">
        <v>207</v>
      </c>
    </row>
    <row r="5" spans="1:10" x14ac:dyDescent="0.3">
      <c r="A5">
        <v>99031</v>
      </c>
      <c r="B5">
        <v>189</v>
      </c>
      <c r="C5" s="7" t="s">
        <v>53</v>
      </c>
      <c r="D5" s="7">
        <v>102</v>
      </c>
      <c r="E5" s="7" t="s">
        <v>58</v>
      </c>
      <c r="F5" t="s">
        <v>612</v>
      </c>
      <c r="G5" s="7" t="s">
        <v>303</v>
      </c>
      <c r="H5"/>
      <c r="J5"/>
    </row>
    <row r="6" spans="1:10" x14ac:dyDescent="0.3">
      <c r="A6">
        <v>70537</v>
      </c>
      <c r="B6">
        <v>0</v>
      </c>
      <c r="C6" s="7" t="s">
        <v>60</v>
      </c>
      <c r="D6" s="7">
        <v>102</v>
      </c>
      <c r="E6" s="7" t="s">
        <v>53</v>
      </c>
      <c r="F6" t="s">
        <v>592</v>
      </c>
      <c r="G6" s="7" t="s">
        <v>301</v>
      </c>
      <c r="H6"/>
      <c r="J6"/>
    </row>
    <row r="7" spans="1:10" x14ac:dyDescent="0.3">
      <c r="A7">
        <v>73289</v>
      </c>
      <c r="B7">
        <v>0</v>
      </c>
      <c r="C7" s="7" t="s">
        <v>60</v>
      </c>
      <c r="D7" s="7">
        <v>102</v>
      </c>
      <c r="E7" s="7" t="s">
        <v>53</v>
      </c>
      <c r="F7" t="s">
        <v>596</v>
      </c>
      <c r="G7" s="7" t="s">
        <v>301</v>
      </c>
      <c r="H7"/>
      <c r="J7"/>
    </row>
    <row r="8" spans="1:10" x14ac:dyDescent="0.3">
      <c r="A8">
        <v>73569</v>
      </c>
      <c r="B8">
        <v>0</v>
      </c>
      <c r="C8" s="7" t="s">
        <v>60</v>
      </c>
      <c r="D8" s="7">
        <v>102</v>
      </c>
      <c r="E8" s="7" t="s">
        <v>53</v>
      </c>
      <c r="F8" t="s">
        <v>602</v>
      </c>
      <c r="G8" s="7" t="s">
        <v>301</v>
      </c>
      <c r="H8"/>
      <c r="J8"/>
    </row>
    <row r="9" spans="1:10" x14ac:dyDescent="0.3">
      <c r="A9">
        <v>70024</v>
      </c>
      <c r="B9">
        <v>0</v>
      </c>
      <c r="C9" s="7" t="s">
        <v>60</v>
      </c>
      <c r="D9" s="7">
        <v>102</v>
      </c>
      <c r="E9" s="7" t="s">
        <v>53</v>
      </c>
      <c r="F9" t="s">
        <v>594</v>
      </c>
      <c r="G9" s="7" t="s">
        <v>301</v>
      </c>
      <c r="H9"/>
      <c r="J9"/>
    </row>
    <row r="10" spans="1:10" x14ac:dyDescent="0.3">
      <c r="A10">
        <v>73444</v>
      </c>
      <c r="B10">
        <v>0</v>
      </c>
      <c r="C10" s="7" t="s">
        <v>52</v>
      </c>
      <c r="D10" s="7">
        <v>102</v>
      </c>
      <c r="E10" s="7" t="s">
        <v>53</v>
      </c>
      <c r="F10" t="s">
        <v>616</v>
      </c>
      <c r="G10" s="7" t="s">
        <v>303</v>
      </c>
      <c r="H10"/>
      <c r="J10"/>
    </row>
    <row r="11" spans="1:10" x14ac:dyDescent="0.3">
      <c r="A11">
        <v>99061</v>
      </c>
      <c r="B11">
        <v>112</v>
      </c>
      <c r="C11" s="7" t="s">
        <v>52</v>
      </c>
      <c r="D11" s="7">
        <v>102</v>
      </c>
      <c r="E11" s="7" t="s">
        <v>53</v>
      </c>
      <c r="F11" t="s">
        <v>620</v>
      </c>
      <c r="G11" s="7" t="s">
        <v>303</v>
      </c>
      <c r="H11"/>
      <c r="J11"/>
    </row>
    <row r="12" spans="1:10" x14ac:dyDescent="0.3">
      <c r="A12">
        <v>99161</v>
      </c>
      <c r="B12">
        <v>112</v>
      </c>
      <c r="C12" s="7" t="s">
        <v>52</v>
      </c>
      <c r="D12" s="7">
        <v>102</v>
      </c>
      <c r="E12" s="7" t="s">
        <v>53</v>
      </c>
      <c r="F12" t="s">
        <v>754</v>
      </c>
      <c r="G12" s="7" t="s">
        <v>303</v>
      </c>
      <c r="H12"/>
      <c r="J12"/>
    </row>
    <row r="13" spans="1:10" x14ac:dyDescent="0.3">
      <c r="A13">
        <v>71163</v>
      </c>
      <c r="B13">
        <v>0</v>
      </c>
      <c r="C13" s="7" t="s">
        <v>52</v>
      </c>
      <c r="D13" s="7">
        <v>102</v>
      </c>
      <c r="E13" s="7" t="s">
        <v>53</v>
      </c>
      <c r="F13" t="s">
        <v>626</v>
      </c>
      <c r="G13" s="7" t="s">
        <v>303</v>
      </c>
      <c r="H13"/>
      <c r="J13"/>
    </row>
    <row r="14" spans="1:10" x14ac:dyDescent="0.3">
      <c r="A14">
        <v>71146</v>
      </c>
      <c r="B14">
        <v>0</v>
      </c>
      <c r="C14" s="7" t="s">
        <v>52</v>
      </c>
      <c r="D14" s="7">
        <v>102</v>
      </c>
      <c r="E14" s="7" t="s">
        <v>53</v>
      </c>
      <c r="F14" t="s">
        <v>618</v>
      </c>
      <c r="G14" s="7" t="s">
        <v>303</v>
      </c>
      <c r="H14"/>
      <c r="J14"/>
    </row>
    <row r="15" spans="1:10" x14ac:dyDescent="0.3">
      <c r="A15">
        <v>73590</v>
      </c>
      <c r="B15">
        <v>0</v>
      </c>
      <c r="C15" s="7" t="s">
        <v>52</v>
      </c>
      <c r="D15" s="7">
        <v>102</v>
      </c>
      <c r="E15" s="7" t="s">
        <v>53</v>
      </c>
      <c r="F15" t="s">
        <v>614</v>
      </c>
      <c r="G15" s="7" t="s">
        <v>303</v>
      </c>
      <c r="H15"/>
      <c r="J15"/>
    </row>
    <row r="16" spans="1:10" x14ac:dyDescent="0.3">
      <c r="A16">
        <v>99031</v>
      </c>
      <c r="B16">
        <v>92</v>
      </c>
      <c r="C16" s="7" t="s">
        <v>52</v>
      </c>
      <c r="D16" s="7">
        <v>102</v>
      </c>
      <c r="E16" s="7" t="s">
        <v>53</v>
      </c>
      <c r="F16" t="s">
        <v>628</v>
      </c>
      <c r="G16" s="7" t="s">
        <v>303</v>
      </c>
      <c r="H16"/>
      <c r="J16"/>
    </row>
    <row r="17" spans="1:10" x14ac:dyDescent="0.3">
      <c r="A17">
        <v>71159</v>
      </c>
      <c r="B17">
        <v>0</v>
      </c>
      <c r="C17" s="7" t="s">
        <v>52</v>
      </c>
      <c r="D17" s="7">
        <v>102</v>
      </c>
      <c r="E17" s="7" t="s">
        <v>53</v>
      </c>
      <c r="F17" t="s">
        <v>622</v>
      </c>
      <c r="G17" s="7" t="s">
        <v>303</v>
      </c>
      <c r="H17"/>
      <c r="J17"/>
    </row>
    <row r="18" spans="1:10" x14ac:dyDescent="0.3">
      <c r="A18">
        <v>73190</v>
      </c>
      <c r="B18">
        <v>0</v>
      </c>
      <c r="C18" s="7" t="s">
        <v>52</v>
      </c>
      <c r="D18" s="7">
        <v>102</v>
      </c>
      <c r="E18" s="7" t="s">
        <v>53</v>
      </c>
      <c r="F18" t="s">
        <v>755</v>
      </c>
      <c r="G18" s="7" t="s">
        <v>303</v>
      </c>
      <c r="H18"/>
      <c r="J18"/>
    </row>
    <row r="19" spans="1:10" x14ac:dyDescent="0.3">
      <c r="A19">
        <v>71161</v>
      </c>
      <c r="B19">
        <v>0</v>
      </c>
      <c r="C19" s="7" t="s">
        <v>52</v>
      </c>
      <c r="D19" s="7">
        <v>102</v>
      </c>
      <c r="E19" s="7" t="s">
        <v>53</v>
      </c>
      <c r="F19" t="s">
        <v>624</v>
      </c>
      <c r="G19" s="7" t="s">
        <v>303</v>
      </c>
      <c r="H19"/>
      <c r="J19"/>
    </row>
    <row r="20" spans="1:10" x14ac:dyDescent="0.3">
      <c r="A20">
        <v>73523</v>
      </c>
      <c r="B20">
        <v>0</v>
      </c>
      <c r="C20" s="7" t="s">
        <v>52</v>
      </c>
      <c r="D20" s="7">
        <v>102</v>
      </c>
      <c r="E20" s="7" t="s">
        <v>53</v>
      </c>
      <c r="F20" t="s">
        <v>756</v>
      </c>
      <c r="G20" s="7" t="s">
        <v>303</v>
      </c>
      <c r="H20"/>
      <c r="J20"/>
    </row>
    <row r="21" spans="1:10" x14ac:dyDescent="0.3">
      <c r="A21">
        <v>73413</v>
      </c>
      <c r="B21">
        <v>0</v>
      </c>
      <c r="C21" s="7" t="s">
        <v>60</v>
      </c>
      <c r="D21" s="7">
        <v>102</v>
      </c>
      <c r="E21" s="7" t="s">
        <v>53</v>
      </c>
      <c r="F21" t="s">
        <v>590</v>
      </c>
      <c r="G21" s="7" t="s">
        <v>301</v>
      </c>
      <c r="H21"/>
      <c r="J21"/>
    </row>
    <row r="22" spans="1:10" x14ac:dyDescent="0.3">
      <c r="A22">
        <v>99031</v>
      </c>
      <c r="B22">
        <v>104</v>
      </c>
      <c r="C22" s="7" t="s">
        <v>60</v>
      </c>
      <c r="D22" s="7">
        <v>102</v>
      </c>
      <c r="E22" s="7" t="s">
        <v>53</v>
      </c>
      <c r="F22" t="s">
        <v>610</v>
      </c>
      <c r="G22" s="7" t="s">
        <v>301</v>
      </c>
      <c r="H22"/>
      <c r="J22"/>
    </row>
    <row r="23" spans="1:10" x14ac:dyDescent="0.3">
      <c r="A23">
        <v>73523</v>
      </c>
      <c r="B23">
        <v>1</v>
      </c>
      <c r="C23" s="7" t="s">
        <v>60</v>
      </c>
      <c r="D23" s="7">
        <v>102</v>
      </c>
      <c r="E23" s="7" t="s">
        <v>53</v>
      </c>
      <c r="F23" t="s">
        <v>604</v>
      </c>
      <c r="G23" s="7" t="s">
        <v>301</v>
      </c>
      <c r="H23"/>
      <c r="J23"/>
    </row>
    <row r="24" spans="1:10" x14ac:dyDescent="0.3">
      <c r="A24">
        <v>99138</v>
      </c>
      <c r="B24">
        <v>2</v>
      </c>
      <c r="C24" s="7" t="s">
        <v>59</v>
      </c>
      <c r="D24" s="7">
        <v>102</v>
      </c>
      <c r="E24" s="7" t="s">
        <v>52</v>
      </c>
      <c r="F24" t="s">
        <v>757</v>
      </c>
      <c r="G24" s="7" t="s">
        <v>303</v>
      </c>
      <c r="H24"/>
      <c r="J24"/>
    </row>
    <row r="25" spans="1:10" x14ac:dyDescent="0.3">
      <c r="A25">
        <v>70011</v>
      </c>
      <c r="B25">
        <v>0</v>
      </c>
      <c r="C25" s="7" t="s">
        <v>59</v>
      </c>
      <c r="D25" s="7">
        <v>102</v>
      </c>
      <c r="E25" s="7" t="s">
        <v>52</v>
      </c>
      <c r="F25" t="s">
        <v>598</v>
      </c>
      <c r="G25" s="7" t="s">
        <v>303</v>
      </c>
      <c r="H25"/>
      <c r="J25"/>
    </row>
    <row r="26" spans="1:10" x14ac:dyDescent="0.3">
      <c r="A26">
        <v>73519</v>
      </c>
      <c r="B26">
        <v>0</v>
      </c>
      <c r="C26" s="7" t="s">
        <v>59</v>
      </c>
      <c r="D26" s="7">
        <v>102</v>
      </c>
      <c r="E26" s="7" t="s">
        <v>52</v>
      </c>
      <c r="F26" t="s">
        <v>606</v>
      </c>
      <c r="G26" s="7" t="s">
        <v>303</v>
      </c>
      <c r="H26"/>
      <c r="J26"/>
    </row>
    <row r="27" spans="1:10" x14ac:dyDescent="0.3">
      <c r="A27">
        <v>70013</v>
      </c>
      <c r="B27">
        <v>0</v>
      </c>
      <c r="C27" s="7" t="s">
        <v>59</v>
      </c>
      <c r="D27" s="7">
        <v>102</v>
      </c>
      <c r="E27" s="7" t="s">
        <v>52</v>
      </c>
      <c r="F27" t="s">
        <v>600</v>
      </c>
      <c r="G27" s="7" t="s">
        <v>303</v>
      </c>
      <c r="H27"/>
      <c r="J27"/>
    </row>
    <row r="28" spans="1:10" x14ac:dyDescent="0.3">
      <c r="A28">
        <v>99031</v>
      </c>
      <c r="B28">
        <v>182</v>
      </c>
      <c r="C28" s="7" t="s">
        <v>59</v>
      </c>
      <c r="D28" s="7">
        <v>102</v>
      </c>
      <c r="E28" s="7" t="s">
        <v>52</v>
      </c>
      <c r="F28" t="s">
        <v>608</v>
      </c>
      <c r="G28" s="7" t="s">
        <v>303</v>
      </c>
      <c r="H28"/>
      <c r="J28"/>
    </row>
    <row r="29" spans="1:10" x14ac:dyDescent="0.3">
      <c r="A29">
        <v>70010</v>
      </c>
      <c r="B29">
        <v>0</v>
      </c>
      <c r="C29" s="7" t="s">
        <v>59</v>
      </c>
      <c r="D29" s="7">
        <v>102</v>
      </c>
      <c r="E29" s="7" t="s">
        <v>52</v>
      </c>
      <c r="F29" t="s">
        <v>758</v>
      </c>
      <c r="G29" s="7" t="s">
        <v>303</v>
      </c>
      <c r="H29"/>
      <c r="J29"/>
    </row>
    <row r="30" spans="1:10" x14ac:dyDescent="0.3">
      <c r="A30">
        <v>99138</v>
      </c>
      <c r="B30">
        <v>8</v>
      </c>
      <c r="C30" s="7" t="s">
        <v>59</v>
      </c>
      <c r="D30" s="7">
        <v>102</v>
      </c>
      <c r="E30" s="7" t="s">
        <v>52</v>
      </c>
      <c r="F30" t="s">
        <v>759</v>
      </c>
      <c r="G30" s="7" t="s">
        <v>303</v>
      </c>
      <c r="H30"/>
      <c r="J30"/>
    </row>
    <row r="31" spans="1:10" x14ac:dyDescent="0.3">
      <c r="A31">
        <v>71399</v>
      </c>
      <c r="B31">
        <v>0</v>
      </c>
      <c r="C31" s="7" t="s">
        <v>60</v>
      </c>
      <c r="D31" s="7">
        <v>102</v>
      </c>
      <c r="E31" s="7" t="s">
        <v>59</v>
      </c>
      <c r="F31" t="s">
        <v>760</v>
      </c>
      <c r="G31" s="7" t="s">
        <v>303</v>
      </c>
      <c r="H31"/>
      <c r="J31"/>
    </row>
    <row r="32" spans="1:10" x14ac:dyDescent="0.3">
      <c r="H32"/>
      <c r="J32"/>
    </row>
    <row r="33" spans="8:10" x14ac:dyDescent="0.3">
      <c r="H33"/>
      <c r="J33"/>
    </row>
    <row r="34" spans="8:10" x14ac:dyDescent="0.3">
      <c r="H34"/>
      <c r="J34"/>
    </row>
    <row r="35" spans="8:10" x14ac:dyDescent="0.3">
      <c r="H35"/>
      <c r="J35"/>
    </row>
    <row r="36" spans="8:10" x14ac:dyDescent="0.3">
      <c r="H36"/>
      <c r="J36"/>
    </row>
    <row r="37" spans="8:10" x14ac:dyDescent="0.3">
      <c r="H37"/>
      <c r="J37"/>
    </row>
    <row r="38" spans="8:10" x14ac:dyDescent="0.3">
      <c r="H38"/>
      <c r="J38"/>
    </row>
    <row r="39" spans="8:10" x14ac:dyDescent="0.3">
      <c r="H39"/>
      <c r="J39"/>
    </row>
    <row r="40" spans="8:10" x14ac:dyDescent="0.3">
      <c r="H40"/>
      <c r="J40"/>
    </row>
    <row r="41" spans="8:10" x14ac:dyDescent="0.3">
      <c r="H41"/>
      <c r="J41"/>
    </row>
    <row r="42" spans="8:10" x14ac:dyDescent="0.3">
      <c r="H42"/>
      <c r="J42"/>
    </row>
    <row r="43" spans="8:10" x14ac:dyDescent="0.3">
      <c r="H43"/>
      <c r="J43"/>
    </row>
    <row r="44" spans="8:10" x14ac:dyDescent="0.3">
      <c r="H44"/>
      <c r="J44"/>
    </row>
    <row r="45" spans="8:10" x14ac:dyDescent="0.3">
      <c r="H45"/>
      <c r="J45"/>
    </row>
    <row r="46" spans="8:10" x14ac:dyDescent="0.3">
      <c r="H46"/>
      <c r="J46"/>
    </row>
    <row r="47" spans="8:10" x14ac:dyDescent="0.3">
      <c r="H47"/>
      <c r="J47"/>
    </row>
    <row r="48" spans="8:10" x14ac:dyDescent="0.3">
      <c r="H48"/>
      <c r="J48"/>
    </row>
    <row r="49" spans="8:10" x14ac:dyDescent="0.3">
      <c r="H49"/>
      <c r="J49"/>
    </row>
    <row r="50" spans="8:10" x14ac:dyDescent="0.3">
      <c r="H50"/>
      <c r="J50"/>
    </row>
    <row r="51" spans="8:10" x14ac:dyDescent="0.3">
      <c r="H51"/>
      <c r="J51"/>
    </row>
    <row r="52" spans="8:10" x14ac:dyDescent="0.3">
      <c r="H52"/>
      <c r="J52"/>
    </row>
    <row r="53" spans="8:10" x14ac:dyDescent="0.3">
      <c r="H53"/>
      <c r="J53"/>
    </row>
    <row r="54" spans="8:10" x14ac:dyDescent="0.3">
      <c r="H54"/>
      <c r="J54"/>
    </row>
    <row r="55" spans="8:10" x14ac:dyDescent="0.3">
      <c r="H55"/>
      <c r="J55"/>
    </row>
    <row r="56" spans="8:10" x14ac:dyDescent="0.3">
      <c r="H56"/>
      <c r="J56"/>
    </row>
    <row r="57" spans="8:10" x14ac:dyDescent="0.3">
      <c r="H57"/>
      <c r="J57"/>
    </row>
    <row r="58" spans="8:10" x14ac:dyDescent="0.3">
      <c r="H58"/>
      <c r="J58"/>
    </row>
    <row r="59" spans="8:10" x14ac:dyDescent="0.3">
      <c r="H59"/>
      <c r="J59"/>
    </row>
    <row r="60" spans="8:10" x14ac:dyDescent="0.3">
      <c r="H60"/>
      <c r="J60"/>
    </row>
    <row r="61" spans="8:10" x14ac:dyDescent="0.3">
      <c r="H61"/>
      <c r="J61"/>
    </row>
    <row r="62" spans="8:10" x14ac:dyDescent="0.3">
      <c r="H62"/>
      <c r="J62"/>
    </row>
    <row r="63" spans="8:10" x14ac:dyDescent="0.3">
      <c r="H63"/>
      <c r="J63"/>
    </row>
    <row r="64" spans="8:10" x14ac:dyDescent="0.3">
      <c r="H64"/>
      <c r="J64"/>
    </row>
    <row r="65" spans="8:10" x14ac:dyDescent="0.3">
      <c r="H65"/>
      <c r="J65"/>
    </row>
    <row r="66" spans="8:10" x14ac:dyDescent="0.3">
      <c r="H66"/>
      <c r="J66"/>
    </row>
    <row r="67" spans="8:10" x14ac:dyDescent="0.3">
      <c r="H67"/>
      <c r="J67"/>
    </row>
    <row r="68" spans="8:10" x14ac:dyDescent="0.3">
      <c r="H68"/>
      <c r="J68"/>
    </row>
    <row r="69" spans="8:10" x14ac:dyDescent="0.3">
      <c r="H69"/>
      <c r="J69"/>
    </row>
    <row r="70" spans="8:10" x14ac:dyDescent="0.3">
      <c r="H70"/>
      <c r="J70"/>
    </row>
    <row r="71" spans="8:10" x14ac:dyDescent="0.3">
      <c r="H71"/>
      <c r="J71"/>
    </row>
    <row r="72" spans="8:10" x14ac:dyDescent="0.3">
      <c r="H72"/>
      <c r="J72"/>
    </row>
    <row r="73" spans="8:10" x14ac:dyDescent="0.3">
      <c r="H73"/>
      <c r="J73"/>
    </row>
    <row r="74" spans="8:10" x14ac:dyDescent="0.3">
      <c r="H74"/>
      <c r="J74"/>
    </row>
    <row r="75" spans="8:10" x14ac:dyDescent="0.3">
      <c r="H75"/>
      <c r="J75"/>
    </row>
    <row r="76" spans="8:10" x14ac:dyDescent="0.3">
      <c r="H76"/>
      <c r="J76"/>
    </row>
    <row r="77" spans="8:10" x14ac:dyDescent="0.3">
      <c r="H77"/>
      <c r="J77"/>
    </row>
    <row r="78" spans="8:10" x14ac:dyDescent="0.3">
      <c r="H78"/>
      <c r="J78"/>
    </row>
    <row r="79" spans="8:10" x14ac:dyDescent="0.3">
      <c r="H79"/>
      <c r="J79"/>
    </row>
    <row r="80" spans="8:10" x14ac:dyDescent="0.3">
      <c r="H80"/>
      <c r="J80"/>
    </row>
    <row r="81" spans="8:10" x14ac:dyDescent="0.3">
      <c r="H81"/>
      <c r="J81"/>
    </row>
    <row r="82" spans="8:10" x14ac:dyDescent="0.3">
      <c r="H82"/>
      <c r="J82"/>
    </row>
    <row r="83" spans="8:10" x14ac:dyDescent="0.3">
      <c r="H83"/>
      <c r="J83"/>
    </row>
    <row r="84" spans="8:10" x14ac:dyDescent="0.3">
      <c r="H84"/>
      <c r="J84"/>
    </row>
    <row r="85" spans="8:10" x14ac:dyDescent="0.3">
      <c r="H85"/>
      <c r="J85"/>
    </row>
    <row r="86" spans="8:10" x14ac:dyDescent="0.3">
      <c r="H86"/>
      <c r="J86"/>
    </row>
    <row r="87" spans="8:10" x14ac:dyDescent="0.3">
      <c r="H87"/>
      <c r="J87"/>
    </row>
    <row r="88" spans="8:10" x14ac:dyDescent="0.3">
      <c r="H88"/>
      <c r="J88"/>
    </row>
    <row r="89" spans="8:10" x14ac:dyDescent="0.3">
      <c r="H89"/>
      <c r="J89"/>
    </row>
    <row r="90" spans="8:10" x14ac:dyDescent="0.3">
      <c r="H90"/>
      <c r="J90"/>
    </row>
    <row r="91" spans="8:10" x14ac:dyDescent="0.3">
      <c r="H91"/>
      <c r="J91"/>
    </row>
    <row r="92" spans="8:10" x14ac:dyDescent="0.3">
      <c r="H92"/>
      <c r="J92"/>
    </row>
    <row r="93" spans="8:10" x14ac:dyDescent="0.3">
      <c r="H93"/>
      <c r="J93"/>
    </row>
    <row r="94" spans="8:10" x14ac:dyDescent="0.3">
      <c r="H94"/>
      <c r="J94"/>
    </row>
    <row r="95" spans="8:10" x14ac:dyDescent="0.3">
      <c r="H95"/>
      <c r="J95"/>
    </row>
    <row r="96" spans="8:10" x14ac:dyDescent="0.3">
      <c r="H96"/>
      <c r="J96"/>
    </row>
    <row r="97" spans="8:10" x14ac:dyDescent="0.3">
      <c r="H97"/>
      <c r="J97"/>
    </row>
    <row r="98" spans="8:10" x14ac:dyDescent="0.3">
      <c r="H98"/>
      <c r="J98"/>
    </row>
    <row r="99" spans="8:10" x14ac:dyDescent="0.3">
      <c r="H99"/>
      <c r="J99"/>
    </row>
    <row r="100" spans="8:10" x14ac:dyDescent="0.3">
      <c r="H100"/>
      <c r="J100"/>
    </row>
    <row r="101" spans="8:10" x14ac:dyDescent="0.3">
      <c r="H101"/>
      <c r="J101"/>
    </row>
    <row r="102" spans="8:10" x14ac:dyDescent="0.3">
      <c r="H102"/>
      <c r="J102"/>
    </row>
    <row r="103" spans="8:10" x14ac:dyDescent="0.3">
      <c r="H103"/>
      <c r="J103"/>
    </row>
    <row r="104" spans="8:10" x14ac:dyDescent="0.3">
      <c r="H104"/>
      <c r="J104"/>
    </row>
    <row r="105" spans="8:10" x14ac:dyDescent="0.3">
      <c r="H105"/>
      <c r="J105"/>
    </row>
    <row r="106" spans="8:10" x14ac:dyDescent="0.3">
      <c r="H106"/>
      <c r="J106"/>
    </row>
    <row r="107" spans="8:10" x14ac:dyDescent="0.3">
      <c r="H107"/>
      <c r="J107"/>
    </row>
    <row r="108" spans="8:10" x14ac:dyDescent="0.3">
      <c r="H108"/>
      <c r="J108"/>
    </row>
    <row r="109" spans="8:10" x14ac:dyDescent="0.3">
      <c r="H109"/>
      <c r="J109"/>
    </row>
    <row r="110" spans="8:10" x14ac:dyDescent="0.3">
      <c r="H110"/>
      <c r="J110"/>
    </row>
    <row r="111" spans="8:10" x14ac:dyDescent="0.3">
      <c r="H111"/>
      <c r="J111"/>
    </row>
    <row r="112" spans="8:10" x14ac:dyDescent="0.3">
      <c r="H112"/>
      <c r="J112"/>
    </row>
    <row r="113" spans="8:10" x14ac:dyDescent="0.3">
      <c r="H113"/>
      <c r="J113"/>
    </row>
    <row r="114" spans="8:10" x14ac:dyDescent="0.3">
      <c r="H114"/>
      <c r="J114"/>
    </row>
    <row r="115" spans="8:10" x14ac:dyDescent="0.3">
      <c r="H115"/>
      <c r="J115"/>
    </row>
    <row r="116" spans="8:10" x14ac:dyDescent="0.3">
      <c r="H116"/>
      <c r="J116"/>
    </row>
    <row r="117" spans="8:10" x14ac:dyDescent="0.3">
      <c r="H117"/>
      <c r="J117"/>
    </row>
    <row r="118" spans="8:10" x14ac:dyDescent="0.3">
      <c r="H118"/>
      <c r="J118"/>
    </row>
    <row r="119" spans="8:10" x14ac:dyDescent="0.3">
      <c r="H119"/>
      <c r="J119"/>
    </row>
    <row r="120" spans="8:10" x14ac:dyDescent="0.3">
      <c r="H120"/>
      <c r="J120"/>
    </row>
    <row r="121" spans="8:10" x14ac:dyDescent="0.3">
      <c r="H121"/>
      <c r="J121"/>
    </row>
    <row r="122" spans="8:10" x14ac:dyDescent="0.3">
      <c r="H122"/>
      <c r="J122"/>
    </row>
    <row r="123" spans="8:10" x14ac:dyDescent="0.3">
      <c r="H123"/>
      <c r="J123"/>
    </row>
    <row r="124" spans="8:10" x14ac:dyDescent="0.3">
      <c r="H124"/>
      <c r="J124"/>
    </row>
    <row r="125" spans="8:10" x14ac:dyDescent="0.3">
      <c r="H125"/>
      <c r="J125"/>
    </row>
    <row r="126" spans="8:10" x14ac:dyDescent="0.3">
      <c r="H126"/>
      <c r="J126"/>
    </row>
    <row r="127" spans="8:10" x14ac:dyDescent="0.3">
      <c r="H127"/>
      <c r="J127"/>
    </row>
    <row r="128" spans="8:10" x14ac:dyDescent="0.3">
      <c r="H128"/>
      <c r="J128"/>
    </row>
    <row r="129" spans="8:10" x14ac:dyDescent="0.3">
      <c r="H129"/>
      <c r="J129"/>
    </row>
    <row r="130" spans="8:10" x14ac:dyDescent="0.3">
      <c r="H130"/>
      <c r="J130"/>
    </row>
    <row r="131" spans="8:10" x14ac:dyDescent="0.3">
      <c r="H131"/>
      <c r="J131"/>
    </row>
    <row r="132" spans="8:10" x14ac:dyDescent="0.3">
      <c r="H132"/>
      <c r="J132"/>
    </row>
    <row r="133" spans="8:10" x14ac:dyDescent="0.3">
      <c r="H133"/>
      <c r="J133"/>
    </row>
    <row r="134" spans="8:10" x14ac:dyDescent="0.3">
      <c r="H134"/>
      <c r="J134"/>
    </row>
    <row r="135" spans="8:10" x14ac:dyDescent="0.3">
      <c r="H135"/>
      <c r="J135"/>
    </row>
    <row r="136" spans="8:10" x14ac:dyDescent="0.3">
      <c r="H136"/>
      <c r="J136"/>
    </row>
    <row r="137" spans="8:10" x14ac:dyDescent="0.3">
      <c r="H137"/>
      <c r="J137"/>
    </row>
    <row r="138" spans="8:10" x14ac:dyDescent="0.3">
      <c r="H138"/>
      <c r="J138"/>
    </row>
    <row r="139" spans="8:10" x14ac:dyDescent="0.3">
      <c r="H139"/>
      <c r="J139"/>
    </row>
    <row r="140" spans="8:10" x14ac:dyDescent="0.3">
      <c r="H140"/>
      <c r="J140"/>
    </row>
    <row r="141" spans="8:10" x14ac:dyDescent="0.3">
      <c r="H141"/>
      <c r="J141"/>
    </row>
    <row r="142" spans="8:10" x14ac:dyDescent="0.3">
      <c r="H142"/>
      <c r="J142"/>
    </row>
    <row r="143" spans="8:10" x14ac:dyDescent="0.3">
      <c r="H143"/>
      <c r="J143"/>
    </row>
    <row r="144" spans="8:10" x14ac:dyDescent="0.3">
      <c r="H144"/>
      <c r="J144"/>
    </row>
    <row r="145" spans="8:10" x14ac:dyDescent="0.3">
      <c r="H145"/>
      <c r="J145"/>
    </row>
    <row r="146" spans="8:10" x14ac:dyDescent="0.3">
      <c r="H146"/>
      <c r="J146"/>
    </row>
    <row r="147" spans="8:10" x14ac:dyDescent="0.3">
      <c r="H147"/>
      <c r="J147"/>
    </row>
    <row r="148" spans="8:10" x14ac:dyDescent="0.3">
      <c r="H148"/>
      <c r="J148"/>
    </row>
    <row r="149" spans="8:10" x14ac:dyDescent="0.3">
      <c r="H149"/>
      <c r="J149"/>
    </row>
    <row r="150" spans="8:10" x14ac:dyDescent="0.3">
      <c r="H150"/>
      <c r="J150"/>
    </row>
    <row r="151" spans="8:10" x14ac:dyDescent="0.3">
      <c r="H151"/>
      <c r="J151"/>
    </row>
    <row r="152" spans="8:10" x14ac:dyDescent="0.3">
      <c r="H152"/>
      <c r="J152"/>
    </row>
    <row r="153" spans="8:10" x14ac:dyDescent="0.3">
      <c r="H153"/>
      <c r="J153"/>
    </row>
    <row r="154" spans="8:10" x14ac:dyDescent="0.3">
      <c r="H154"/>
      <c r="J154"/>
    </row>
    <row r="155" spans="8:10" x14ac:dyDescent="0.3">
      <c r="H155"/>
      <c r="J155"/>
    </row>
    <row r="156" spans="8:10" x14ac:dyDescent="0.3">
      <c r="H156"/>
      <c r="J156"/>
    </row>
    <row r="157" spans="8:10" x14ac:dyDescent="0.3">
      <c r="H157"/>
      <c r="J157"/>
    </row>
    <row r="158" spans="8:10" x14ac:dyDescent="0.3">
      <c r="H158"/>
      <c r="J158"/>
    </row>
    <row r="159" spans="8:10" x14ac:dyDescent="0.3">
      <c r="H159"/>
      <c r="J159"/>
    </row>
    <row r="160" spans="8:10" x14ac:dyDescent="0.3">
      <c r="H160"/>
      <c r="J160"/>
    </row>
    <row r="161" spans="8:10" x14ac:dyDescent="0.3">
      <c r="H161"/>
      <c r="J161"/>
    </row>
    <row r="162" spans="8:10" x14ac:dyDescent="0.3">
      <c r="H162"/>
      <c r="J162"/>
    </row>
    <row r="163" spans="8:10" x14ac:dyDescent="0.3">
      <c r="H163"/>
      <c r="J163"/>
    </row>
    <row r="164" spans="8:10" x14ac:dyDescent="0.3">
      <c r="H164"/>
      <c r="J164"/>
    </row>
    <row r="165" spans="8:10" x14ac:dyDescent="0.3">
      <c r="H165"/>
      <c r="J165"/>
    </row>
    <row r="166" spans="8:10" x14ac:dyDescent="0.3">
      <c r="H166"/>
      <c r="J166"/>
    </row>
    <row r="167" spans="8:10" x14ac:dyDescent="0.3">
      <c r="H167"/>
      <c r="J167"/>
    </row>
    <row r="168" spans="8:10" x14ac:dyDescent="0.3">
      <c r="H168"/>
      <c r="J168"/>
    </row>
    <row r="169" spans="8:10" x14ac:dyDescent="0.3">
      <c r="H169"/>
      <c r="J169"/>
    </row>
    <row r="170" spans="8:10" x14ac:dyDescent="0.3">
      <c r="H170"/>
      <c r="J170"/>
    </row>
    <row r="171" spans="8:10" x14ac:dyDescent="0.3">
      <c r="H171"/>
      <c r="J171"/>
    </row>
    <row r="172" spans="8:10" x14ac:dyDescent="0.3">
      <c r="H172"/>
      <c r="J172"/>
    </row>
    <row r="173" spans="8:10" x14ac:dyDescent="0.3">
      <c r="H173"/>
      <c r="J173"/>
    </row>
    <row r="174" spans="8:10" x14ac:dyDescent="0.3">
      <c r="H174"/>
      <c r="J174"/>
    </row>
    <row r="175" spans="8:10" x14ac:dyDescent="0.3">
      <c r="H175"/>
      <c r="J175"/>
    </row>
    <row r="176" spans="8:10" x14ac:dyDescent="0.3">
      <c r="H176"/>
      <c r="J176"/>
    </row>
    <row r="177" spans="8:10" x14ac:dyDescent="0.3">
      <c r="H177"/>
      <c r="J177"/>
    </row>
    <row r="178" spans="8:10" x14ac:dyDescent="0.3">
      <c r="H178"/>
      <c r="J178"/>
    </row>
    <row r="179" spans="8:10" x14ac:dyDescent="0.3">
      <c r="H179"/>
      <c r="J179"/>
    </row>
    <row r="180" spans="8:10" x14ac:dyDescent="0.3">
      <c r="H180"/>
      <c r="J180"/>
    </row>
    <row r="181" spans="8:10" x14ac:dyDescent="0.3">
      <c r="H181"/>
      <c r="J181"/>
    </row>
    <row r="182" spans="8:10" x14ac:dyDescent="0.3">
      <c r="H182"/>
      <c r="J182"/>
    </row>
    <row r="183" spans="8:10" x14ac:dyDescent="0.3">
      <c r="H183"/>
      <c r="J183"/>
    </row>
    <row r="184" spans="8:10" x14ac:dyDescent="0.3">
      <c r="H184"/>
      <c r="J184"/>
    </row>
    <row r="185" spans="8:10" x14ac:dyDescent="0.3">
      <c r="H185"/>
      <c r="J185"/>
    </row>
    <row r="186" spans="8:10" x14ac:dyDescent="0.3">
      <c r="H186"/>
      <c r="J186"/>
    </row>
    <row r="187" spans="8:10" x14ac:dyDescent="0.3">
      <c r="H187"/>
      <c r="J187"/>
    </row>
    <row r="188" spans="8:10" x14ac:dyDescent="0.3">
      <c r="H188"/>
      <c r="J188"/>
    </row>
    <row r="189" spans="8:10" x14ac:dyDescent="0.3">
      <c r="H189"/>
      <c r="J189"/>
    </row>
    <row r="190" spans="8:10" x14ac:dyDescent="0.3">
      <c r="H190"/>
      <c r="J190"/>
    </row>
    <row r="191" spans="8:10" x14ac:dyDescent="0.3">
      <c r="H191"/>
      <c r="J191"/>
    </row>
    <row r="192" spans="8:10" x14ac:dyDescent="0.3">
      <c r="H192"/>
      <c r="J192"/>
    </row>
    <row r="193" spans="8:10" x14ac:dyDescent="0.3">
      <c r="H193"/>
      <c r="J193"/>
    </row>
    <row r="194" spans="8:10" x14ac:dyDescent="0.3">
      <c r="H194"/>
      <c r="J194"/>
    </row>
    <row r="195" spans="8:10" x14ac:dyDescent="0.3">
      <c r="H195"/>
      <c r="J195"/>
    </row>
    <row r="196" spans="8:10" x14ac:dyDescent="0.3">
      <c r="H196"/>
      <c r="J196"/>
    </row>
    <row r="197" spans="8:10" x14ac:dyDescent="0.3">
      <c r="H197"/>
      <c r="J197"/>
    </row>
    <row r="198" spans="8:10" x14ac:dyDescent="0.3">
      <c r="H198"/>
      <c r="J198"/>
    </row>
    <row r="199" spans="8:10" x14ac:dyDescent="0.3">
      <c r="H199"/>
      <c r="J199"/>
    </row>
    <row r="200" spans="8:10" x14ac:dyDescent="0.3">
      <c r="H200"/>
      <c r="J200"/>
    </row>
    <row r="201" spans="8:10" x14ac:dyDescent="0.3">
      <c r="H201"/>
      <c r="J201"/>
    </row>
    <row r="202" spans="8:10" x14ac:dyDescent="0.3">
      <c r="H202"/>
      <c r="J202"/>
    </row>
    <row r="203" spans="8:10" x14ac:dyDescent="0.3">
      <c r="H203"/>
      <c r="J203"/>
    </row>
    <row r="204" spans="8:10" x14ac:dyDescent="0.3">
      <c r="H204"/>
      <c r="J204"/>
    </row>
    <row r="205" spans="8:10" x14ac:dyDescent="0.3">
      <c r="H205"/>
      <c r="J205"/>
    </row>
    <row r="206" spans="8:10" x14ac:dyDescent="0.3">
      <c r="H206"/>
      <c r="J206"/>
    </row>
    <row r="207" spans="8:10" x14ac:dyDescent="0.3">
      <c r="H207"/>
      <c r="J207"/>
    </row>
    <row r="208" spans="8:10" x14ac:dyDescent="0.3">
      <c r="H208"/>
      <c r="J208"/>
    </row>
    <row r="209" spans="8:10" x14ac:dyDescent="0.3">
      <c r="H209"/>
      <c r="J209"/>
    </row>
    <row r="210" spans="8:10" x14ac:dyDescent="0.3">
      <c r="H210"/>
      <c r="J210"/>
    </row>
    <row r="211" spans="8:10" x14ac:dyDescent="0.3">
      <c r="H211"/>
      <c r="J211"/>
    </row>
    <row r="212" spans="8:10" x14ac:dyDescent="0.3">
      <c r="H212"/>
      <c r="J212"/>
    </row>
    <row r="213" spans="8:10" x14ac:dyDescent="0.3">
      <c r="H213"/>
      <c r="J213"/>
    </row>
    <row r="214" spans="8:10" x14ac:dyDescent="0.3">
      <c r="H214"/>
      <c r="J214"/>
    </row>
    <row r="215" spans="8:10" x14ac:dyDescent="0.3">
      <c r="H215"/>
      <c r="J215"/>
    </row>
    <row r="216" spans="8:10" x14ac:dyDescent="0.3">
      <c r="H216"/>
      <c r="J216"/>
    </row>
    <row r="217" spans="8:10" x14ac:dyDescent="0.3">
      <c r="H217"/>
      <c r="J217"/>
    </row>
    <row r="218" spans="8:10" x14ac:dyDescent="0.3">
      <c r="H218"/>
      <c r="J218"/>
    </row>
    <row r="219" spans="8:10" x14ac:dyDescent="0.3">
      <c r="H219"/>
      <c r="J219"/>
    </row>
    <row r="220" spans="8:10" x14ac:dyDescent="0.3">
      <c r="H220"/>
      <c r="J220"/>
    </row>
    <row r="221" spans="8:10" x14ac:dyDescent="0.3">
      <c r="H221"/>
      <c r="J221"/>
    </row>
    <row r="222" spans="8:10" x14ac:dyDescent="0.3">
      <c r="H222"/>
      <c r="J222"/>
    </row>
    <row r="223" spans="8:10" x14ac:dyDescent="0.3">
      <c r="H223"/>
      <c r="J223"/>
    </row>
    <row r="224" spans="8:10" x14ac:dyDescent="0.3">
      <c r="H224"/>
      <c r="J224"/>
    </row>
    <row r="225" spans="8:10" x14ac:dyDescent="0.3">
      <c r="H225"/>
      <c r="J225"/>
    </row>
    <row r="226" spans="8:10" x14ac:dyDescent="0.3">
      <c r="H226"/>
      <c r="J226"/>
    </row>
    <row r="227" spans="8:10" x14ac:dyDescent="0.3">
      <c r="H227"/>
      <c r="J227"/>
    </row>
    <row r="228" spans="8:10" x14ac:dyDescent="0.3">
      <c r="H228"/>
      <c r="J228"/>
    </row>
    <row r="229" spans="8:10" x14ac:dyDescent="0.3">
      <c r="H229"/>
      <c r="J229"/>
    </row>
    <row r="230" spans="8:10" x14ac:dyDescent="0.3">
      <c r="H230"/>
      <c r="J230"/>
    </row>
    <row r="231" spans="8:10" x14ac:dyDescent="0.3">
      <c r="H231"/>
      <c r="J231"/>
    </row>
    <row r="232" spans="8:10" x14ac:dyDescent="0.3">
      <c r="H232"/>
      <c r="J232"/>
    </row>
    <row r="233" spans="8:10" x14ac:dyDescent="0.3">
      <c r="H233"/>
      <c r="J233"/>
    </row>
  </sheetData>
  <phoneticPr fontId="1" type="noConversion"/>
  <printOptions horizontalCentered="1"/>
  <pageMargins left="0.45" right="0.45" top="0.5" bottom="0.5" header="0.3" footer="0.3"/>
  <pageSetup orientation="portrait" r:id="rId1"/>
  <headerFooter>
    <oddHeader>&amp;L&amp;A  &amp;D&amp;CConsider Leaving Extra Inventory&amp;RPage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erviceGapsPrint">
                <anchor moveWithCells="1">
                  <from>
                    <xdr:col>0</xdr:col>
                    <xdr:colOff>53340</xdr:colOff>
                    <xdr:row>0</xdr:row>
                    <xdr:rowOff>60960</xdr:rowOff>
                  </from>
                  <to>
                    <xdr:col>2</xdr:col>
                    <xdr:colOff>190500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0EB49-D684-4587-9D8D-8A3D7C39CC8D}">
  <sheetPr codeName="Sheet8">
    <pageSetUpPr fitToPage="1"/>
  </sheetPr>
  <dimension ref="A4:Q114"/>
  <sheetViews>
    <sheetView zoomScaleNormal="100" workbookViewId="0">
      <selection activeCell="C30" sqref="C30:D30"/>
    </sheetView>
  </sheetViews>
  <sheetFormatPr defaultRowHeight="14.4" x14ac:dyDescent="0.3"/>
  <cols>
    <col min="1" max="1" width="7.88671875" customWidth="1"/>
    <col min="2" max="2" width="9.5546875" style="7" customWidth="1"/>
    <col min="3" max="3" width="9.6640625" style="3" customWidth="1"/>
    <col min="4" max="4" width="8.109375" style="3" customWidth="1"/>
    <col min="5" max="5" width="36.77734375" style="3" customWidth="1"/>
    <col min="6" max="6" width="6.33203125" style="2" customWidth="1"/>
    <col min="7" max="7" width="9" style="2" customWidth="1"/>
    <col min="8" max="8" width="10.33203125" style="2" customWidth="1"/>
    <col min="9" max="9" width="9.21875" style="2" customWidth="1"/>
    <col min="10" max="10" width="13.109375" style="2" customWidth="1"/>
    <col min="11" max="11" width="16.33203125" style="2" customWidth="1"/>
    <col min="12" max="12" width="26.77734375" style="2" customWidth="1"/>
    <col min="13" max="13" width="8.21875" style="2" customWidth="1"/>
    <col min="14" max="14" width="9.77734375" style="2" customWidth="1"/>
    <col min="15" max="15" width="17" style="2" customWidth="1"/>
    <col min="16" max="16" width="14.77734375" style="2" customWidth="1"/>
    <col min="17" max="17" width="20.109375" style="2" bestFit="1" customWidth="1"/>
    <col min="18" max="18" width="22.6640625" bestFit="1" customWidth="1"/>
  </cols>
  <sheetData>
    <row r="4" spans="1:17" ht="46.2" customHeight="1" x14ac:dyDescent="0.3">
      <c r="A4" s="4" t="s">
        <v>270</v>
      </c>
      <c r="B4" s="4" t="s">
        <v>208</v>
      </c>
      <c r="C4" s="2" t="s">
        <v>272</v>
      </c>
      <c r="D4" s="2" t="s">
        <v>273</v>
      </c>
      <c r="E4" s="4" t="s">
        <v>10</v>
      </c>
      <c r="F4" s="4" t="s">
        <v>276</v>
      </c>
      <c r="G4" s="4" t="s">
        <v>8</v>
      </c>
      <c r="H4" s="4" t="s">
        <v>275</v>
      </c>
      <c r="I4" s="4" t="s">
        <v>5</v>
      </c>
      <c r="J4" s="4" t="s">
        <v>71</v>
      </c>
      <c r="K4" s="4" t="s">
        <v>207</v>
      </c>
      <c r="L4" s="4" t="s">
        <v>206</v>
      </c>
      <c r="M4"/>
      <c r="N4"/>
      <c r="O4"/>
      <c r="P4"/>
      <c r="Q4"/>
    </row>
    <row r="5" spans="1:17" x14ac:dyDescent="0.3">
      <c r="A5" t="s">
        <v>611</v>
      </c>
      <c r="B5" s="7" t="s">
        <v>59</v>
      </c>
      <c r="C5">
        <v>99031</v>
      </c>
      <c r="D5">
        <v>189</v>
      </c>
      <c r="E5" s="3" t="s">
        <v>612</v>
      </c>
      <c r="F5">
        <v>102</v>
      </c>
      <c r="G5" s="2" t="s">
        <v>58</v>
      </c>
      <c r="H5" s="4">
        <v>102</v>
      </c>
      <c r="I5" s="2" t="s">
        <v>53</v>
      </c>
      <c r="J5" s="2">
        <v>4</v>
      </c>
      <c r="K5" s="2" t="s">
        <v>303</v>
      </c>
      <c r="L5" s="2" t="s">
        <v>434</v>
      </c>
      <c r="M5"/>
      <c r="N5"/>
      <c r="O5"/>
      <c r="P5"/>
      <c r="Q5"/>
    </row>
    <row r="6" spans="1:17" x14ac:dyDescent="0.3">
      <c r="A6" t="s">
        <v>613</v>
      </c>
      <c r="B6" s="7" t="s">
        <v>60</v>
      </c>
      <c r="C6">
        <v>73590</v>
      </c>
      <c r="D6">
        <v>0</v>
      </c>
      <c r="E6" s="3" t="s">
        <v>614</v>
      </c>
      <c r="F6">
        <v>102</v>
      </c>
      <c r="G6" s="2" t="s">
        <v>53</v>
      </c>
      <c r="H6" s="4">
        <v>102</v>
      </c>
      <c r="I6" s="2" t="s">
        <v>52</v>
      </c>
      <c r="J6" s="2">
        <v>12</v>
      </c>
      <c r="K6" s="2" t="s">
        <v>303</v>
      </c>
      <c r="L6" s="2" t="s">
        <v>434</v>
      </c>
      <c r="M6"/>
      <c r="N6"/>
      <c r="O6"/>
      <c r="P6"/>
      <c r="Q6"/>
    </row>
    <row r="7" spans="1:17" x14ac:dyDescent="0.3">
      <c r="A7" t="s">
        <v>625</v>
      </c>
      <c r="B7" s="7" t="s">
        <v>60</v>
      </c>
      <c r="C7">
        <v>71163</v>
      </c>
      <c r="D7">
        <v>0</v>
      </c>
      <c r="E7" s="3" t="s">
        <v>626</v>
      </c>
      <c r="F7">
        <v>102</v>
      </c>
      <c r="G7" s="2" t="s">
        <v>53</v>
      </c>
      <c r="H7" s="4">
        <v>102</v>
      </c>
      <c r="I7" s="2" t="s">
        <v>52</v>
      </c>
      <c r="J7" s="2">
        <v>22</v>
      </c>
      <c r="K7" s="2" t="s">
        <v>303</v>
      </c>
      <c r="L7" s="2" t="s">
        <v>434</v>
      </c>
      <c r="M7"/>
      <c r="N7"/>
      <c r="O7"/>
      <c r="P7"/>
      <c r="Q7"/>
    </row>
    <row r="8" spans="1:17" x14ac:dyDescent="0.3">
      <c r="A8" t="s">
        <v>619</v>
      </c>
      <c r="B8" s="7" t="s">
        <v>60</v>
      </c>
      <c r="C8">
        <v>99061</v>
      </c>
      <c r="D8">
        <v>112</v>
      </c>
      <c r="E8" s="3" t="s">
        <v>620</v>
      </c>
      <c r="F8">
        <v>102</v>
      </c>
      <c r="G8" s="2" t="s">
        <v>53</v>
      </c>
      <c r="H8" s="4">
        <v>102</v>
      </c>
      <c r="I8" s="2" t="s">
        <v>52</v>
      </c>
      <c r="J8" s="2">
        <v>29</v>
      </c>
      <c r="K8" s="2" t="s">
        <v>303</v>
      </c>
      <c r="L8" s="2" t="s">
        <v>434</v>
      </c>
      <c r="M8"/>
      <c r="N8"/>
      <c r="O8"/>
      <c r="P8"/>
      <c r="Q8"/>
    </row>
    <row r="9" spans="1:17" x14ac:dyDescent="0.3">
      <c r="A9" t="s">
        <v>617</v>
      </c>
      <c r="B9" s="7" t="s">
        <v>60</v>
      </c>
      <c r="C9">
        <v>71146</v>
      </c>
      <c r="D9">
        <v>0</v>
      </c>
      <c r="E9" s="3" t="s">
        <v>618</v>
      </c>
      <c r="F9">
        <v>102</v>
      </c>
      <c r="G9" s="2" t="s">
        <v>53</v>
      </c>
      <c r="H9" s="4">
        <v>102</v>
      </c>
      <c r="I9" s="2" t="s">
        <v>52</v>
      </c>
      <c r="J9" s="2">
        <v>35</v>
      </c>
      <c r="K9" s="2" t="s">
        <v>303</v>
      </c>
      <c r="L9" s="2" t="s">
        <v>434</v>
      </c>
      <c r="M9"/>
      <c r="N9"/>
      <c r="O9"/>
      <c r="P9"/>
      <c r="Q9"/>
    </row>
    <row r="10" spans="1:17" x14ac:dyDescent="0.3">
      <c r="A10" t="s">
        <v>615</v>
      </c>
      <c r="B10" s="7" t="s">
        <v>60</v>
      </c>
      <c r="C10">
        <v>73444</v>
      </c>
      <c r="D10">
        <v>0</v>
      </c>
      <c r="E10" s="3" t="s">
        <v>616</v>
      </c>
      <c r="F10">
        <v>102</v>
      </c>
      <c r="G10" s="2" t="s">
        <v>53</v>
      </c>
      <c r="H10" s="4">
        <v>102</v>
      </c>
      <c r="I10" s="2" t="s">
        <v>52</v>
      </c>
      <c r="J10" s="2">
        <v>44</v>
      </c>
      <c r="K10" s="2" t="s">
        <v>303</v>
      </c>
      <c r="L10" s="2" t="s">
        <v>434</v>
      </c>
      <c r="M10"/>
      <c r="N10"/>
      <c r="O10"/>
      <c r="P10"/>
      <c r="Q10"/>
    </row>
    <row r="11" spans="1:17" x14ac:dyDescent="0.3">
      <c r="A11" t="s">
        <v>627</v>
      </c>
      <c r="B11" s="7" t="s">
        <v>60</v>
      </c>
      <c r="C11">
        <v>99031</v>
      </c>
      <c r="D11">
        <v>92</v>
      </c>
      <c r="E11" s="3" t="s">
        <v>628</v>
      </c>
      <c r="F11">
        <v>102</v>
      </c>
      <c r="G11" s="2" t="s">
        <v>53</v>
      </c>
      <c r="H11" s="4">
        <v>102</v>
      </c>
      <c r="I11" s="2" t="s">
        <v>52</v>
      </c>
      <c r="J11" s="2">
        <v>4</v>
      </c>
      <c r="K11" s="2" t="s">
        <v>303</v>
      </c>
      <c r="L11" s="2" t="s">
        <v>434</v>
      </c>
      <c r="M11"/>
      <c r="N11"/>
      <c r="O11"/>
      <c r="P11"/>
      <c r="Q11"/>
    </row>
    <row r="12" spans="1:17" x14ac:dyDescent="0.3">
      <c r="A12" t="s">
        <v>623</v>
      </c>
      <c r="B12" s="7" t="s">
        <v>60</v>
      </c>
      <c r="C12">
        <v>71161</v>
      </c>
      <c r="D12">
        <v>0</v>
      </c>
      <c r="E12" s="3" t="s">
        <v>624</v>
      </c>
      <c r="F12">
        <v>102</v>
      </c>
      <c r="G12" s="2" t="s">
        <v>53</v>
      </c>
      <c r="H12" s="4">
        <v>102</v>
      </c>
      <c r="I12" s="2" t="s">
        <v>52</v>
      </c>
      <c r="J12" s="2">
        <v>2</v>
      </c>
      <c r="K12" s="2" t="s">
        <v>303</v>
      </c>
      <c r="L12" s="2" t="s">
        <v>434</v>
      </c>
      <c r="M12"/>
      <c r="N12"/>
      <c r="O12"/>
      <c r="P12"/>
      <c r="Q12"/>
    </row>
    <row r="13" spans="1:17" x14ac:dyDescent="0.3">
      <c r="A13" t="s">
        <v>621</v>
      </c>
      <c r="B13" s="7" t="s">
        <v>60</v>
      </c>
      <c r="C13">
        <v>71159</v>
      </c>
      <c r="D13">
        <v>0</v>
      </c>
      <c r="E13" s="3" t="s">
        <v>622</v>
      </c>
      <c r="F13">
        <v>102</v>
      </c>
      <c r="G13" s="2" t="s">
        <v>53</v>
      </c>
      <c r="H13" s="4">
        <v>102</v>
      </c>
      <c r="I13" s="2" t="s">
        <v>52</v>
      </c>
      <c r="J13" s="2">
        <v>122</v>
      </c>
      <c r="K13" s="2" t="s">
        <v>303</v>
      </c>
      <c r="L13" s="2" t="s">
        <v>434</v>
      </c>
      <c r="M13"/>
      <c r="N13"/>
      <c r="O13"/>
      <c r="P13"/>
      <c r="Q13"/>
    </row>
    <row r="14" spans="1:17" x14ac:dyDescent="0.3">
      <c r="A14" t="s">
        <v>595</v>
      </c>
      <c r="B14" s="7" t="s">
        <v>58</v>
      </c>
      <c r="C14">
        <v>73289</v>
      </c>
      <c r="D14">
        <v>0</v>
      </c>
      <c r="E14" s="3" t="s">
        <v>596</v>
      </c>
      <c r="F14">
        <v>102</v>
      </c>
      <c r="G14" s="2" t="s">
        <v>53</v>
      </c>
      <c r="H14" s="4">
        <v>102</v>
      </c>
      <c r="I14" s="2" t="s">
        <v>60</v>
      </c>
      <c r="J14" s="2">
        <v>25</v>
      </c>
      <c r="K14" s="2" t="s">
        <v>301</v>
      </c>
      <c r="L14" s="2" t="s">
        <v>435</v>
      </c>
      <c r="M14"/>
      <c r="N14"/>
      <c r="O14"/>
      <c r="P14"/>
      <c r="Q14"/>
    </row>
    <row r="15" spans="1:17" x14ac:dyDescent="0.3">
      <c r="A15" t="s">
        <v>597</v>
      </c>
      <c r="B15" s="7" t="s">
        <v>58</v>
      </c>
      <c r="C15">
        <v>70011</v>
      </c>
      <c r="D15">
        <v>0</v>
      </c>
      <c r="E15" s="3" t="s">
        <v>598</v>
      </c>
      <c r="F15">
        <v>102</v>
      </c>
      <c r="G15" s="2" t="s">
        <v>52</v>
      </c>
      <c r="H15" s="4">
        <v>102</v>
      </c>
      <c r="I15" s="2" t="s">
        <v>59</v>
      </c>
      <c r="J15" s="2">
        <v>2</v>
      </c>
      <c r="K15" s="2" t="s">
        <v>303</v>
      </c>
      <c r="L15" s="2" t="s">
        <v>434</v>
      </c>
      <c r="M15"/>
      <c r="N15"/>
      <c r="O15"/>
      <c r="P15"/>
      <c r="Q15"/>
    </row>
    <row r="16" spans="1:17" x14ac:dyDescent="0.3">
      <c r="A16" t="s">
        <v>605</v>
      </c>
      <c r="B16" s="7" t="s">
        <v>58</v>
      </c>
      <c r="C16">
        <v>73519</v>
      </c>
      <c r="D16">
        <v>0</v>
      </c>
      <c r="E16" s="3" t="s">
        <v>606</v>
      </c>
      <c r="F16">
        <v>102</v>
      </c>
      <c r="G16" s="2" t="s">
        <v>52</v>
      </c>
      <c r="H16" s="4">
        <v>102</v>
      </c>
      <c r="I16" s="2" t="s">
        <v>59</v>
      </c>
      <c r="J16" s="2">
        <v>2</v>
      </c>
      <c r="K16" s="2" t="s">
        <v>303</v>
      </c>
      <c r="L16" s="2" t="s">
        <v>434</v>
      </c>
      <c r="M16"/>
      <c r="N16"/>
      <c r="O16"/>
      <c r="P16"/>
      <c r="Q16"/>
    </row>
    <row r="17" spans="1:17" x14ac:dyDescent="0.3">
      <c r="A17" t="s">
        <v>593</v>
      </c>
      <c r="B17" s="7" t="s">
        <v>58</v>
      </c>
      <c r="C17">
        <v>70024</v>
      </c>
      <c r="D17">
        <v>0</v>
      </c>
      <c r="E17" s="3" t="s">
        <v>594</v>
      </c>
      <c r="F17">
        <v>102</v>
      </c>
      <c r="G17" s="2" t="s">
        <v>53</v>
      </c>
      <c r="H17" s="4">
        <v>102</v>
      </c>
      <c r="I17" s="2" t="s">
        <v>60</v>
      </c>
      <c r="J17" s="2">
        <v>110</v>
      </c>
      <c r="K17" s="2" t="s">
        <v>301</v>
      </c>
      <c r="L17" s="2" t="s">
        <v>435</v>
      </c>
      <c r="M17"/>
      <c r="N17"/>
      <c r="O17"/>
      <c r="P17"/>
      <c r="Q17"/>
    </row>
    <row r="18" spans="1:17" x14ac:dyDescent="0.3">
      <c r="A18" t="s">
        <v>589</v>
      </c>
      <c r="B18" s="7" t="s">
        <v>58</v>
      </c>
      <c r="C18">
        <v>73413</v>
      </c>
      <c r="D18">
        <v>0</v>
      </c>
      <c r="E18" s="3" t="s">
        <v>590</v>
      </c>
      <c r="F18">
        <v>102</v>
      </c>
      <c r="G18" s="2" t="s">
        <v>53</v>
      </c>
      <c r="H18" s="4">
        <v>102</v>
      </c>
      <c r="I18" s="2" t="s">
        <v>60</v>
      </c>
      <c r="J18" s="2">
        <v>443</v>
      </c>
      <c r="K18" s="2" t="s">
        <v>301</v>
      </c>
      <c r="L18" s="2" t="s">
        <v>435</v>
      </c>
      <c r="M18"/>
      <c r="N18"/>
      <c r="O18"/>
      <c r="P18"/>
      <c r="Q18"/>
    </row>
    <row r="19" spans="1:17" x14ac:dyDescent="0.3">
      <c r="A19" t="s">
        <v>609</v>
      </c>
      <c r="B19" s="7" t="s">
        <v>58</v>
      </c>
      <c r="C19">
        <v>99031</v>
      </c>
      <c r="D19">
        <v>104</v>
      </c>
      <c r="E19" s="3" t="s">
        <v>610</v>
      </c>
      <c r="F19">
        <v>102</v>
      </c>
      <c r="G19" s="2" t="s">
        <v>53</v>
      </c>
      <c r="H19" s="4">
        <v>102</v>
      </c>
      <c r="I19" s="2" t="s">
        <v>60</v>
      </c>
      <c r="J19" s="2">
        <v>2</v>
      </c>
      <c r="K19" s="2" t="s">
        <v>301</v>
      </c>
      <c r="L19" s="2" t="s">
        <v>435</v>
      </c>
      <c r="M19"/>
      <c r="N19"/>
      <c r="O19"/>
      <c r="P19"/>
      <c r="Q19"/>
    </row>
    <row r="20" spans="1:17" x14ac:dyDescent="0.3">
      <c r="A20" t="s">
        <v>601</v>
      </c>
      <c r="B20" s="7" t="s">
        <v>58</v>
      </c>
      <c r="C20">
        <v>73569</v>
      </c>
      <c r="D20">
        <v>0</v>
      </c>
      <c r="E20" s="3" t="s">
        <v>602</v>
      </c>
      <c r="F20">
        <v>102</v>
      </c>
      <c r="G20" s="2" t="s">
        <v>53</v>
      </c>
      <c r="H20" s="4">
        <v>102</v>
      </c>
      <c r="I20" s="2" t="s">
        <v>60</v>
      </c>
      <c r="J20" s="2">
        <v>55</v>
      </c>
      <c r="K20" s="2" t="s">
        <v>301</v>
      </c>
      <c r="L20" s="2" t="s">
        <v>435</v>
      </c>
      <c r="M20"/>
      <c r="N20"/>
      <c r="O20"/>
      <c r="P20"/>
      <c r="Q20"/>
    </row>
    <row r="21" spans="1:17" x14ac:dyDescent="0.3">
      <c r="A21" t="s">
        <v>591</v>
      </c>
      <c r="B21" s="7" t="s">
        <v>58</v>
      </c>
      <c r="C21">
        <v>70537</v>
      </c>
      <c r="D21">
        <v>0</v>
      </c>
      <c r="E21" s="3" t="s">
        <v>592</v>
      </c>
      <c r="F21">
        <v>102</v>
      </c>
      <c r="G21" s="2" t="s">
        <v>53</v>
      </c>
      <c r="H21" s="4">
        <v>102</v>
      </c>
      <c r="I21" s="2" t="s">
        <v>60</v>
      </c>
      <c r="J21" s="2">
        <v>2</v>
      </c>
      <c r="K21" s="2" t="s">
        <v>301</v>
      </c>
      <c r="L21" s="2" t="s">
        <v>435</v>
      </c>
      <c r="M21"/>
      <c r="N21"/>
      <c r="O21"/>
      <c r="P21"/>
      <c r="Q21"/>
    </row>
    <row r="22" spans="1:17" x14ac:dyDescent="0.3">
      <c r="A22" t="s">
        <v>607</v>
      </c>
      <c r="B22" s="7" t="s">
        <v>58</v>
      </c>
      <c r="C22">
        <v>99031</v>
      </c>
      <c r="D22">
        <v>182</v>
      </c>
      <c r="E22" s="3" t="s">
        <v>608</v>
      </c>
      <c r="F22">
        <v>102</v>
      </c>
      <c r="G22" s="2" t="s">
        <v>52</v>
      </c>
      <c r="H22" s="4">
        <v>102</v>
      </c>
      <c r="I22" s="2" t="s">
        <v>59</v>
      </c>
      <c r="J22" s="2">
        <v>2</v>
      </c>
      <c r="K22" s="2" t="s">
        <v>303</v>
      </c>
      <c r="L22" s="2" t="s">
        <v>434</v>
      </c>
      <c r="M22"/>
      <c r="N22"/>
      <c r="O22"/>
      <c r="P22"/>
      <c r="Q22"/>
    </row>
    <row r="23" spans="1:17" x14ac:dyDescent="0.3">
      <c r="A23" t="s">
        <v>599</v>
      </c>
      <c r="B23" s="7" t="s">
        <v>58</v>
      </c>
      <c r="C23">
        <v>70013</v>
      </c>
      <c r="D23">
        <v>0</v>
      </c>
      <c r="E23" s="3" t="s">
        <v>600</v>
      </c>
      <c r="F23">
        <v>102</v>
      </c>
      <c r="G23" s="2" t="s">
        <v>52</v>
      </c>
      <c r="H23" s="4">
        <v>102</v>
      </c>
      <c r="I23" s="2" t="s">
        <v>59</v>
      </c>
      <c r="J23" s="2">
        <v>30</v>
      </c>
      <c r="K23" s="2" t="s">
        <v>303</v>
      </c>
      <c r="L23" s="2" t="s">
        <v>434</v>
      </c>
      <c r="M23"/>
      <c r="N23"/>
      <c r="O23"/>
      <c r="P23"/>
      <c r="Q23"/>
    </row>
    <row r="24" spans="1:17" x14ac:dyDescent="0.3">
      <c r="M24"/>
      <c r="N24"/>
      <c r="O24"/>
      <c r="P24"/>
      <c r="Q24"/>
    </row>
    <row r="25" spans="1:17" x14ac:dyDescent="0.3">
      <c r="M25"/>
      <c r="N25"/>
      <c r="O25"/>
      <c r="P25"/>
      <c r="Q25"/>
    </row>
    <row r="26" spans="1:17" x14ac:dyDescent="0.3">
      <c r="M26"/>
      <c r="N26"/>
      <c r="O26"/>
      <c r="P26"/>
      <c r="Q26"/>
    </row>
    <row r="27" spans="1:17" x14ac:dyDescent="0.3">
      <c r="M27"/>
      <c r="N27"/>
      <c r="O27"/>
      <c r="P27"/>
      <c r="Q27"/>
    </row>
    <row r="28" spans="1:17" x14ac:dyDescent="0.3">
      <c r="M28"/>
      <c r="N28"/>
      <c r="O28"/>
      <c r="P28"/>
      <c r="Q28"/>
    </row>
    <row r="29" spans="1:17" x14ac:dyDescent="0.3">
      <c r="M29"/>
      <c r="N29"/>
      <c r="O29"/>
      <c r="P29"/>
      <c r="Q29"/>
    </row>
    <row r="30" spans="1:17" x14ac:dyDescent="0.3">
      <c r="M30"/>
      <c r="N30"/>
      <c r="O30"/>
      <c r="P30"/>
      <c r="Q30"/>
    </row>
    <row r="31" spans="1:17" x14ac:dyDescent="0.3">
      <c r="M31"/>
      <c r="N31"/>
      <c r="O31"/>
      <c r="P31"/>
      <c r="Q31"/>
    </row>
    <row r="32" spans="1:17" x14ac:dyDescent="0.3">
      <c r="M32"/>
      <c r="N32"/>
      <c r="O32"/>
      <c r="P32"/>
      <c r="Q32"/>
    </row>
    <row r="33" spans="13:17" x14ac:dyDescent="0.3">
      <c r="M33"/>
      <c r="N33"/>
      <c r="O33"/>
      <c r="P33"/>
      <c r="Q33"/>
    </row>
    <row r="34" spans="13:17" x14ac:dyDescent="0.3">
      <c r="M34"/>
      <c r="N34"/>
      <c r="O34"/>
      <c r="P34"/>
      <c r="Q34"/>
    </row>
    <row r="35" spans="13:17" x14ac:dyDescent="0.3">
      <c r="M35"/>
      <c r="N35"/>
      <c r="O35"/>
      <c r="P35"/>
      <c r="Q35"/>
    </row>
    <row r="36" spans="13:17" x14ac:dyDescent="0.3">
      <c r="M36"/>
      <c r="N36"/>
      <c r="O36"/>
      <c r="P36"/>
      <c r="Q36"/>
    </row>
    <row r="37" spans="13:17" x14ac:dyDescent="0.3">
      <c r="M37"/>
      <c r="N37"/>
      <c r="O37"/>
      <c r="P37"/>
      <c r="Q37"/>
    </row>
    <row r="38" spans="13:17" x14ac:dyDescent="0.3">
      <c r="M38"/>
      <c r="N38"/>
      <c r="O38"/>
      <c r="P38"/>
      <c r="Q38"/>
    </row>
    <row r="39" spans="13:17" x14ac:dyDescent="0.3">
      <c r="M39"/>
      <c r="N39"/>
      <c r="O39"/>
      <c r="P39"/>
      <c r="Q39"/>
    </row>
    <row r="40" spans="13:17" x14ac:dyDescent="0.3">
      <c r="M40"/>
      <c r="N40"/>
      <c r="O40"/>
      <c r="P40"/>
      <c r="Q40"/>
    </row>
    <row r="41" spans="13:17" x14ac:dyDescent="0.3">
      <c r="M41"/>
      <c r="N41"/>
      <c r="O41"/>
      <c r="P41"/>
      <c r="Q41"/>
    </row>
    <row r="42" spans="13:17" x14ac:dyDescent="0.3">
      <c r="M42"/>
      <c r="N42"/>
      <c r="O42"/>
      <c r="P42"/>
      <c r="Q42"/>
    </row>
    <row r="43" spans="13:17" x14ac:dyDescent="0.3">
      <c r="M43"/>
      <c r="N43"/>
      <c r="O43"/>
      <c r="P43"/>
      <c r="Q43"/>
    </row>
    <row r="44" spans="13:17" x14ac:dyDescent="0.3">
      <c r="M44"/>
      <c r="N44"/>
      <c r="O44"/>
      <c r="P44"/>
      <c r="Q44"/>
    </row>
    <row r="45" spans="13:17" x14ac:dyDescent="0.3">
      <c r="M45"/>
      <c r="N45"/>
      <c r="O45"/>
      <c r="P45"/>
      <c r="Q45"/>
    </row>
    <row r="46" spans="13:17" x14ac:dyDescent="0.3">
      <c r="M46"/>
      <c r="N46"/>
      <c r="O46"/>
      <c r="P46"/>
      <c r="Q46"/>
    </row>
    <row r="47" spans="13:17" x14ac:dyDescent="0.3">
      <c r="M47"/>
      <c r="N47"/>
      <c r="O47"/>
      <c r="P47"/>
      <c r="Q47"/>
    </row>
    <row r="48" spans="13:17" x14ac:dyDescent="0.3">
      <c r="M48"/>
      <c r="N48"/>
      <c r="O48"/>
      <c r="P48"/>
      <c r="Q48"/>
    </row>
    <row r="49" spans="13:17" x14ac:dyDescent="0.3">
      <c r="M49"/>
      <c r="N49"/>
      <c r="O49"/>
      <c r="P49"/>
      <c r="Q49"/>
    </row>
    <row r="50" spans="13:17" x14ac:dyDescent="0.3">
      <c r="M50"/>
      <c r="N50"/>
      <c r="O50"/>
      <c r="P50"/>
      <c r="Q50"/>
    </row>
    <row r="51" spans="13:17" x14ac:dyDescent="0.3">
      <c r="M51"/>
      <c r="N51"/>
      <c r="O51"/>
      <c r="P51"/>
      <c r="Q51"/>
    </row>
    <row r="52" spans="13:17" x14ac:dyDescent="0.3">
      <c r="M52"/>
      <c r="N52"/>
      <c r="O52"/>
      <c r="P52"/>
      <c r="Q52"/>
    </row>
    <row r="53" spans="13:17" x14ac:dyDescent="0.3">
      <c r="Q53"/>
    </row>
    <row r="54" spans="13:17" x14ac:dyDescent="0.3">
      <c r="Q54"/>
    </row>
    <row r="55" spans="13:17" x14ac:dyDescent="0.3">
      <c r="Q55"/>
    </row>
    <row r="56" spans="13:17" x14ac:dyDescent="0.3">
      <c r="Q56"/>
    </row>
    <row r="57" spans="13:17" x14ac:dyDescent="0.3">
      <c r="Q57"/>
    </row>
    <row r="58" spans="13:17" x14ac:dyDescent="0.3">
      <c r="Q58"/>
    </row>
    <row r="59" spans="13:17" x14ac:dyDescent="0.3">
      <c r="Q59"/>
    </row>
    <row r="60" spans="13:17" x14ac:dyDescent="0.3">
      <c r="Q60"/>
    </row>
    <row r="61" spans="13:17" x14ac:dyDescent="0.3">
      <c r="Q61"/>
    </row>
    <row r="62" spans="13:17" x14ac:dyDescent="0.3">
      <c r="Q62"/>
    </row>
    <row r="63" spans="13:17" x14ac:dyDescent="0.3">
      <c r="Q63"/>
    </row>
    <row r="64" spans="13:17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</sheetData>
  <phoneticPr fontId="1" type="noConversion"/>
  <pageMargins left="0.45" right="0.45" top="0.5" bottom="0.5" header="0.3" footer="0.3"/>
  <pageSetup scale="78" fitToHeight="0" orientation="landscape" r:id="rId1"/>
  <headerFooter>
    <oddHeader>&amp;L&amp;A&amp;C&amp;D&amp;RPage &amp;P</oddHead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8B739-4768-4B37-BF8D-34D281C66236}">
  <sheetPr codeName="Sheet9">
    <pageSetUpPr fitToPage="1"/>
  </sheetPr>
  <dimension ref="A1:D2"/>
  <sheetViews>
    <sheetView workbookViewId="0">
      <selection activeCell="A31" sqref="A31"/>
    </sheetView>
  </sheetViews>
  <sheetFormatPr defaultRowHeight="14.4" x14ac:dyDescent="0.3"/>
  <cols>
    <col min="1" max="1" width="8" style="2" customWidth="1"/>
    <col min="2" max="2" width="9.21875" style="2" customWidth="1"/>
    <col min="3" max="3" width="11.44140625" style="2" customWidth="1"/>
    <col min="4" max="4" width="21.77734375" style="2" customWidth="1"/>
    <col min="5" max="5" width="56.21875" bestFit="1" customWidth="1"/>
    <col min="6" max="7" width="17.88671875" bestFit="1" customWidth="1"/>
    <col min="8" max="8" width="9.77734375" bestFit="1" customWidth="1"/>
    <col min="9" max="9" width="8.33203125" bestFit="1" customWidth="1"/>
  </cols>
  <sheetData>
    <row r="1" spans="1:4" s="6" customFormat="1" ht="47.4" customHeight="1" x14ac:dyDescent="0.3">
      <c r="A1" s="4" t="s">
        <v>275</v>
      </c>
      <c r="B1" s="4" t="s">
        <v>5</v>
      </c>
      <c r="C1" s="4" t="s">
        <v>73</v>
      </c>
      <c r="D1" s="4" t="s">
        <v>72</v>
      </c>
    </row>
    <row r="2" spans="1:4" x14ac:dyDescent="0.3">
      <c r="A2" s="7"/>
      <c r="D2"/>
    </row>
  </sheetData>
  <phoneticPr fontId="1" type="noConversion"/>
  <printOptions horizontalCentered="1" verticalCentered="1"/>
  <pageMargins left="0.7" right="0.7" top="0.75" bottom="0.75" header="0.3" footer="0.3"/>
  <pageSetup fitToHeight="0" orientation="portrait" r:id="rId1"/>
  <headerFooter>
    <oddHeader>&amp;C&amp;"-,Bold"&amp;24&amp;A</oddHead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47747-8277-412C-B0BE-C28089A0E1C3}">
  <sheetPr codeName="Sheet13"/>
  <dimension ref="A1:F28"/>
  <sheetViews>
    <sheetView workbookViewId="0">
      <selection activeCell="F157" sqref="A2:F157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761</v>
      </c>
      <c r="C2">
        <v>0</v>
      </c>
      <c r="D2">
        <v>0</v>
      </c>
      <c r="E2">
        <v>0</v>
      </c>
      <c r="F2">
        <v>0</v>
      </c>
    </row>
    <row r="3" spans="1:6" x14ac:dyDescent="0.3">
      <c r="A3" t="s">
        <v>762</v>
      </c>
      <c r="C3">
        <v>0</v>
      </c>
      <c r="D3">
        <v>0</v>
      </c>
      <c r="E3">
        <v>0</v>
      </c>
      <c r="F3">
        <v>0</v>
      </c>
    </row>
    <row r="4" spans="1:6" x14ac:dyDescent="0.3">
      <c r="A4" t="s">
        <v>763</v>
      </c>
      <c r="C4">
        <v>0</v>
      </c>
      <c r="D4">
        <v>0</v>
      </c>
      <c r="E4">
        <v>0</v>
      </c>
      <c r="F4">
        <v>0</v>
      </c>
    </row>
    <row r="5" spans="1:6" x14ac:dyDescent="0.3">
      <c r="A5" t="s">
        <v>764</v>
      </c>
      <c r="C5">
        <v>0</v>
      </c>
      <c r="D5">
        <v>0</v>
      </c>
      <c r="E5">
        <v>0</v>
      </c>
      <c r="F5">
        <v>0</v>
      </c>
    </row>
    <row r="6" spans="1:6" x14ac:dyDescent="0.3">
      <c r="A6" t="s">
        <v>674</v>
      </c>
      <c r="C6">
        <v>0</v>
      </c>
      <c r="D6">
        <v>0</v>
      </c>
      <c r="E6">
        <v>0</v>
      </c>
      <c r="F6">
        <v>0</v>
      </c>
    </row>
    <row r="7" spans="1:6" x14ac:dyDescent="0.3">
      <c r="A7" t="s">
        <v>765</v>
      </c>
      <c r="C7">
        <v>0</v>
      </c>
      <c r="D7">
        <v>0</v>
      </c>
      <c r="E7">
        <v>0</v>
      </c>
      <c r="F7">
        <v>0</v>
      </c>
    </row>
    <row r="8" spans="1:6" x14ac:dyDescent="0.3">
      <c r="A8" t="s">
        <v>766</v>
      </c>
      <c r="C8">
        <v>0</v>
      </c>
      <c r="D8">
        <v>0</v>
      </c>
      <c r="E8">
        <v>0</v>
      </c>
      <c r="F8">
        <v>0</v>
      </c>
    </row>
    <row r="9" spans="1:6" x14ac:dyDescent="0.3">
      <c r="A9" t="s">
        <v>696</v>
      </c>
      <c r="C9">
        <v>0</v>
      </c>
      <c r="D9">
        <v>0</v>
      </c>
      <c r="E9">
        <v>0</v>
      </c>
      <c r="F9">
        <v>0</v>
      </c>
    </row>
    <row r="10" spans="1:6" x14ac:dyDescent="0.3">
      <c r="A10" t="s">
        <v>726</v>
      </c>
      <c r="C10">
        <v>0</v>
      </c>
      <c r="D10">
        <v>0</v>
      </c>
      <c r="E10">
        <v>0</v>
      </c>
      <c r="F10">
        <v>0</v>
      </c>
    </row>
    <row r="11" spans="1:6" x14ac:dyDescent="0.3">
      <c r="A11" t="s">
        <v>728</v>
      </c>
      <c r="C11">
        <v>0</v>
      </c>
      <c r="D11">
        <v>0</v>
      </c>
      <c r="E11">
        <v>0</v>
      </c>
      <c r="F11">
        <v>0</v>
      </c>
    </row>
    <row r="12" spans="1:6" x14ac:dyDescent="0.3">
      <c r="A12" t="s">
        <v>748</v>
      </c>
      <c r="C12">
        <v>0</v>
      </c>
      <c r="D12">
        <v>0</v>
      </c>
      <c r="E12">
        <v>0</v>
      </c>
      <c r="F12">
        <v>0</v>
      </c>
    </row>
    <row r="13" spans="1:6" x14ac:dyDescent="0.3">
      <c r="A13" t="s">
        <v>750</v>
      </c>
      <c r="C13">
        <v>0</v>
      </c>
      <c r="D13">
        <v>0</v>
      </c>
      <c r="E13">
        <v>0</v>
      </c>
      <c r="F13">
        <v>0</v>
      </c>
    </row>
    <row r="14" spans="1:6" x14ac:dyDescent="0.3">
      <c r="A14" t="s">
        <v>702</v>
      </c>
      <c r="C14">
        <v>0</v>
      </c>
      <c r="D14">
        <v>0</v>
      </c>
      <c r="E14">
        <v>0</v>
      </c>
      <c r="F14">
        <v>0</v>
      </c>
    </row>
    <row r="15" spans="1:6" x14ac:dyDescent="0.3">
      <c r="A15" t="s">
        <v>752</v>
      </c>
      <c r="C15">
        <v>0</v>
      </c>
      <c r="D15">
        <v>0</v>
      </c>
      <c r="E15">
        <v>0</v>
      </c>
      <c r="F15">
        <v>0</v>
      </c>
    </row>
    <row r="16" spans="1:6" x14ac:dyDescent="0.3">
      <c r="A16" t="s">
        <v>663</v>
      </c>
      <c r="C16">
        <v>0</v>
      </c>
      <c r="D16">
        <v>0</v>
      </c>
      <c r="E16">
        <v>0</v>
      </c>
      <c r="F16">
        <v>0</v>
      </c>
    </row>
    <row r="17" spans="1:6" x14ac:dyDescent="0.3">
      <c r="A17" t="s">
        <v>767</v>
      </c>
      <c r="C17">
        <v>0</v>
      </c>
      <c r="D17">
        <v>0</v>
      </c>
      <c r="E17">
        <v>0</v>
      </c>
      <c r="F17">
        <v>0</v>
      </c>
    </row>
    <row r="18" spans="1:6" x14ac:dyDescent="0.3">
      <c r="A18" t="s">
        <v>768</v>
      </c>
      <c r="C18">
        <v>0</v>
      </c>
      <c r="D18">
        <v>0</v>
      </c>
      <c r="E18">
        <v>0</v>
      </c>
      <c r="F18">
        <v>0</v>
      </c>
    </row>
    <row r="19" spans="1:6" x14ac:dyDescent="0.3">
      <c r="A19" t="s">
        <v>736</v>
      </c>
      <c r="C19">
        <v>0</v>
      </c>
      <c r="D19">
        <v>0</v>
      </c>
      <c r="E19">
        <v>0</v>
      </c>
      <c r="F19">
        <v>0</v>
      </c>
    </row>
    <row r="20" spans="1:6" x14ac:dyDescent="0.3">
      <c r="A20" t="s">
        <v>769</v>
      </c>
      <c r="C20">
        <v>0</v>
      </c>
      <c r="D20">
        <v>0</v>
      </c>
      <c r="E20">
        <v>0</v>
      </c>
      <c r="F20">
        <v>0</v>
      </c>
    </row>
    <row r="21" spans="1:6" x14ac:dyDescent="0.3">
      <c r="A21" t="s">
        <v>770</v>
      </c>
      <c r="C21">
        <v>0</v>
      </c>
      <c r="D21">
        <v>0</v>
      </c>
      <c r="E21">
        <v>0</v>
      </c>
      <c r="F21">
        <v>0</v>
      </c>
    </row>
    <row r="22" spans="1:6" x14ac:dyDescent="0.3">
      <c r="A22" t="s">
        <v>771</v>
      </c>
      <c r="C22">
        <v>0</v>
      </c>
      <c r="D22">
        <v>0</v>
      </c>
      <c r="E22">
        <v>0</v>
      </c>
      <c r="F22">
        <v>0</v>
      </c>
    </row>
    <row r="23" spans="1:6" x14ac:dyDescent="0.3">
      <c r="A23" t="s">
        <v>772</v>
      </c>
      <c r="C23">
        <v>0</v>
      </c>
      <c r="D23">
        <v>0</v>
      </c>
      <c r="E23">
        <v>0</v>
      </c>
      <c r="F23">
        <v>0</v>
      </c>
    </row>
    <row r="24" spans="1:6" x14ac:dyDescent="0.3">
      <c r="A24" t="s">
        <v>706</v>
      </c>
      <c r="C24">
        <v>0</v>
      </c>
      <c r="D24">
        <v>0</v>
      </c>
      <c r="E24">
        <v>0</v>
      </c>
      <c r="F24">
        <v>0</v>
      </c>
    </row>
    <row r="25" spans="1:6" x14ac:dyDescent="0.3">
      <c r="A25" t="s">
        <v>708</v>
      </c>
      <c r="C25">
        <v>0</v>
      </c>
      <c r="D25">
        <v>0</v>
      </c>
      <c r="E25">
        <v>0</v>
      </c>
      <c r="F25">
        <v>0</v>
      </c>
    </row>
    <row r="26" spans="1:6" x14ac:dyDescent="0.3">
      <c r="A26" t="s">
        <v>710</v>
      </c>
      <c r="C26">
        <v>0</v>
      </c>
      <c r="D26">
        <v>0</v>
      </c>
      <c r="E26">
        <v>0</v>
      </c>
      <c r="F26">
        <v>0</v>
      </c>
    </row>
    <row r="27" spans="1:6" x14ac:dyDescent="0.3">
      <c r="A27" t="s">
        <v>718</v>
      </c>
      <c r="C27">
        <v>0</v>
      </c>
      <c r="D27">
        <v>0</v>
      </c>
      <c r="E27">
        <v>0</v>
      </c>
      <c r="F27">
        <v>0</v>
      </c>
    </row>
    <row r="28" spans="1:6" x14ac:dyDescent="0.3">
      <c r="A28" t="s">
        <v>773</v>
      </c>
      <c r="C28">
        <v>0</v>
      </c>
      <c r="D28">
        <v>0</v>
      </c>
      <c r="E28">
        <v>0</v>
      </c>
      <c r="F2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734A6-19D3-4EA0-AA6B-13B59CD7AB76}">
  <sheetPr codeName="Sheet12"/>
  <dimension ref="A1:F33"/>
  <sheetViews>
    <sheetView topLeftCell="A7" workbookViewId="0">
      <selection activeCell="F134" sqref="A2:F134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  <col min="10" max="10" width="8.21875" bestFit="1" customWidth="1"/>
    <col min="11" max="11" width="11.77734375" bestFit="1" customWidth="1"/>
    <col min="12" max="12" width="10.6640625" bestFit="1" customWidth="1"/>
    <col min="13" max="13" width="11.44140625" bestFit="1" customWidth="1"/>
    <col min="14" max="14" width="10.77734375" bestFit="1" customWidth="1"/>
    <col min="15" max="15" width="9.6640625" bestFit="1" customWidth="1"/>
    <col min="18" max="18" width="8.21875" bestFit="1" customWidth="1"/>
    <col min="19" max="19" width="11.77734375" bestFit="1" customWidth="1"/>
    <col min="20" max="20" width="10.6640625" bestFit="1" customWidth="1"/>
    <col min="21" max="21" width="11.44140625" bestFit="1" customWidth="1"/>
    <col min="22" max="22" width="10.77734375" bestFit="1" customWidth="1"/>
    <col min="23" max="23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774</v>
      </c>
      <c r="B2">
        <v>0</v>
      </c>
      <c r="D2">
        <v>0</v>
      </c>
      <c r="E2">
        <v>0</v>
      </c>
      <c r="F2">
        <v>0</v>
      </c>
    </row>
    <row r="3" spans="1:6" x14ac:dyDescent="0.3">
      <c r="A3" t="s">
        <v>775</v>
      </c>
      <c r="B3">
        <v>0</v>
      </c>
      <c r="D3">
        <v>0</v>
      </c>
      <c r="E3">
        <v>0</v>
      </c>
      <c r="F3">
        <v>0</v>
      </c>
    </row>
    <row r="4" spans="1:6" x14ac:dyDescent="0.3">
      <c r="A4" t="s">
        <v>661</v>
      </c>
      <c r="B4">
        <v>0</v>
      </c>
      <c r="D4">
        <v>0</v>
      </c>
      <c r="E4">
        <v>0</v>
      </c>
      <c r="F4">
        <v>0</v>
      </c>
    </row>
    <row r="5" spans="1:6" x14ac:dyDescent="0.3">
      <c r="A5" t="s">
        <v>746</v>
      </c>
      <c r="B5">
        <v>0</v>
      </c>
      <c r="D5">
        <v>0</v>
      </c>
      <c r="E5">
        <v>0</v>
      </c>
      <c r="F5">
        <v>0</v>
      </c>
    </row>
    <row r="6" spans="1:6" x14ac:dyDescent="0.3">
      <c r="A6" t="s">
        <v>776</v>
      </c>
      <c r="B6">
        <v>0</v>
      </c>
      <c r="D6">
        <v>0</v>
      </c>
      <c r="E6">
        <v>0</v>
      </c>
      <c r="F6">
        <v>0</v>
      </c>
    </row>
    <row r="7" spans="1:6" x14ac:dyDescent="0.3">
      <c r="A7" t="s">
        <v>777</v>
      </c>
      <c r="B7">
        <v>0</v>
      </c>
      <c r="D7">
        <v>0</v>
      </c>
      <c r="E7">
        <v>0</v>
      </c>
      <c r="F7">
        <v>0</v>
      </c>
    </row>
    <row r="8" spans="1:6" x14ac:dyDescent="0.3">
      <c r="A8" t="s">
        <v>778</v>
      </c>
      <c r="B8">
        <v>0</v>
      </c>
      <c r="D8">
        <v>0</v>
      </c>
      <c r="E8">
        <v>0</v>
      </c>
      <c r="F8">
        <v>0</v>
      </c>
    </row>
    <row r="9" spans="1:6" x14ac:dyDescent="0.3">
      <c r="A9" t="s">
        <v>779</v>
      </c>
      <c r="B9">
        <v>0</v>
      </c>
      <c r="D9">
        <v>0</v>
      </c>
      <c r="E9">
        <v>0</v>
      </c>
      <c r="F9">
        <v>0</v>
      </c>
    </row>
    <row r="10" spans="1:6" x14ac:dyDescent="0.3">
      <c r="A10" t="s">
        <v>780</v>
      </c>
      <c r="B10">
        <v>0</v>
      </c>
      <c r="D10">
        <v>0</v>
      </c>
      <c r="E10">
        <v>0</v>
      </c>
      <c r="F10">
        <v>0</v>
      </c>
    </row>
    <row r="11" spans="1:6" x14ac:dyDescent="0.3">
      <c r="A11" t="s">
        <v>781</v>
      </c>
      <c r="B11">
        <v>0</v>
      </c>
      <c r="D11">
        <v>0</v>
      </c>
      <c r="E11">
        <v>0</v>
      </c>
      <c r="F11">
        <v>0</v>
      </c>
    </row>
    <row r="12" spans="1:6" x14ac:dyDescent="0.3">
      <c r="A12" t="s">
        <v>782</v>
      </c>
      <c r="B12">
        <v>0</v>
      </c>
      <c r="D12">
        <v>0</v>
      </c>
      <c r="E12">
        <v>0</v>
      </c>
      <c r="F12">
        <v>0</v>
      </c>
    </row>
    <row r="13" spans="1:6" x14ac:dyDescent="0.3">
      <c r="A13" t="s">
        <v>688</v>
      </c>
      <c r="B13">
        <v>0</v>
      </c>
      <c r="D13">
        <v>0</v>
      </c>
      <c r="E13">
        <v>0</v>
      </c>
      <c r="F13">
        <v>0</v>
      </c>
    </row>
    <row r="14" spans="1:6" x14ac:dyDescent="0.3">
      <c r="A14" t="s">
        <v>783</v>
      </c>
      <c r="B14">
        <v>0</v>
      </c>
      <c r="D14">
        <v>0</v>
      </c>
      <c r="E14">
        <v>0</v>
      </c>
      <c r="F14">
        <v>0</v>
      </c>
    </row>
    <row r="15" spans="1:6" x14ac:dyDescent="0.3">
      <c r="A15" t="s">
        <v>690</v>
      </c>
      <c r="B15">
        <v>0</v>
      </c>
      <c r="D15">
        <v>0</v>
      </c>
      <c r="E15">
        <v>0</v>
      </c>
      <c r="F15">
        <v>0</v>
      </c>
    </row>
    <row r="16" spans="1:6" x14ac:dyDescent="0.3">
      <c r="A16" t="s">
        <v>784</v>
      </c>
      <c r="B16">
        <v>0</v>
      </c>
      <c r="D16">
        <v>0</v>
      </c>
      <c r="E16">
        <v>0</v>
      </c>
      <c r="F16">
        <v>0</v>
      </c>
    </row>
    <row r="17" spans="1:6" x14ac:dyDescent="0.3">
      <c r="A17" t="s">
        <v>785</v>
      </c>
      <c r="B17">
        <v>0</v>
      </c>
      <c r="D17">
        <v>0</v>
      </c>
      <c r="E17">
        <v>0</v>
      </c>
      <c r="F17">
        <v>0</v>
      </c>
    </row>
    <row r="18" spans="1:6" x14ac:dyDescent="0.3">
      <c r="A18" t="s">
        <v>611</v>
      </c>
      <c r="B18">
        <v>0</v>
      </c>
      <c r="D18">
        <v>0</v>
      </c>
      <c r="E18">
        <v>0</v>
      </c>
      <c r="F18">
        <v>0</v>
      </c>
    </row>
    <row r="19" spans="1:6" x14ac:dyDescent="0.3">
      <c r="A19" t="s">
        <v>730</v>
      </c>
      <c r="B19">
        <v>0</v>
      </c>
      <c r="D19">
        <v>0</v>
      </c>
      <c r="E19">
        <v>0</v>
      </c>
      <c r="F19">
        <v>0</v>
      </c>
    </row>
    <row r="20" spans="1:6" x14ac:dyDescent="0.3">
      <c r="A20" t="s">
        <v>638</v>
      </c>
      <c r="B20">
        <v>0</v>
      </c>
      <c r="D20">
        <v>0</v>
      </c>
      <c r="E20">
        <v>0</v>
      </c>
      <c r="F20">
        <v>0</v>
      </c>
    </row>
    <row r="21" spans="1:6" x14ac:dyDescent="0.3">
      <c r="A21" t="s">
        <v>786</v>
      </c>
      <c r="B21">
        <v>0</v>
      </c>
      <c r="D21">
        <v>0</v>
      </c>
      <c r="E21">
        <v>0</v>
      </c>
      <c r="F21">
        <v>0</v>
      </c>
    </row>
    <row r="22" spans="1:6" x14ac:dyDescent="0.3">
      <c r="A22" t="s">
        <v>787</v>
      </c>
      <c r="B22">
        <v>0</v>
      </c>
      <c r="D22">
        <v>0</v>
      </c>
      <c r="E22">
        <v>0</v>
      </c>
      <c r="F22">
        <v>0</v>
      </c>
    </row>
    <row r="23" spans="1:6" x14ac:dyDescent="0.3">
      <c r="A23" t="s">
        <v>788</v>
      </c>
      <c r="B23">
        <v>0</v>
      </c>
      <c r="D23">
        <v>0</v>
      </c>
      <c r="E23">
        <v>0</v>
      </c>
      <c r="F23">
        <v>0</v>
      </c>
    </row>
    <row r="24" spans="1:6" x14ac:dyDescent="0.3">
      <c r="A24" t="s">
        <v>732</v>
      </c>
      <c r="B24">
        <v>0</v>
      </c>
      <c r="D24">
        <v>0</v>
      </c>
      <c r="E24">
        <v>0</v>
      </c>
      <c r="F24">
        <v>0</v>
      </c>
    </row>
    <row r="25" spans="1:6" x14ac:dyDescent="0.3">
      <c r="A25" t="s">
        <v>789</v>
      </c>
      <c r="B25">
        <v>0</v>
      </c>
      <c r="D25">
        <v>0</v>
      </c>
      <c r="E25">
        <v>0</v>
      </c>
      <c r="F25">
        <v>0</v>
      </c>
    </row>
    <row r="26" spans="1:6" x14ac:dyDescent="0.3">
      <c r="A26" t="s">
        <v>790</v>
      </c>
      <c r="B26">
        <v>0</v>
      </c>
      <c r="D26">
        <v>0</v>
      </c>
      <c r="E26">
        <v>0</v>
      </c>
      <c r="F26">
        <v>0</v>
      </c>
    </row>
    <row r="27" spans="1:6" x14ac:dyDescent="0.3">
      <c r="A27" t="s">
        <v>791</v>
      </c>
      <c r="B27">
        <v>0</v>
      </c>
      <c r="D27">
        <v>0</v>
      </c>
      <c r="E27">
        <v>0</v>
      </c>
      <c r="F27">
        <v>0</v>
      </c>
    </row>
    <row r="28" spans="1:6" x14ac:dyDescent="0.3">
      <c r="A28" t="s">
        <v>792</v>
      </c>
      <c r="B28">
        <v>0</v>
      </c>
      <c r="D28">
        <v>0</v>
      </c>
      <c r="E28">
        <v>0</v>
      </c>
      <c r="F28">
        <v>0</v>
      </c>
    </row>
    <row r="29" spans="1:6" x14ac:dyDescent="0.3">
      <c r="A29" t="s">
        <v>645</v>
      </c>
      <c r="B29">
        <v>0</v>
      </c>
      <c r="D29">
        <v>0</v>
      </c>
      <c r="E29">
        <v>0</v>
      </c>
      <c r="F29">
        <v>0</v>
      </c>
    </row>
    <row r="30" spans="1:6" x14ac:dyDescent="0.3">
      <c r="A30" t="s">
        <v>712</v>
      </c>
      <c r="B30">
        <v>0</v>
      </c>
      <c r="D30">
        <v>0</v>
      </c>
      <c r="E30">
        <v>0</v>
      </c>
      <c r="F30">
        <v>0</v>
      </c>
    </row>
    <row r="31" spans="1:6" x14ac:dyDescent="0.3">
      <c r="A31" t="s">
        <v>793</v>
      </c>
      <c r="B31">
        <v>0</v>
      </c>
      <c r="D31">
        <v>0</v>
      </c>
      <c r="E31">
        <v>0</v>
      </c>
      <c r="F31">
        <v>0</v>
      </c>
    </row>
    <row r="32" spans="1:6" x14ac:dyDescent="0.3">
      <c r="A32" t="s">
        <v>655</v>
      </c>
      <c r="B32">
        <v>0</v>
      </c>
      <c r="D32">
        <v>0</v>
      </c>
      <c r="E32">
        <v>0</v>
      </c>
      <c r="F32">
        <v>0</v>
      </c>
    </row>
    <row r="33" spans="1:6" x14ac:dyDescent="0.3">
      <c r="A33" t="s">
        <v>794</v>
      </c>
      <c r="B33">
        <v>0</v>
      </c>
      <c r="D33">
        <v>0</v>
      </c>
      <c r="E33">
        <v>0</v>
      </c>
      <c r="F33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40BEF-80B3-4C36-BD7F-23A461770A19}">
  <sheetPr codeName="Sheet11"/>
  <dimension ref="A1:F27"/>
  <sheetViews>
    <sheetView topLeftCell="A129" workbookViewId="0">
      <selection activeCell="A3" sqref="A2:F149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615</v>
      </c>
      <c r="B2">
        <v>0</v>
      </c>
      <c r="C2">
        <v>0</v>
      </c>
      <c r="E2">
        <v>0</v>
      </c>
      <c r="F2">
        <v>0</v>
      </c>
    </row>
    <row r="3" spans="1:6" x14ac:dyDescent="0.3">
      <c r="A3" t="s">
        <v>795</v>
      </c>
      <c r="B3">
        <v>0</v>
      </c>
      <c r="C3">
        <v>0</v>
      </c>
      <c r="E3">
        <v>0</v>
      </c>
      <c r="F3">
        <v>0</v>
      </c>
    </row>
    <row r="4" spans="1:6" x14ac:dyDescent="0.3">
      <c r="A4" t="s">
        <v>796</v>
      </c>
      <c r="B4">
        <v>0</v>
      </c>
      <c r="C4">
        <v>0</v>
      </c>
      <c r="E4">
        <v>0</v>
      </c>
      <c r="F4">
        <v>0</v>
      </c>
    </row>
    <row r="5" spans="1:6" x14ac:dyDescent="0.3">
      <c r="A5" t="s">
        <v>797</v>
      </c>
      <c r="B5">
        <v>0</v>
      </c>
      <c r="C5">
        <v>0</v>
      </c>
      <c r="E5">
        <v>0</v>
      </c>
      <c r="F5">
        <v>0</v>
      </c>
    </row>
    <row r="6" spans="1:6" x14ac:dyDescent="0.3">
      <c r="A6" t="s">
        <v>740</v>
      </c>
      <c r="B6">
        <v>0</v>
      </c>
      <c r="C6">
        <v>0</v>
      </c>
      <c r="E6">
        <v>0</v>
      </c>
      <c r="F6">
        <v>0</v>
      </c>
    </row>
    <row r="7" spans="1:6" x14ac:dyDescent="0.3">
      <c r="A7" t="s">
        <v>742</v>
      </c>
      <c r="B7">
        <v>0</v>
      </c>
      <c r="C7">
        <v>0</v>
      </c>
      <c r="E7">
        <v>0</v>
      </c>
      <c r="F7">
        <v>0</v>
      </c>
    </row>
    <row r="8" spans="1:6" x14ac:dyDescent="0.3">
      <c r="A8" t="s">
        <v>744</v>
      </c>
      <c r="B8">
        <v>0</v>
      </c>
      <c r="C8">
        <v>0</v>
      </c>
      <c r="E8">
        <v>0</v>
      </c>
      <c r="F8">
        <v>0</v>
      </c>
    </row>
    <row r="9" spans="1:6" x14ac:dyDescent="0.3">
      <c r="A9" t="s">
        <v>798</v>
      </c>
      <c r="B9">
        <v>0</v>
      </c>
      <c r="C9">
        <v>0</v>
      </c>
      <c r="E9">
        <v>0</v>
      </c>
      <c r="F9">
        <v>0</v>
      </c>
    </row>
    <row r="10" spans="1:6" x14ac:dyDescent="0.3">
      <c r="A10" t="s">
        <v>799</v>
      </c>
      <c r="B10">
        <v>0</v>
      </c>
      <c r="C10">
        <v>0</v>
      </c>
      <c r="E10">
        <v>0</v>
      </c>
      <c r="F10">
        <v>0</v>
      </c>
    </row>
    <row r="11" spans="1:6" x14ac:dyDescent="0.3">
      <c r="A11" t="s">
        <v>613</v>
      </c>
      <c r="B11">
        <v>0</v>
      </c>
      <c r="C11">
        <v>0</v>
      </c>
      <c r="E11">
        <v>0</v>
      </c>
      <c r="F11">
        <v>0</v>
      </c>
    </row>
    <row r="12" spans="1:6" x14ac:dyDescent="0.3">
      <c r="A12" t="s">
        <v>800</v>
      </c>
      <c r="B12">
        <v>0</v>
      </c>
      <c r="C12">
        <v>0</v>
      </c>
      <c r="E12">
        <v>0</v>
      </c>
      <c r="F12">
        <v>0</v>
      </c>
    </row>
    <row r="13" spans="1:6" x14ac:dyDescent="0.3">
      <c r="A13" t="s">
        <v>801</v>
      </c>
      <c r="B13">
        <v>0</v>
      </c>
      <c r="C13">
        <v>0</v>
      </c>
      <c r="E13">
        <v>0</v>
      </c>
      <c r="F13">
        <v>0</v>
      </c>
    </row>
    <row r="14" spans="1:6" x14ac:dyDescent="0.3">
      <c r="A14" t="s">
        <v>802</v>
      </c>
      <c r="B14">
        <v>0</v>
      </c>
      <c r="C14">
        <v>0</v>
      </c>
      <c r="E14">
        <v>0</v>
      </c>
      <c r="F14">
        <v>0</v>
      </c>
    </row>
    <row r="15" spans="1:6" x14ac:dyDescent="0.3">
      <c r="A15" t="s">
        <v>803</v>
      </c>
      <c r="B15">
        <v>0</v>
      </c>
      <c r="C15">
        <v>0</v>
      </c>
      <c r="E15">
        <v>0</v>
      </c>
      <c r="F15">
        <v>0</v>
      </c>
    </row>
    <row r="16" spans="1:6" x14ac:dyDescent="0.3">
      <c r="A16" t="s">
        <v>804</v>
      </c>
      <c r="B16">
        <v>0</v>
      </c>
      <c r="C16">
        <v>0</v>
      </c>
      <c r="E16">
        <v>0</v>
      </c>
      <c r="F16">
        <v>0</v>
      </c>
    </row>
    <row r="17" spans="1:6" x14ac:dyDescent="0.3">
      <c r="A17" t="s">
        <v>617</v>
      </c>
      <c r="B17">
        <v>0</v>
      </c>
      <c r="C17">
        <v>0</v>
      </c>
      <c r="E17">
        <v>0</v>
      </c>
      <c r="F17">
        <v>0</v>
      </c>
    </row>
    <row r="18" spans="1:6" x14ac:dyDescent="0.3">
      <c r="A18" t="s">
        <v>805</v>
      </c>
      <c r="B18">
        <v>0</v>
      </c>
      <c r="C18">
        <v>0</v>
      </c>
      <c r="E18">
        <v>0</v>
      </c>
      <c r="F18">
        <v>0</v>
      </c>
    </row>
    <row r="19" spans="1:6" x14ac:dyDescent="0.3">
      <c r="A19" t="s">
        <v>806</v>
      </c>
      <c r="B19">
        <v>0</v>
      </c>
      <c r="C19">
        <v>0</v>
      </c>
      <c r="E19">
        <v>0</v>
      </c>
      <c r="F19">
        <v>0</v>
      </c>
    </row>
    <row r="20" spans="1:6" x14ac:dyDescent="0.3">
      <c r="A20" t="s">
        <v>619</v>
      </c>
      <c r="B20">
        <v>0</v>
      </c>
      <c r="C20">
        <v>0</v>
      </c>
      <c r="E20">
        <v>0</v>
      </c>
      <c r="F20">
        <v>0</v>
      </c>
    </row>
    <row r="21" spans="1:6" x14ac:dyDescent="0.3">
      <c r="A21" t="s">
        <v>621</v>
      </c>
      <c r="B21">
        <v>0</v>
      </c>
      <c r="C21">
        <v>0</v>
      </c>
      <c r="E21">
        <v>0</v>
      </c>
      <c r="F21">
        <v>0</v>
      </c>
    </row>
    <row r="22" spans="1:6" x14ac:dyDescent="0.3">
      <c r="A22" t="s">
        <v>623</v>
      </c>
      <c r="B22">
        <v>0</v>
      </c>
      <c r="C22">
        <v>0</v>
      </c>
      <c r="E22">
        <v>0</v>
      </c>
      <c r="F22">
        <v>0</v>
      </c>
    </row>
    <row r="23" spans="1:6" x14ac:dyDescent="0.3">
      <c r="A23" t="s">
        <v>625</v>
      </c>
      <c r="B23">
        <v>0</v>
      </c>
      <c r="C23">
        <v>0</v>
      </c>
      <c r="E23">
        <v>0</v>
      </c>
      <c r="F23">
        <v>0</v>
      </c>
    </row>
    <row r="24" spans="1:6" x14ac:dyDescent="0.3">
      <c r="A24" t="s">
        <v>807</v>
      </c>
      <c r="B24">
        <v>0</v>
      </c>
      <c r="C24">
        <v>0</v>
      </c>
      <c r="E24">
        <v>0</v>
      </c>
      <c r="F24">
        <v>0</v>
      </c>
    </row>
    <row r="25" spans="1:6" x14ac:dyDescent="0.3">
      <c r="A25" t="s">
        <v>808</v>
      </c>
      <c r="B25">
        <v>0</v>
      </c>
      <c r="C25">
        <v>0</v>
      </c>
      <c r="E25">
        <v>0</v>
      </c>
      <c r="F25">
        <v>0</v>
      </c>
    </row>
    <row r="26" spans="1:6" x14ac:dyDescent="0.3">
      <c r="A26" t="s">
        <v>809</v>
      </c>
      <c r="B26">
        <v>0</v>
      </c>
      <c r="C26">
        <v>0</v>
      </c>
      <c r="E26">
        <v>0</v>
      </c>
      <c r="F26">
        <v>0</v>
      </c>
    </row>
    <row r="27" spans="1:6" x14ac:dyDescent="0.3">
      <c r="A27" t="s">
        <v>627</v>
      </c>
      <c r="B27">
        <v>0</v>
      </c>
      <c r="C27">
        <v>0</v>
      </c>
      <c r="E27">
        <v>0</v>
      </c>
      <c r="F27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D39B-B830-4068-9D68-6DC4627C67A9}">
  <sheetPr codeName="Sheet7"/>
  <dimension ref="A1:F41"/>
  <sheetViews>
    <sheetView workbookViewId="0">
      <selection activeCell="A2" sqref="A2:F172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810</v>
      </c>
      <c r="B2">
        <v>0</v>
      </c>
      <c r="C2">
        <v>0</v>
      </c>
      <c r="D2">
        <v>0</v>
      </c>
      <c r="F2">
        <v>0</v>
      </c>
    </row>
    <row r="3" spans="1:6" x14ac:dyDescent="0.3">
      <c r="A3" t="s">
        <v>659</v>
      </c>
      <c r="B3">
        <v>0</v>
      </c>
      <c r="C3">
        <v>0</v>
      </c>
      <c r="D3">
        <v>0</v>
      </c>
      <c r="F3">
        <v>0</v>
      </c>
    </row>
    <row r="4" spans="1:6" x14ac:dyDescent="0.3">
      <c r="A4" t="s">
        <v>811</v>
      </c>
      <c r="B4">
        <v>0</v>
      </c>
      <c r="C4">
        <v>0</v>
      </c>
      <c r="D4">
        <v>0</v>
      </c>
      <c r="F4">
        <v>0</v>
      </c>
    </row>
    <row r="5" spans="1:6" x14ac:dyDescent="0.3">
      <c r="A5" t="s">
        <v>812</v>
      </c>
      <c r="B5">
        <v>0</v>
      </c>
      <c r="C5">
        <v>0</v>
      </c>
      <c r="D5">
        <v>0</v>
      </c>
      <c r="F5">
        <v>0</v>
      </c>
    </row>
    <row r="6" spans="1:6" x14ac:dyDescent="0.3">
      <c r="A6" t="s">
        <v>813</v>
      </c>
      <c r="B6">
        <v>0</v>
      </c>
      <c r="C6">
        <v>0</v>
      </c>
      <c r="D6">
        <v>0</v>
      </c>
      <c r="F6">
        <v>0</v>
      </c>
    </row>
    <row r="7" spans="1:6" x14ac:dyDescent="0.3">
      <c r="A7" t="s">
        <v>720</v>
      </c>
      <c r="B7">
        <v>0</v>
      </c>
      <c r="C7">
        <v>0</v>
      </c>
      <c r="D7">
        <v>0</v>
      </c>
      <c r="F7">
        <v>0</v>
      </c>
    </row>
    <row r="8" spans="1:6" x14ac:dyDescent="0.3">
      <c r="A8" t="s">
        <v>814</v>
      </c>
      <c r="B8">
        <v>0</v>
      </c>
      <c r="C8">
        <v>0</v>
      </c>
      <c r="D8">
        <v>0</v>
      </c>
      <c r="F8">
        <v>0</v>
      </c>
    </row>
    <row r="9" spans="1:6" x14ac:dyDescent="0.3">
      <c r="A9" t="s">
        <v>815</v>
      </c>
      <c r="B9">
        <v>0</v>
      </c>
      <c r="C9">
        <v>0</v>
      </c>
      <c r="D9">
        <v>0</v>
      </c>
      <c r="F9">
        <v>0</v>
      </c>
    </row>
    <row r="10" spans="1:6" x14ac:dyDescent="0.3">
      <c r="A10" t="s">
        <v>816</v>
      </c>
      <c r="B10">
        <v>0</v>
      </c>
      <c r="C10">
        <v>0</v>
      </c>
      <c r="D10">
        <v>0</v>
      </c>
      <c r="F10">
        <v>0</v>
      </c>
    </row>
    <row r="11" spans="1:6" x14ac:dyDescent="0.3">
      <c r="A11" t="s">
        <v>817</v>
      </c>
      <c r="B11">
        <v>0</v>
      </c>
      <c r="C11">
        <v>0</v>
      </c>
      <c r="D11">
        <v>0</v>
      </c>
      <c r="F11">
        <v>0</v>
      </c>
    </row>
    <row r="12" spans="1:6" x14ac:dyDescent="0.3">
      <c r="A12" t="s">
        <v>818</v>
      </c>
      <c r="B12">
        <v>0</v>
      </c>
      <c r="C12">
        <v>0</v>
      </c>
      <c r="D12">
        <v>0</v>
      </c>
      <c r="F12">
        <v>0</v>
      </c>
    </row>
    <row r="13" spans="1:6" x14ac:dyDescent="0.3">
      <c r="A13" t="s">
        <v>819</v>
      </c>
      <c r="B13">
        <v>0</v>
      </c>
      <c r="C13">
        <v>0</v>
      </c>
      <c r="D13">
        <v>0</v>
      </c>
      <c r="F13">
        <v>0</v>
      </c>
    </row>
    <row r="14" spans="1:6" x14ac:dyDescent="0.3">
      <c r="A14" t="s">
        <v>605</v>
      </c>
      <c r="B14">
        <v>0</v>
      </c>
      <c r="C14">
        <v>0</v>
      </c>
      <c r="D14">
        <v>0</v>
      </c>
      <c r="F14">
        <v>0</v>
      </c>
    </row>
    <row r="15" spans="1:6" x14ac:dyDescent="0.3">
      <c r="A15" t="s">
        <v>682</v>
      </c>
      <c r="B15">
        <v>0</v>
      </c>
      <c r="C15">
        <v>0</v>
      </c>
      <c r="D15">
        <v>0</v>
      </c>
      <c r="F15">
        <v>0</v>
      </c>
    </row>
    <row r="16" spans="1:6" x14ac:dyDescent="0.3">
      <c r="A16" t="s">
        <v>820</v>
      </c>
      <c r="B16">
        <v>0</v>
      </c>
      <c r="C16">
        <v>0</v>
      </c>
      <c r="D16">
        <v>0</v>
      </c>
      <c r="F16">
        <v>0</v>
      </c>
    </row>
    <row r="17" spans="1:6" x14ac:dyDescent="0.3">
      <c r="A17" t="s">
        <v>692</v>
      </c>
      <c r="B17">
        <v>0</v>
      </c>
      <c r="C17">
        <v>0</v>
      </c>
      <c r="D17">
        <v>0</v>
      </c>
      <c r="F17">
        <v>0</v>
      </c>
    </row>
    <row r="18" spans="1:6" x14ac:dyDescent="0.3">
      <c r="A18" t="s">
        <v>821</v>
      </c>
      <c r="B18">
        <v>0</v>
      </c>
      <c r="C18">
        <v>0</v>
      </c>
      <c r="D18">
        <v>0</v>
      </c>
      <c r="F18">
        <v>0</v>
      </c>
    </row>
    <row r="19" spans="1:6" x14ac:dyDescent="0.3">
      <c r="A19" t="s">
        <v>607</v>
      </c>
      <c r="B19">
        <v>0</v>
      </c>
      <c r="C19">
        <v>0</v>
      </c>
      <c r="D19">
        <v>0</v>
      </c>
      <c r="F19">
        <v>0</v>
      </c>
    </row>
    <row r="20" spans="1:6" x14ac:dyDescent="0.3">
      <c r="A20" t="s">
        <v>822</v>
      </c>
      <c r="B20">
        <v>0</v>
      </c>
      <c r="C20">
        <v>0</v>
      </c>
      <c r="D20">
        <v>0</v>
      </c>
      <c r="F20">
        <v>0</v>
      </c>
    </row>
    <row r="21" spans="1:6" x14ac:dyDescent="0.3">
      <c r="A21" t="s">
        <v>823</v>
      </c>
      <c r="B21">
        <v>0</v>
      </c>
      <c r="C21">
        <v>0</v>
      </c>
      <c r="D21">
        <v>0</v>
      </c>
      <c r="F21">
        <v>0</v>
      </c>
    </row>
    <row r="22" spans="1:6" x14ac:dyDescent="0.3">
      <c r="A22" t="s">
        <v>597</v>
      </c>
      <c r="B22">
        <v>0</v>
      </c>
      <c r="C22">
        <v>0</v>
      </c>
      <c r="D22">
        <v>0</v>
      </c>
      <c r="F22">
        <v>0</v>
      </c>
    </row>
    <row r="23" spans="1:6" x14ac:dyDescent="0.3">
      <c r="A23" t="s">
        <v>599</v>
      </c>
      <c r="B23">
        <v>0</v>
      </c>
      <c r="C23">
        <v>0</v>
      </c>
      <c r="D23">
        <v>0</v>
      </c>
      <c r="F23">
        <v>0</v>
      </c>
    </row>
    <row r="24" spans="1:6" x14ac:dyDescent="0.3">
      <c r="A24" t="s">
        <v>824</v>
      </c>
      <c r="B24">
        <v>0</v>
      </c>
      <c r="C24">
        <v>0</v>
      </c>
      <c r="D24">
        <v>0</v>
      </c>
      <c r="F24">
        <v>0</v>
      </c>
    </row>
    <row r="25" spans="1:6" x14ac:dyDescent="0.3">
      <c r="A25" t="s">
        <v>825</v>
      </c>
      <c r="B25">
        <v>0</v>
      </c>
      <c r="C25">
        <v>0</v>
      </c>
      <c r="D25">
        <v>0</v>
      </c>
      <c r="F25">
        <v>0</v>
      </c>
    </row>
    <row r="26" spans="1:6" x14ac:dyDescent="0.3">
      <c r="A26" t="s">
        <v>826</v>
      </c>
      <c r="B26">
        <v>0</v>
      </c>
      <c r="C26">
        <v>0</v>
      </c>
      <c r="D26">
        <v>0</v>
      </c>
      <c r="F26">
        <v>0</v>
      </c>
    </row>
    <row r="27" spans="1:6" x14ac:dyDescent="0.3">
      <c r="A27" t="s">
        <v>827</v>
      </c>
      <c r="B27">
        <v>0</v>
      </c>
      <c r="C27">
        <v>0</v>
      </c>
      <c r="D27">
        <v>0</v>
      </c>
      <c r="F27">
        <v>0</v>
      </c>
    </row>
    <row r="28" spans="1:6" x14ac:dyDescent="0.3">
      <c r="A28" t="s">
        <v>828</v>
      </c>
      <c r="B28">
        <v>0</v>
      </c>
      <c r="C28">
        <v>0</v>
      </c>
      <c r="D28">
        <v>0</v>
      </c>
      <c r="F28">
        <v>0</v>
      </c>
    </row>
    <row r="29" spans="1:6" x14ac:dyDescent="0.3">
      <c r="A29" t="s">
        <v>631</v>
      </c>
      <c r="B29">
        <v>0</v>
      </c>
      <c r="C29">
        <v>0</v>
      </c>
      <c r="D29">
        <v>0</v>
      </c>
      <c r="F29">
        <v>0</v>
      </c>
    </row>
    <row r="30" spans="1:6" x14ac:dyDescent="0.3">
      <c r="A30" t="s">
        <v>634</v>
      </c>
      <c r="B30">
        <v>0</v>
      </c>
      <c r="C30">
        <v>0</v>
      </c>
      <c r="D30">
        <v>0</v>
      </c>
      <c r="F30">
        <v>0</v>
      </c>
    </row>
    <row r="31" spans="1:6" x14ac:dyDescent="0.3">
      <c r="A31" t="s">
        <v>734</v>
      </c>
      <c r="B31">
        <v>0</v>
      </c>
      <c r="C31">
        <v>0</v>
      </c>
      <c r="D31">
        <v>0</v>
      </c>
      <c r="F31">
        <v>0</v>
      </c>
    </row>
    <row r="32" spans="1:6" x14ac:dyDescent="0.3">
      <c r="A32" t="s">
        <v>829</v>
      </c>
      <c r="B32">
        <v>0</v>
      </c>
      <c r="C32">
        <v>0</v>
      </c>
      <c r="D32">
        <v>0</v>
      </c>
      <c r="F32">
        <v>0</v>
      </c>
    </row>
    <row r="33" spans="1:6" x14ac:dyDescent="0.3">
      <c r="A33" t="s">
        <v>636</v>
      </c>
      <c r="B33">
        <v>0</v>
      </c>
      <c r="C33">
        <v>0</v>
      </c>
      <c r="D33">
        <v>0</v>
      </c>
      <c r="F33">
        <v>0</v>
      </c>
    </row>
    <row r="34" spans="1:6" x14ac:dyDescent="0.3">
      <c r="A34" t="s">
        <v>830</v>
      </c>
      <c r="B34">
        <v>0</v>
      </c>
      <c r="C34">
        <v>0</v>
      </c>
      <c r="D34">
        <v>0</v>
      </c>
      <c r="F34">
        <v>0</v>
      </c>
    </row>
    <row r="35" spans="1:6" x14ac:dyDescent="0.3">
      <c r="A35" t="s">
        <v>831</v>
      </c>
      <c r="B35">
        <v>0</v>
      </c>
      <c r="C35">
        <v>0</v>
      </c>
      <c r="D35">
        <v>0</v>
      </c>
      <c r="F35">
        <v>0</v>
      </c>
    </row>
    <row r="36" spans="1:6" x14ac:dyDescent="0.3">
      <c r="A36" t="s">
        <v>832</v>
      </c>
      <c r="B36">
        <v>0</v>
      </c>
      <c r="C36">
        <v>0</v>
      </c>
      <c r="D36">
        <v>0</v>
      </c>
      <c r="F36">
        <v>0</v>
      </c>
    </row>
    <row r="37" spans="1:6" x14ac:dyDescent="0.3">
      <c r="A37" t="s">
        <v>833</v>
      </c>
      <c r="B37">
        <v>0</v>
      </c>
      <c r="C37">
        <v>0</v>
      </c>
      <c r="D37">
        <v>0</v>
      </c>
      <c r="F37">
        <v>0</v>
      </c>
    </row>
    <row r="38" spans="1:6" x14ac:dyDescent="0.3">
      <c r="A38" t="s">
        <v>834</v>
      </c>
      <c r="B38">
        <v>0</v>
      </c>
      <c r="C38">
        <v>0</v>
      </c>
      <c r="D38">
        <v>0</v>
      </c>
      <c r="F38">
        <v>0</v>
      </c>
    </row>
    <row r="39" spans="1:6" x14ac:dyDescent="0.3">
      <c r="A39" t="s">
        <v>835</v>
      </c>
      <c r="B39">
        <v>0</v>
      </c>
      <c r="C39">
        <v>0</v>
      </c>
      <c r="D39">
        <v>0</v>
      </c>
      <c r="F39">
        <v>0</v>
      </c>
    </row>
    <row r="40" spans="1:6" x14ac:dyDescent="0.3">
      <c r="A40" t="s">
        <v>714</v>
      </c>
      <c r="B40">
        <v>0</v>
      </c>
      <c r="C40">
        <v>0</v>
      </c>
      <c r="D40">
        <v>0</v>
      </c>
      <c r="F40">
        <v>0</v>
      </c>
    </row>
    <row r="41" spans="1:6" x14ac:dyDescent="0.3">
      <c r="A41" t="s">
        <v>716</v>
      </c>
      <c r="B41">
        <v>0</v>
      </c>
      <c r="C41">
        <v>0</v>
      </c>
      <c r="D41">
        <v>0</v>
      </c>
      <c r="F41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D78-59BC-4E73-B527-9ECEB2C6D5F6}">
  <sheetPr codeName="Sheet6"/>
  <dimension ref="A1:F24"/>
  <sheetViews>
    <sheetView workbookViewId="0">
      <selection activeCell="F64" sqref="A2:F64"/>
    </sheetView>
  </sheetViews>
  <sheetFormatPr defaultRowHeight="14.4" x14ac:dyDescent="0.3"/>
  <cols>
    <col min="1" max="1" width="8.218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 t="s">
        <v>589</v>
      </c>
      <c r="B2">
        <v>0</v>
      </c>
      <c r="C2">
        <v>0</v>
      </c>
      <c r="D2">
        <v>0</v>
      </c>
      <c r="E2">
        <v>0</v>
      </c>
    </row>
    <row r="3" spans="1:6" x14ac:dyDescent="0.3">
      <c r="A3" t="s">
        <v>668</v>
      </c>
      <c r="B3">
        <v>0</v>
      </c>
      <c r="C3">
        <v>0</v>
      </c>
      <c r="D3">
        <v>0</v>
      </c>
      <c r="E3">
        <v>0</v>
      </c>
    </row>
    <row r="4" spans="1:6" x14ac:dyDescent="0.3">
      <c r="A4" t="s">
        <v>603</v>
      </c>
      <c r="B4">
        <v>0</v>
      </c>
      <c r="C4">
        <v>0</v>
      </c>
      <c r="D4">
        <v>0</v>
      </c>
      <c r="E4">
        <v>0</v>
      </c>
    </row>
    <row r="5" spans="1:6" x14ac:dyDescent="0.3">
      <c r="A5" t="s">
        <v>836</v>
      </c>
      <c r="B5">
        <v>0</v>
      </c>
      <c r="C5">
        <v>0</v>
      </c>
      <c r="D5">
        <v>0</v>
      </c>
      <c r="E5">
        <v>0</v>
      </c>
    </row>
    <row r="6" spans="1:6" x14ac:dyDescent="0.3">
      <c r="A6" t="s">
        <v>680</v>
      </c>
      <c r="B6">
        <v>0</v>
      </c>
      <c r="C6">
        <v>0</v>
      </c>
      <c r="D6">
        <v>0</v>
      </c>
      <c r="E6">
        <v>0</v>
      </c>
    </row>
    <row r="7" spans="1:6" x14ac:dyDescent="0.3">
      <c r="A7" t="s">
        <v>837</v>
      </c>
      <c r="B7">
        <v>0</v>
      </c>
      <c r="C7">
        <v>0</v>
      </c>
      <c r="D7">
        <v>0</v>
      </c>
      <c r="E7">
        <v>0</v>
      </c>
    </row>
    <row r="8" spans="1:6" x14ac:dyDescent="0.3">
      <c r="A8" t="s">
        <v>601</v>
      </c>
      <c r="B8">
        <v>0</v>
      </c>
      <c r="C8">
        <v>0</v>
      </c>
      <c r="D8">
        <v>0</v>
      </c>
      <c r="E8">
        <v>0</v>
      </c>
    </row>
    <row r="9" spans="1:6" x14ac:dyDescent="0.3">
      <c r="A9" t="s">
        <v>700</v>
      </c>
      <c r="B9">
        <v>0</v>
      </c>
      <c r="C9">
        <v>0</v>
      </c>
      <c r="D9">
        <v>0</v>
      </c>
      <c r="E9">
        <v>0</v>
      </c>
    </row>
    <row r="10" spans="1:6" x14ac:dyDescent="0.3">
      <c r="A10" t="s">
        <v>593</v>
      </c>
      <c r="B10">
        <v>0</v>
      </c>
      <c r="C10">
        <v>0</v>
      </c>
      <c r="D10">
        <v>0</v>
      </c>
      <c r="E10">
        <v>0</v>
      </c>
    </row>
    <row r="11" spans="1:6" x14ac:dyDescent="0.3">
      <c r="A11" t="s">
        <v>591</v>
      </c>
      <c r="B11">
        <v>0</v>
      </c>
      <c r="C11">
        <v>0</v>
      </c>
      <c r="D11">
        <v>0</v>
      </c>
      <c r="E11">
        <v>0</v>
      </c>
    </row>
    <row r="12" spans="1:6" x14ac:dyDescent="0.3">
      <c r="A12" t="s">
        <v>838</v>
      </c>
      <c r="B12">
        <v>0</v>
      </c>
      <c r="C12">
        <v>0</v>
      </c>
      <c r="D12">
        <v>0</v>
      </c>
      <c r="E12">
        <v>0</v>
      </c>
    </row>
    <row r="13" spans="1:6" x14ac:dyDescent="0.3">
      <c r="A13" t="s">
        <v>839</v>
      </c>
      <c r="B13">
        <v>0</v>
      </c>
      <c r="C13">
        <v>0</v>
      </c>
      <c r="D13">
        <v>0</v>
      </c>
      <c r="E13">
        <v>0</v>
      </c>
    </row>
    <row r="14" spans="1:6" x14ac:dyDescent="0.3">
      <c r="A14" t="s">
        <v>840</v>
      </c>
      <c r="B14">
        <v>0</v>
      </c>
      <c r="C14">
        <v>0</v>
      </c>
      <c r="D14">
        <v>0</v>
      </c>
      <c r="E14">
        <v>0</v>
      </c>
    </row>
    <row r="15" spans="1:6" x14ac:dyDescent="0.3">
      <c r="A15" t="s">
        <v>841</v>
      </c>
      <c r="B15">
        <v>0</v>
      </c>
      <c r="C15">
        <v>0</v>
      </c>
      <c r="D15">
        <v>0</v>
      </c>
      <c r="E15">
        <v>0</v>
      </c>
    </row>
    <row r="16" spans="1:6" x14ac:dyDescent="0.3">
      <c r="A16" t="s">
        <v>647</v>
      </c>
      <c r="B16">
        <v>0</v>
      </c>
      <c r="C16">
        <v>0</v>
      </c>
      <c r="D16">
        <v>0</v>
      </c>
      <c r="E16">
        <v>0</v>
      </c>
    </row>
    <row r="17" spans="1:5" x14ac:dyDescent="0.3">
      <c r="A17" t="s">
        <v>842</v>
      </c>
      <c r="B17">
        <v>0</v>
      </c>
      <c r="C17">
        <v>0</v>
      </c>
      <c r="D17">
        <v>0</v>
      </c>
      <c r="E17">
        <v>0</v>
      </c>
    </row>
    <row r="18" spans="1:5" x14ac:dyDescent="0.3">
      <c r="A18" t="s">
        <v>843</v>
      </c>
      <c r="B18">
        <v>0</v>
      </c>
      <c r="C18">
        <v>0</v>
      </c>
      <c r="D18">
        <v>0</v>
      </c>
      <c r="E18">
        <v>0</v>
      </c>
    </row>
    <row r="19" spans="1:5" x14ac:dyDescent="0.3">
      <c r="A19" t="s">
        <v>844</v>
      </c>
      <c r="B19">
        <v>0</v>
      </c>
      <c r="C19">
        <v>0</v>
      </c>
      <c r="D19">
        <v>0</v>
      </c>
      <c r="E19">
        <v>0</v>
      </c>
    </row>
    <row r="20" spans="1:5" x14ac:dyDescent="0.3">
      <c r="A20" t="s">
        <v>845</v>
      </c>
      <c r="B20">
        <v>0</v>
      </c>
      <c r="C20">
        <v>0</v>
      </c>
      <c r="D20">
        <v>0</v>
      </c>
      <c r="E20">
        <v>0</v>
      </c>
    </row>
    <row r="21" spans="1:5" x14ac:dyDescent="0.3">
      <c r="A21" t="s">
        <v>653</v>
      </c>
      <c r="B21">
        <v>0</v>
      </c>
      <c r="C21">
        <v>0</v>
      </c>
      <c r="D21">
        <v>0</v>
      </c>
      <c r="E21">
        <v>0</v>
      </c>
    </row>
    <row r="22" spans="1:5" x14ac:dyDescent="0.3">
      <c r="A22" t="s">
        <v>846</v>
      </c>
      <c r="B22">
        <v>0</v>
      </c>
      <c r="C22">
        <v>0</v>
      </c>
      <c r="D22">
        <v>0</v>
      </c>
      <c r="E22">
        <v>0</v>
      </c>
    </row>
    <row r="23" spans="1:5" x14ac:dyDescent="0.3">
      <c r="A23" t="s">
        <v>595</v>
      </c>
      <c r="B23">
        <v>0</v>
      </c>
      <c r="C23">
        <v>0</v>
      </c>
      <c r="D23">
        <v>0</v>
      </c>
      <c r="E23">
        <v>0</v>
      </c>
    </row>
    <row r="24" spans="1:5" x14ac:dyDescent="0.3">
      <c r="A24" t="s">
        <v>609</v>
      </c>
      <c r="B24">
        <v>0</v>
      </c>
      <c r="C24">
        <v>0</v>
      </c>
      <c r="D24">
        <v>0</v>
      </c>
      <c r="E2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37C4F-F071-4BD1-B54C-54247848270C}">
  <sheetPr codeName="Sheet32"/>
  <dimension ref="A1:F1"/>
  <sheetViews>
    <sheetView workbookViewId="0">
      <selection activeCell="F31" sqref="A2:F31"/>
    </sheetView>
  </sheetViews>
  <sheetFormatPr defaultRowHeight="14.4" x14ac:dyDescent="0.3"/>
  <cols>
    <col min="1" max="1" width="7.77734375" bestFit="1" customWidth="1"/>
    <col min="2" max="2" width="11.77734375" bestFit="1" customWidth="1"/>
    <col min="3" max="3" width="10.6640625" bestFit="1" customWidth="1"/>
    <col min="4" max="4" width="11.44140625" bestFit="1" customWidth="1"/>
    <col min="5" max="5" width="10.77734375" bestFit="1" customWidth="1"/>
    <col min="6" max="6" width="9.6640625" bestFit="1" customWidth="1"/>
  </cols>
  <sheetData>
    <row r="1" spans="1:6" x14ac:dyDescent="0.3">
      <c r="A1" t="s">
        <v>270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444AF-6A53-4EE3-A867-280102DEDA38}">
  <sheetPr codeName="Sheet14"/>
  <dimension ref="A1:E95"/>
  <sheetViews>
    <sheetView workbookViewId="0">
      <selection activeCell="B87" sqref="A1:B87"/>
    </sheetView>
  </sheetViews>
  <sheetFormatPr defaultRowHeight="14.4" x14ac:dyDescent="0.3"/>
  <cols>
    <col min="1" max="1" width="7.77734375" bestFit="1" customWidth="1"/>
    <col min="2" max="2" width="29" bestFit="1" customWidth="1"/>
  </cols>
  <sheetData>
    <row r="1" spans="1:5" x14ac:dyDescent="0.3">
      <c r="A1" t="s">
        <v>270</v>
      </c>
      <c r="B1" t="s">
        <v>586</v>
      </c>
      <c r="D1" s="47" t="s">
        <v>270</v>
      </c>
    </row>
    <row r="2" spans="1:5" x14ac:dyDescent="0.3">
      <c r="A2" t="s">
        <v>657</v>
      </c>
      <c r="B2" t="s">
        <v>847</v>
      </c>
      <c r="D2" s="48" t="s">
        <v>526</v>
      </c>
      <c r="E2" t="e">
        <f t="shared" ref="E2:E33" si="0">VLOOKUP(D2,A:B,2,FALSE)</f>
        <v>#N/A</v>
      </c>
    </row>
    <row r="3" spans="1:5" x14ac:dyDescent="0.3">
      <c r="A3" t="s">
        <v>659</v>
      </c>
      <c r="B3" t="s">
        <v>848</v>
      </c>
      <c r="D3" s="49" t="s">
        <v>436</v>
      </c>
      <c r="E3" t="e">
        <f t="shared" si="0"/>
        <v>#N/A</v>
      </c>
    </row>
    <row r="4" spans="1:5" x14ac:dyDescent="0.3">
      <c r="A4" t="s">
        <v>589</v>
      </c>
      <c r="B4" t="s">
        <v>847</v>
      </c>
      <c r="D4" s="48" t="s">
        <v>437</v>
      </c>
      <c r="E4" t="e">
        <f t="shared" si="0"/>
        <v>#N/A</v>
      </c>
    </row>
    <row r="5" spans="1:5" x14ac:dyDescent="0.3">
      <c r="A5" t="s">
        <v>661</v>
      </c>
      <c r="B5" t="s">
        <v>849</v>
      </c>
      <c r="D5" s="49" t="s">
        <v>438</v>
      </c>
      <c r="E5" t="e">
        <f t="shared" si="0"/>
        <v>#N/A</v>
      </c>
    </row>
    <row r="6" spans="1:5" x14ac:dyDescent="0.3">
      <c r="A6" t="s">
        <v>746</v>
      </c>
      <c r="B6" t="s">
        <v>849</v>
      </c>
      <c r="D6" s="48" t="s">
        <v>439</v>
      </c>
      <c r="E6" t="e">
        <f t="shared" si="0"/>
        <v>#N/A</v>
      </c>
    </row>
    <row r="7" spans="1:5" x14ac:dyDescent="0.3">
      <c r="A7" t="s">
        <v>615</v>
      </c>
      <c r="B7" t="s">
        <v>850</v>
      </c>
      <c r="D7" s="49" t="s">
        <v>440</v>
      </c>
      <c r="E7" t="e">
        <f t="shared" si="0"/>
        <v>#N/A</v>
      </c>
    </row>
    <row r="8" spans="1:5" x14ac:dyDescent="0.3">
      <c r="A8" t="s">
        <v>670</v>
      </c>
      <c r="B8" t="s">
        <v>850</v>
      </c>
      <c r="D8" s="48" t="s">
        <v>441</v>
      </c>
      <c r="E8" t="e">
        <f t="shared" si="0"/>
        <v>#N/A</v>
      </c>
    </row>
    <row r="9" spans="1:5" x14ac:dyDescent="0.3">
      <c r="A9" t="s">
        <v>672</v>
      </c>
      <c r="B9" t="s">
        <v>850</v>
      </c>
      <c r="D9" s="49" t="s">
        <v>442</v>
      </c>
      <c r="E9" t="e">
        <f t="shared" si="0"/>
        <v>#N/A</v>
      </c>
    </row>
    <row r="10" spans="1:5" x14ac:dyDescent="0.3">
      <c r="A10" t="s">
        <v>605</v>
      </c>
      <c r="B10" t="s">
        <v>848</v>
      </c>
      <c r="D10" s="48" t="s">
        <v>443</v>
      </c>
      <c r="E10" t="e">
        <f t="shared" si="0"/>
        <v>#N/A</v>
      </c>
    </row>
    <row r="11" spans="1:5" x14ac:dyDescent="0.3">
      <c r="A11" t="s">
        <v>676</v>
      </c>
      <c r="B11" t="s">
        <v>849</v>
      </c>
      <c r="D11" s="49" t="s">
        <v>444</v>
      </c>
      <c r="E11" t="e">
        <f t="shared" si="0"/>
        <v>#N/A</v>
      </c>
    </row>
    <row r="12" spans="1:5" x14ac:dyDescent="0.3">
      <c r="A12" t="s">
        <v>740</v>
      </c>
      <c r="B12" t="s">
        <v>850</v>
      </c>
      <c r="D12" s="48" t="s">
        <v>445</v>
      </c>
      <c r="E12" t="e">
        <f t="shared" si="0"/>
        <v>#N/A</v>
      </c>
    </row>
    <row r="13" spans="1:5" x14ac:dyDescent="0.3">
      <c r="A13" t="s">
        <v>742</v>
      </c>
      <c r="B13" t="s">
        <v>850</v>
      </c>
      <c r="D13" s="49" t="s">
        <v>446</v>
      </c>
      <c r="E13" t="e">
        <f t="shared" si="0"/>
        <v>#N/A</v>
      </c>
    </row>
    <row r="14" spans="1:5" x14ac:dyDescent="0.3">
      <c r="A14" t="s">
        <v>744</v>
      </c>
      <c r="B14" t="s">
        <v>850</v>
      </c>
      <c r="D14" s="48" t="s">
        <v>447</v>
      </c>
      <c r="E14" t="e">
        <f t="shared" si="0"/>
        <v>#N/A</v>
      </c>
    </row>
    <row r="15" spans="1:5" x14ac:dyDescent="0.3">
      <c r="A15" t="s">
        <v>678</v>
      </c>
      <c r="B15" t="s">
        <v>849</v>
      </c>
      <c r="D15" s="49" t="s">
        <v>448</v>
      </c>
      <c r="E15" t="e">
        <f t="shared" si="0"/>
        <v>#N/A</v>
      </c>
    </row>
    <row r="16" spans="1:5" x14ac:dyDescent="0.3">
      <c r="A16" t="s">
        <v>680</v>
      </c>
      <c r="B16" t="s">
        <v>847</v>
      </c>
      <c r="D16" s="48" t="s">
        <v>449</v>
      </c>
      <c r="E16" t="e">
        <f t="shared" si="0"/>
        <v>#N/A</v>
      </c>
    </row>
    <row r="17" spans="1:5" x14ac:dyDescent="0.3">
      <c r="A17" t="s">
        <v>686</v>
      </c>
      <c r="B17" t="s">
        <v>847</v>
      </c>
      <c r="D17" s="49" t="s">
        <v>450</v>
      </c>
      <c r="E17" t="e">
        <f t="shared" si="0"/>
        <v>#N/A</v>
      </c>
    </row>
    <row r="18" spans="1:5" x14ac:dyDescent="0.3">
      <c r="A18" t="s">
        <v>688</v>
      </c>
      <c r="B18" t="s">
        <v>849</v>
      </c>
      <c r="D18" s="48" t="s">
        <v>451</v>
      </c>
      <c r="E18" t="e">
        <f t="shared" si="0"/>
        <v>#N/A</v>
      </c>
    </row>
    <row r="19" spans="1:5" x14ac:dyDescent="0.3">
      <c r="A19" t="s">
        <v>690</v>
      </c>
      <c r="B19" t="s">
        <v>849</v>
      </c>
      <c r="D19" s="49" t="s">
        <v>452</v>
      </c>
      <c r="E19" t="e">
        <f t="shared" si="0"/>
        <v>#N/A</v>
      </c>
    </row>
    <row r="20" spans="1:5" x14ac:dyDescent="0.3">
      <c r="A20" t="s">
        <v>601</v>
      </c>
      <c r="B20" t="s">
        <v>847</v>
      </c>
      <c r="D20" s="48" t="s">
        <v>453</v>
      </c>
      <c r="E20" t="e">
        <f t="shared" si="0"/>
        <v>#N/A</v>
      </c>
    </row>
    <row r="21" spans="1:5" x14ac:dyDescent="0.3">
      <c r="A21" t="s">
        <v>694</v>
      </c>
      <c r="B21" t="s">
        <v>849</v>
      </c>
      <c r="D21" s="49" t="s">
        <v>454</v>
      </c>
      <c r="E21" t="e">
        <f t="shared" si="0"/>
        <v>#N/A</v>
      </c>
    </row>
    <row r="22" spans="1:5" x14ac:dyDescent="0.3">
      <c r="A22" t="s">
        <v>722</v>
      </c>
      <c r="B22" t="s">
        <v>850</v>
      </c>
      <c r="D22" s="48" t="s">
        <v>455</v>
      </c>
      <c r="E22" t="e">
        <f t="shared" si="0"/>
        <v>#N/A</v>
      </c>
    </row>
    <row r="23" spans="1:5" x14ac:dyDescent="0.3">
      <c r="A23" t="s">
        <v>724</v>
      </c>
      <c r="B23" t="s">
        <v>850</v>
      </c>
      <c r="D23" s="49" t="s">
        <v>456</v>
      </c>
      <c r="E23" t="e">
        <f t="shared" si="0"/>
        <v>#N/A</v>
      </c>
    </row>
    <row r="24" spans="1:5" x14ac:dyDescent="0.3">
      <c r="A24" t="s">
        <v>607</v>
      </c>
      <c r="B24" t="s">
        <v>848</v>
      </c>
      <c r="D24" s="48" t="s">
        <v>457</v>
      </c>
      <c r="E24" t="e">
        <f t="shared" si="0"/>
        <v>#N/A</v>
      </c>
    </row>
    <row r="25" spans="1:5" x14ac:dyDescent="0.3">
      <c r="A25" t="s">
        <v>611</v>
      </c>
      <c r="B25" t="s">
        <v>849</v>
      </c>
      <c r="D25" s="49" t="s">
        <v>459</v>
      </c>
      <c r="E25" t="e">
        <f t="shared" si="0"/>
        <v>#N/A</v>
      </c>
    </row>
    <row r="26" spans="1:5" x14ac:dyDescent="0.3">
      <c r="A26" t="s">
        <v>730</v>
      </c>
      <c r="B26" t="s">
        <v>849</v>
      </c>
      <c r="D26" s="48" t="s">
        <v>460</v>
      </c>
      <c r="E26" t="e">
        <f t="shared" si="0"/>
        <v>#N/A</v>
      </c>
    </row>
    <row r="27" spans="1:5" x14ac:dyDescent="0.3">
      <c r="A27" t="s">
        <v>613</v>
      </c>
      <c r="B27" t="s">
        <v>850</v>
      </c>
      <c r="D27" s="49" t="s">
        <v>461</v>
      </c>
      <c r="E27" t="e">
        <f t="shared" si="0"/>
        <v>#N/A</v>
      </c>
    </row>
    <row r="28" spans="1:5" x14ac:dyDescent="0.3">
      <c r="A28" t="s">
        <v>638</v>
      </c>
      <c r="B28" t="s">
        <v>849</v>
      </c>
      <c r="D28" s="48" t="s">
        <v>462</v>
      </c>
      <c r="E28" t="e">
        <f t="shared" si="0"/>
        <v>#N/A</v>
      </c>
    </row>
    <row r="29" spans="1:5" x14ac:dyDescent="0.3">
      <c r="A29" t="s">
        <v>704</v>
      </c>
      <c r="B29" t="s">
        <v>849</v>
      </c>
      <c r="D29" s="49" t="s">
        <v>463</v>
      </c>
      <c r="E29" t="e">
        <f t="shared" si="0"/>
        <v>#N/A</v>
      </c>
    </row>
    <row r="30" spans="1:5" x14ac:dyDescent="0.3">
      <c r="A30" t="s">
        <v>597</v>
      </c>
      <c r="B30" t="s">
        <v>848</v>
      </c>
      <c r="D30" s="48" t="s">
        <v>464</v>
      </c>
      <c r="E30" t="e">
        <f t="shared" si="0"/>
        <v>#N/A</v>
      </c>
    </row>
    <row r="31" spans="1:5" x14ac:dyDescent="0.3">
      <c r="A31" t="s">
        <v>599</v>
      </c>
      <c r="B31" t="s">
        <v>848</v>
      </c>
      <c r="D31" s="49" t="s">
        <v>527</v>
      </c>
      <c r="E31" t="e">
        <f t="shared" si="0"/>
        <v>#N/A</v>
      </c>
    </row>
    <row r="32" spans="1:5" x14ac:dyDescent="0.3">
      <c r="A32" t="s">
        <v>593</v>
      </c>
      <c r="B32" t="s">
        <v>847</v>
      </c>
      <c r="D32" s="48" t="s">
        <v>528</v>
      </c>
      <c r="E32" t="e">
        <f t="shared" si="0"/>
        <v>#N/A</v>
      </c>
    </row>
    <row r="33" spans="1:5" x14ac:dyDescent="0.3">
      <c r="A33" t="s">
        <v>591</v>
      </c>
      <c r="B33" t="s">
        <v>847</v>
      </c>
      <c r="D33" s="49" t="s">
        <v>465</v>
      </c>
      <c r="E33" t="e">
        <f t="shared" si="0"/>
        <v>#N/A</v>
      </c>
    </row>
    <row r="34" spans="1:5" x14ac:dyDescent="0.3">
      <c r="A34" t="s">
        <v>732</v>
      </c>
      <c r="B34" t="s">
        <v>849</v>
      </c>
      <c r="D34" s="48" t="s">
        <v>466</v>
      </c>
      <c r="E34" t="e">
        <f t="shared" ref="E34:E65" si="1">VLOOKUP(D34,A:B,2,FALSE)</f>
        <v>#N/A</v>
      </c>
    </row>
    <row r="35" spans="1:5" x14ac:dyDescent="0.3">
      <c r="A35" t="s">
        <v>640</v>
      </c>
      <c r="B35" t="s">
        <v>850</v>
      </c>
      <c r="D35" s="49" t="s">
        <v>467</v>
      </c>
      <c r="E35" t="e">
        <f t="shared" si="1"/>
        <v>#N/A</v>
      </c>
    </row>
    <row r="36" spans="1:5" x14ac:dyDescent="0.3">
      <c r="A36" t="s">
        <v>643</v>
      </c>
      <c r="B36" t="s">
        <v>850</v>
      </c>
      <c r="D36" s="48" t="s">
        <v>468</v>
      </c>
      <c r="E36" t="e">
        <f t="shared" si="1"/>
        <v>#N/A</v>
      </c>
    </row>
    <row r="37" spans="1:5" x14ac:dyDescent="0.3">
      <c r="A37" t="s">
        <v>738</v>
      </c>
      <c r="B37" t="s">
        <v>850</v>
      </c>
      <c r="D37" s="49" t="s">
        <v>469</v>
      </c>
      <c r="E37" t="e">
        <f t="shared" si="1"/>
        <v>#N/A</v>
      </c>
    </row>
    <row r="38" spans="1:5" x14ac:dyDescent="0.3">
      <c r="A38" t="s">
        <v>645</v>
      </c>
      <c r="B38" t="s">
        <v>849</v>
      </c>
      <c r="D38" s="48" t="s">
        <v>470</v>
      </c>
      <c r="E38" t="e">
        <f t="shared" si="1"/>
        <v>#N/A</v>
      </c>
    </row>
    <row r="39" spans="1:5" x14ac:dyDescent="0.3">
      <c r="A39" t="s">
        <v>617</v>
      </c>
      <c r="B39" t="s">
        <v>850</v>
      </c>
      <c r="D39" s="49" t="s">
        <v>529</v>
      </c>
      <c r="E39" t="e">
        <f t="shared" si="1"/>
        <v>#N/A</v>
      </c>
    </row>
    <row r="40" spans="1:5" x14ac:dyDescent="0.3">
      <c r="A40" t="s">
        <v>619</v>
      </c>
      <c r="B40" t="s">
        <v>850</v>
      </c>
      <c r="D40" s="48" t="s">
        <v>471</v>
      </c>
      <c r="E40" t="e">
        <f t="shared" si="1"/>
        <v>#N/A</v>
      </c>
    </row>
    <row r="41" spans="1:5" x14ac:dyDescent="0.3">
      <c r="A41" t="s">
        <v>621</v>
      </c>
      <c r="B41" t="s">
        <v>850</v>
      </c>
      <c r="D41" s="49" t="s">
        <v>472</v>
      </c>
      <c r="E41" t="e">
        <f t="shared" si="1"/>
        <v>#N/A</v>
      </c>
    </row>
    <row r="42" spans="1:5" x14ac:dyDescent="0.3">
      <c r="A42" t="s">
        <v>623</v>
      </c>
      <c r="B42" t="s">
        <v>850</v>
      </c>
      <c r="D42" s="48" t="s">
        <v>473</v>
      </c>
      <c r="E42" t="e">
        <f t="shared" si="1"/>
        <v>#N/A</v>
      </c>
    </row>
    <row r="43" spans="1:5" x14ac:dyDescent="0.3">
      <c r="A43" t="s">
        <v>625</v>
      </c>
      <c r="B43" t="s">
        <v>850</v>
      </c>
      <c r="D43" s="49" t="s">
        <v>520</v>
      </c>
      <c r="E43" t="e">
        <f t="shared" si="1"/>
        <v>#N/A</v>
      </c>
    </row>
    <row r="44" spans="1:5" x14ac:dyDescent="0.3">
      <c r="A44" t="s">
        <v>647</v>
      </c>
      <c r="B44" t="s">
        <v>847</v>
      </c>
      <c r="D44" s="48" t="s">
        <v>474</v>
      </c>
      <c r="E44" t="e">
        <f t="shared" si="1"/>
        <v>#N/A</v>
      </c>
    </row>
    <row r="45" spans="1:5" x14ac:dyDescent="0.3">
      <c r="A45" t="s">
        <v>649</v>
      </c>
      <c r="B45" t="s">
        <v>849</v>
      </c>
      <c r="D45" s="49" t="s">
        <v>475</v>
      </c>
      <c r="E45" t="e">
        <f t="shared" si="1"/>
        <v>#N/A</v>
      </c>
    </row>
    <row r="46" spans="1:5" x14ac:dyDescent="0.3">
      <c r="A46" t="s">
        <v>651</v>
      </c>
      <c r="B46" t="s">
        <v>847</v>
      </c>
      <c r="D46" s="48" t="s">
        <v>476</v>
      </c>
      <c r="E46" t="e">
        <f t="shared" si="1"/>
        <v>#N/A</v>
      </c>
    </row>
    <row r="47" spans="1:5" x14ac:dyDescent="0.3">
      <c r="A47" t="s">
        <v>712</v>
      </c>
      <c r="B47" t="s">
        <v>849</v>
      </c>
      <c r="D47" s="49" t="s">
        <v>478</v>
      </c>
      <c r="E47" t="e">
        <f t="shared" si="1"/>
        <v>#N/A</v>
      </c>
    </row>
    <row r="48" spans="1:5" x14ac:dyDescent="0.3">
      <c r="A48" t="s">
        <v>627</v>
      </c>
      <c r="B48" t="s">
        <v>850</v>
      </c>
      <c r="D48" s="48" t="s">
        <v>561</v>
      </c>
      <c r="E48" t="e">
        <f t="shared" si="1"/>
        <v>#N/A</v>
      </c>
    </row>
    <row r="49" spans="1:5" x14ac:dyDescent="0.3">
      <c r="A49" t="s">
        <v>655</v>
      </c>
      <c r="B49" t="s">
        <v>849</v>
      </c>
      <c r="D49" s="49" t="s">
        <v>562</v>
      </c>
      <c r="E49" t="e">
        <f t="shared" si="1"/>
        <v>#N/A</v>
      </c>
    </row>
    <row r="50" spans="1:5" x14ac:dyDescent="0.3">
      <c r="A50" t="s">
        <v>595</v>
      </c>
      <c r="B50" t="s">
        <v>847</v>
      </c>
      <c r="D50" s="48" t="s">
        <v>563</v>
      </c>
      <c r="E50" t="e">
        <f t="shared" si="1"/>
        <v>#N/A</v>
      </c>
    </row>
    <row r="51" spans="1:5" x14ac:dyDescent="0.3">
      <c r="A51" t="s">
        <v>609</v>
      </c>
      <c r="B51" t="s">
        <v>847</v>
      </c>
      <c r="D51" s="49" t="s">
        <v>479</v>
      </c>
      <c r="E51" t="e">
        <f t="shared" si="1"/>
        <v>#N/A</v>
      </c>
    </row>
    <row r="52" spans="1:5" x14ac:dyDescent="0.3">
      <c r="D52" s="48" t="s">
        <v>480</v>
      </c>
      <c r="E52" t="e">
        <f t="shared" si="1"/>
        <v>#N/A</v>
      </c>
    </row>
    <row r="53" spans="1:5" x14ac:dyDescent="0.3">
      <c r="D53" s="49" t="s">
        <v>522</v>
      </c>
      <c r="E53" t="e">
        <f t="shared" si="1"/>
        <v>#N/A</v>
      </c>
    </row>
    <row r="54" spans="1:5" x14ac:dyDescent="0.3">
      <c r="D54" s="48" t="s">
        <v>523</v>
      </c>
      <c r="E54" t="e">
        <f t="shared" si="1"/>
        <v>#N/A</v>
      </c>
    </row>
    <row r="55" spans="1:5" x14ac:dyDescent="0.3">
      <c r="D55" s="49" t="s">
        <v>481</v>
      </c>
      <c r="E55" t="e">
        <f t="shared" si="1"/>
        <v>#N/A</v>
      </c>
    </row>
    <row r="56" spans="1:5" x14ac:dyDescent="0.3">
      <c r="D56" s="48" t="s">
        <v>524</v>
      </c>
      <c r="E56" t="e">
        <f t="shared" si="1"/>
        <v>#N/A</v>
      </c>
    </row>
    <row r="57" spans="1:5" x14ac:dyDescent="0.3">
      <c r="D57" s="49" t="s">
        <v>521</v>
      </c>
      <c r="E57" t="e">
        <f t="shared" si="1"/>
        <v>#N/A</v>
      </c>
    </row>
    <row r="58" spans="1:5" x14ac:dyDescent="0.3">
      <c r="D58" s="48" t="s">
        <v>525</v>
      </c>
      <c r="E58" t="e">
        <f t="shared" si="1"/>
        <v>#N/A</v>
      </c>
    </row>
    <row r="59" spans="1:5" x14ac:dyDescent="0.3">
      <c r="D59" s="49" t="s">
        <v>482</v>
      </c>
      <c r="E59" t="e">
        <f t="shared" si="1"/>
        <v>#N/A</v>
      </c>
    </row>
    <row r="60" spans="1:5" x14ac:dyDescent="0.3">
      <c r="D60" s="48" t="s">
        <v>483</v>
      </c>
      <c r="E60" t="e">
        <f t="shared" si="1"/>
        <v>#N/A</v>
      </c>
    </row>
    <row r="61" spans="1:5" x14ac:dyDescent="0.3">
      <c r="D61" s="49" t="s">
        <v>484</v>
      </c>
      <c r="E61" t="e">
        <f t="shared" si="1"/>
        <v>#N/A</v>
      </c>
    </row>
    <row r="62" spans="1:5" x14ac:dyDescent="0.3">
      <c r="D62" s="48" t="s">
        <v>485</v>
      </c>
      <c r="E62" t="e">
        <f t="shared" si="1"/>
        <v>#N/A</v>
      </c>
    </row>
    <row r="63" spans="1:5" x14ac:dyDescent="0.3">
      <c r="D63" s="49" t="s">
        <v>486</v>
      </c>
      <c r="E63" t="e">
        <f t="shared" si="1"/>
        <v>#N/A</v>
      </c>
    </row>
    <row r="64" spans="1:5" x14ac:dyDescent="0.3">
      <c r="D64" s="48" t="s">
        <v>487</v>
      </c>
      <c r="E64" t="e">
        <f t="shared" si="1"/>
        <v>#N/A</v>
      </c>
    </row>
    <row r="65" spans="4:5" x14ac:dyDescent="0.3">
      <c r="D65" s="49" t="s">
        <v>488</v>
      </c>
      <c r="E65" t="e">
        <f t="shared" si="1"/>
        <v>#N/A</v>
      </c>
    </row>
    <row r="66" spans="4:5" x14ac:dyDescent="0.3">
      <c r="D66" s="48" t="s">
        <v>489</v>
      </c>
      <c r="E66" t="e">
        <f t="shared" ref="E66:E95" si="2">VLOOKUP(D66,A:B,2,FALSE)</f>
        <v>#N/A</v>
      </c>
    </row>
    <row r="67" spans="4:5" x14ac:dyDescent="0.3">
      <c r="D67" s="49" t="s">
        <v>490</v>
      </c>
      <c r="E67" t="e">
        <f t="shared" si="2"/>
        <v>#N/A</v>
      </c>
    </row>
    <row r="68" spans="4:5" x14ac:dyDescent="0.3">
      <c r="D68" s="48" t="s">
        <v>491</v>
      </c>
      <c r="E68" t="e">
        <f t="shared" si="2"/>
        <v>#N/A</v>
      </c>
    </row>
    <row r="69" spans="4:5" x14ac:dyDescent="0.3">
      <c r="D69" s="49" t="s">
        <v>492</v>
      </c>
      <c r="E69" t="e">
        <f t="shared" si="2"/>
        <v>#N/A</v>
      </c>
    </row>
    <row r="70" spans="4:5" x14ac:dyDescent="0.3">
      <c r="D70" s="48" t="s">
        <v>493</v>
      </c>
      <c r="E70" t="e">
        <f t="shared" si="2"/>
        <v>#N/A</v>
      </c>
    </row>
    <row r="71" spans="4:5" x14ac:dyDescent="0.3">
      <c r="D71" s="49" t="s">
        <v>494</v>
      </c>
      <c r="E71" t="e">
        <f t="shared" si="2"/>
        <v>#N/A</v>
      </c>
    </row>
    <row r="72" spans="4:5" x14ac:dyDescent="0.3">
      <c r="D72" s="48" t="s">
        <v>495</v>
      </c>
      <c r="E72" t="e">
        <f t="shared" si="2"/>
        <v>#N/A</v>
      </c>
    </row>
    <row r="73" spans="4:5" x14ac:dyDescent="0.3">
      <c r="D73" s="49" t="s">
        <v>496</v>
      </c>
      <c r="E73" t="e">
        <f t="shared" si="2"/>
        <v>#N/A</v>
      </c>
    </row>
    <row r="74" spans="4:5" x14ac:dyDescent="0.3">
      <c r="D74" s="48" t="s">
        <v>497</v>
      </c>
      <c r="E74" t="e">
        <f t="shared" si="2"/>
        <v>#N/A</v>
      </c>
    </row>
    <row r="75" spans="4:5" x14ac:dyDescent="0.3">
      <c r="D75" s="49" t="s">
        <v>498</v>
      </c>
      <c r="E75" t="e">
        <f t="shared" si="2"/>
        <v>#N/A</v>
      </c>
    </row>
    <row r="76" spans="4:5" x14ac:dyDescent="0.3">
      <c r="D76" s="48" t="s">
        <v>499</v>
      </c>
      <c r="E76" t="e">
        <f t="shared" si="2"/>
        <v>#N/A</v>
      </c>
    </row>
    <row r="77" spans="4:5" x14ac:dyDescent="0.3">
      <c r="D77" s="49" t="s">
        <v>500</v>
      </c>
      <c r="E77" t="e">
        <f t="shared" si="2"/>
        <v>#N/A</v>
      </c>
    </row>
    <row r="78" spans="4:5" x14ac:dyDescent="0.3">
      <c r="D78" s="48" t="s">
        <v>501</v>
      </c>
      <c r="E78" t="e">
        <f t="shared" si="2"/>
        <v>#N/A</v>
      </c>
    </row>
    <row r="79" spans="4:5" x14ac:dyDescent="0.3">
      <c r="D79" s="49" t="s">
        <v>502</v>
      </c>
      <c r="E79" t="e">
        <f t="shared" si="2"/>
        <v>#N/A</v>
      </c>
    </row>
    <row r="80" spans="4:5" x14ac:dyDescent="0.3">
      <c r="D80" s="48" t="s">
        <v>503</v>
      </c>
      <c r="E80" t="e">
        <f t="shared" si="2"/>
        <v>#N/A</v>
      </c>
    </row>
    <row r="81" spans="4:5" x14ac:dyDescent="0.3">
      <c r="D81" s="49" t="s">
        <v>504</v>
      </c>
      <c r="E81" t="e">
        <f t="shared" si="2"/>
        <v>#N/A</v>
      </c>
    </row>
    <row r="82" spans="4:5" x14ac:dyDescent="0.3">
      <c r="D82" s="48" t="s">
        <v>505</v>
      </c>
      <c r="E82" t="e">
        <f t="shared" si="2"/>
        <v>#N/A</v>
      </c>
    </row>
    <row r="83" spans="4:5" x14ac:dyDescent="0.3">
      <c r="D83" s="49" t="s">
        <v>506</v>
      </c>
      <c r="E83" t="e">
        <f t="shared" si="2"/>
        <v>#N/A</v>
      </c>
    </row>
    <row r="84" spans="4:5" x14ac:dyDescent="0.3">
      <c r="D84" s="48" t="s">
        <v>507</v>
      </c>
      <c r="E84" t="e">
        <f t="shared" si="2"/>
        <v>#N/A</v>
      </c>
    </row>
    <row r="85" spans="4:5" x14ac:dyDescent="0.3">
      <c r="D85" s="49" t="s">
        <v>508</v>
      </c>
      <c r="E85" t="e">
        <f t="shared" si="2"/>
        <v>#N/A</v>
      </c>
    </row>
    <row r="86" spans="4:5" x14ac:dyDescent="0.3">
      <c r="D86" s="48" t="s">
        <v>509</v>
      </c>
      <c r="E86" t="e">
        <f t="shared" si="2"/>
        <v>#N/A</v>
      </c>
    </row>
    <row r="87" spans="4:5" x14ac:dyDescent="0.3">
      <c r="D87" s="49" t="s">
        <v>510</v>
      </c>
      <c r="E87" t="e">
        <f t="shared" si="2"/>
        <v>#N/A</v>
      </c>
    </row>
    <row r="88" spans="4:5" x14ac:dyDescent="0.3">
      <c r="D88" s="48" t="s">
        <v>511</v>
      </c>
      <c r="E88" t="e">
        <f t="shared" si="2"/>
        <v>#N/A</v>
      </c>
    </row>
    <row r="89" spans="4:5" x14ac:dyDescent="0.3">
      <c r="D89" s="49" t="s">
        <v>512</v>
      </c>
      <c r="E89" t="e">
        <f t="shared" si="2"/>
        <v>#N/A</v>
      </c>
    </row>
    <row r="90" spans="4:5" x14ac:dyDescent="0.3">
      <c r="D90" s="48" t="s">
        <v>513</v>
      </c>
      <c r="E90" t="e">
        <f t="shared" si="2"/>
        <v>#N/A</v>
      </c>
    </row>
    <row r="91" spans="4:5" x14ac:dyDescent="0.3">
      <c r="D91" s="49" t="s">
        <v>514</v>
      </c>
      <c r="E91" t="e">
        <f t="shared" si="2"/>
        <v>#N/A</v>
      </c>
    </row>
    <row r="92" spans="4:5" x14ac:dyDescent="0.3">
      <c r="D92" s="48" t="s">
        <v>515</v>
      </c>
      <c r="E92" t="e">
        <f t="shared" si="2"/>
        <v>#N/A</v>
      </c>
    </row>
    <row r="93" spans="4:5" x14ac:dyDescent="0.3">
      <c r="D93" s="49" t="s">
        <v>516</v>
      </c>
      <c r="E93" t="e">
        <f t="shared" si="2"/>
        <v>#N/A</v>
      </c>
    </row>
    <row r="94" spans="4:5" x14ac:dyDescent="0.3">
      <c r="D94" s="48" t="s">
        <v>517</v>
      </c>
      <c r="E94" t="e">
        <f t="shared" si="2"/>
        <v>#N/A</v>
      </c>
    </row>
    <row r="95" spans="4:5" x14ac:dyDescent="0.3">
      <c r="D95" s="49" t="s">
        <v>518</v>
      </c>
      <c r="E95" t="e">
        <f t="shared" si="2"/>
        <v>#N/A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E78F-43A8-4E26-B05B-9ECBD727EE41}">
  <sheetPr codeName="Sheet15"/>
  <dimension ref="A1:B199"/>
  <sheetViews>
    <sheetView zoomScaleNormal="100" zoomScaleSheetLayoutView="86" workbookViewId="0">
      <selection activeCell="A4" sqref="A4"/>
    </sheetView>
  </sheetViews>
  <sheetFormatPr defaultRowHeight="14.4" x14ac:dyDescent="0.3"/>
  <cols>
    <col min="1" max="1" width="10.21875" bestFit="1" customWidth="1"/>
    <col min="2" max="2" width="8.33203125" style="5" bestFit="1" customWidth="1"/>
  </cols>
  <sheetData>
    <row r="1" spans="1:2" x14ac:dyDescent="0.3">
      <c r="A1" t="s">
        <v>272</v>
      </c>
      <c r="B1"/>
    </row>
    <row r="2" spans="1:2" x14ac:dyDescent="0.3">
      <c r="A2">
        <v>99138</v>
      </c>
      <c r="B2"/>
    </row>
    <row r="3" spans="1:2" x14ac:dyDescent="0.3">
      <c r="A3">
        <v>73444</v>
      </c>
      <c r="B3"/>
    </row>
    <row r="4" spans="1:2" x14ac:dyDescent="0.3">
      <c r="A4">
        <v>99161</v>
      </c>
      <c r="B4"/>
    </row>
    <row r="5" spans="1:2" x14ac:dyDescent="0.3">
      <c r="A5">
        <v>73519</v>
      </c>
      <c r="B5"/>
    </row>
    <row r="6" spans="1:2" x14ac:dyDescent="0.3">
      <c r="A6">
        <v>73523</v>
      </c>
      <c r="B6"/>
    </row>
    <row r="7" spans="1:2" x14ac:dyDescent="0.3">
      <c r="A7">
        <v>99031</v>
      </c>
      <c r="B7"/>
    </row>
    <row r="8" spans="1:2" x14ac:dyDescent="0.3">
      <c r="A8">
        <v>99031</v>
      </c>
      <c r="B8"/>
    </row>
    <row r="9" spans="1:2" x14ac:dyDescent="0.3">
      <c r="A9">
        <v>73590</v>
      </c>
      <c r="B9"/>
    </row>
    <row r="10" spans="1:2" x14ac:dyDescent="0.3">
      <c r="A10">
        <v>70010</v>
      </c>
      <c r="B10"/>
    </row>
    <row r="11" spans="1:2" x14ac:dyDescent="0.3">
      <c r="A11">
        <v>70011</v>
      </c>
      <c r="B11"/>
    </row>
    <row r="12" spans="1:2" x14ac:dyDescent="0.3">
      <c r="A12">
        <v>70013</v>
      </c>
      <c r="B12"/>
    </row>
    <row r="13" spans="1:2" x14ac:dyDescent="0.3">
      <c r="A13">
        <v>99138</v>
      </c>
      <c r="B13"/>
    </row>
    <row r="14" spans="1:2" x14ac:dyDescent="0.3">
      <c r="A14">
        <v>71146</v>
      </c>
      <c r="B14"/>
    </row>
    <row r="15" spans="1:2" x14ac:dyDescent="0.3">
      <c r="A15">
        <v>99061</v>
      </c>
      <c r="B15"/>
    </row>
    <row r="16" spans="1:2" x14ac:dyDescent="0.3">
      <c r="A16">
        <v>71159</v>
      </c>
      <c r="B16"/>
    </row>
    <row r="17" spans="1:2" x14ac:dyDescent="0.3">
      <c r="A17">
        <v>71161</v>
      </c>
      <c r="B17"/>
    </row>
    <row r="18" spans="1:2" x14ac:dyDescent="0.3">
      <c r="A18">
        <v>71163</v>
      </c>
      <c r="B18"/>
    </row>
    <row r="19" spans="1:2" x14ac:dyDescent="0.3">
      <c r="A19">
        <v>71399</v>
      </c>
      <c r="B19"/>
    </row>
    <row r="20" spans="1:2" x14ac:dyDescent="0.3">
      <c r="A20">
        <v>73190</v>
      </c>
      <c r="B20"/>
    </row>
    <row r="21" spans="1:2" x14ac:dyDescent="0.3">
      <c r="A21">
        <v>99031</v>
      </c>
      <c r="B21"/>
    </row>
    <row r="22" spans="1:2" x14ac:dyDescent="0.3">
      <c r="B22"/>
    </row>
    <row r="23" spans="1:2" x14ac:dyDescent="0.3">
      <c r="B23"/>
    </row>
    <row r="24" spans="1:2" x14ac:dyDescent="0.3">
      <c r="B24"/>
    </row>
    <row r="25" spans="1:2" x14ac:dyDescent="0.3">
      <c r="B25"/>
    </row>
    <row r="26" spans="1:2" x14ac:dyDescent="0.3">
      <c r="B26"/>
    </row>
    <row r="27" spans="1:2" x14ac:dyDescent="0.3">
      <c r="B27"/>
    </row>
    <row r="28" spans="1:2" x14ac:dyDescent="0.3">
      <c r="B28"/>
    </row>
    <row r="29" spans="1:2" x14ac:dyDescent="0.3">
      <c r="B29"/>
    </row>
    <row r="30" spans="1:2" x14ac:dyDescent="0.3">
      <c r="B30"/>
    </row>
    <row r="31" spans="1:2" x14ac:dyDescent="0.3">
      <c r="B31"/>
    </row>
    <row r="32" spans="1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C57E-EB22-4938-9896-18DD046A4555}">
  <sheetPr codeName="Sheet16"/>
  <dimension ref="A1:I15"/>
  <sheetViews>
    <sheetView topLeftCell="B1" zoomScaleNormal="100" workbookViewId="0">
      <selection activeCell="J52" sqref="J52"/>
    </sheetView>
  </sheetViews>
  <sheetFormatPr defaultRowHeight="14.4" x14ac:dyDescent="0.3"/>
  <cols>
    <col min="1" max="1" width="7.77734375" style="9" bestFit="1" customWidth="1"/>
    <col min="2" max="2" width="10.21875" style="9" bestFit="1" customWidth="1"/>
    <col min="3" max="3" width="11.33203125" style="9" bestFit="1" customWidth="1"/>
    <col min="4" max="4" width="8" style="7" customWidth="1"/>
    <col min="5" max="5" width="10.5546875" style="7" customWidth="1"/>
    <col min="6" max="6" width="11" style="7" customWidth="1"/>
    <col min="7" max="7" width="7.5546875" style="7" customWidth="1"/>
    <col min="8" max="8" width="9.21875" customWidth="1"/>
    <col min="9" max="9" width="31.33203125" customWidth="1"/>
    <col min="10" max="10" width="18" bestFit="1" customWidth="1"/>
    <col min="11" max="11" width="9.77734375" bestFit="1" customWidth="1"/>
    <col min="12" max="12" width="17.109375" bestFit="1" customWidth="1"/>
    <col min="13" max="13" width="34" bestFit="1" customWidth="1"/>
    <col min="14" max="14" width="34.6640625" bestFit="1" customWidth="1"/>
    <col min="15" max="15" width="12" bestFit="1" customWidth="1"/>
    <col min="16" max="16" width="11.44140625" bestFit="1" customWidth="1"/>
  </cols>
  <sheetData>
    <row r="1" spans="1:9" s="7" customFormat="1" ht="50.4" customHeight="1" x14ac:dyDescent="0.3">
      <c r="A1" s="4" t="s">
        <v>270</v>
      </c>
      <c r="B1" s="4" t="s">
        <v>272</v>
      </c>
      <c r="C1" s="4" t="s">
        <v>273</v>
      </c>
      <c r="D1" s="4" t="s">
        <v>275</v>
      </c>
      <c r="E1" s="4" t="s">
        <v>5</v>
      </c>
      <c r="F1" s="4" t="s">
        <v>74</v>
      </c>
      <c r="G1" s="4" t="s">
        <v>276</v>
      </c>
      <c r="H1" s="4" t="s">
        <v>8</v>
      </c>
      <c r="I1" s="4" t="s">
        <v>10</v>
      </c>
    </row>
    <row r="2" spans="1:9" x14ac:dyDescent="0.3">
      <c r="A2" s="9" t="s">
        <v>676</v>
      </c>
      <c r="B2" s="9">
        <v>73522</v>
      </c>
      <c r="C2" s="9">
        <v>0</v>
      </c>
      <c r="D2" s="7">
        <v>102</v>
      </c>
      <c r="E2" s="7" t="s">
        <v>53</v>
      </c>
      <c r="G2" s="7">
        <v>102</v>
      </c>
      <c r="H2" s="7" t="s">
        <v>59</v>
      </c>
      <c r="I2" t="s">
        <v>677</v>
      </c>
    </row>
    <row r="3" spans="1:9" x14ac:dyDescent="0.3">
      <c r="A3" s="9" t="s">
        <v>694</v>
      </c>
      <c r="B3" s="9">
        <v>73577</v>
      </c>
      <c r="C3" s="9">
        <v>0</v>
      </c>
      <c r="D3" s="7">
        <v>102</v>
      </c>
      <c r="E3" s="7" t="s">
        <v>53</v>
      </c>
      <c r="G3" s="7">
        <v>102</v>
      </c>
      <c r="H3" s="7" t="s">
        <v>59</v>
      </c>
      <c r="I3" t="s">
        <v>695</v>
      </c>
    </row>
    <row r="4" spans="1:9" x14ac:dyDescent="0.3">
      <c r="A4" s="9" t="s">
        <v>704</v>
      </c>
      <c r="B4" s="9">
        <v>73610</v>
      </c>
      <c r="C4" s="9">
        <v>0</v>
      </c>
      <c r="D4" s="7">
        <v>102</v>
      </c>
      <c r="E4" s="7" t="s">
        <v>53</v>
      </c>
      <c r="G4" s="7">
        <v>102</v>
      </c>
      <c r="H4" s="7" t="s">
        <v>59</v>
      </c>
      <c r="I4" t="s">
        <v>705</v>
      </c>
    </row>
    <row r="5" spans="1:9" x14ac:dyDescent="0.3">
      <c r="A5" s="9" t="s">
        <v>851</v>
      </c>
      <c r="B5" s="9">
        <v>73047</v>
      </c>
      <c r="C5" s="9">
        <v>0</v>
      </c>
      <c r="D5" s="7">
        <v>102</v>
      </c>
      <c r="E5" s="7" t="s">
        <v>53</v>
      </c>
      <c r="G5" s="7">
        <v>102</v>
      </c>
      <c r="H5" s="7" t="s">
        <v>59</v>
      </c>
      <c r="I5" t="s">
        <v>852</v>
      </c>
    </row>
    <row r="6" spans="1:9" x14ac:dyDescent="0.3">
      <c r="A6" s="9" t="s">
        <v>670</v>
      </c>
      <c r="B6" s="9">
        <v>73508</v>
      </c>
      <c r="C6" s="9">
        <v>0</v>
      </c>
      <c r="D6" s="7">
        <v>102</v>
      </c>
      <c r="E6" s="7" t="s">
        <v>52</v>
      </c>
      <c r="G6" s="7">
        <v>102</v>
      </c>
      <c r="H6" s="7" t="s">
        <v>60</v>
      </c>
      <c r="I6" t="s">
        <v>671</v>
      </c>
    </row>
    <row r="7" spans="1:9" x14ac:dyDescent="0.3">
      <c r="A7" s="9" t="s">
        <v>672</v>
      </c>
      <c r="B7" s="9">
        <v>73516</v>
      </c>
      <c r="C7" s="9">
        <v>0</v>
      </c>
      <c r="D7" s="7">
        <v>102</v>
      </c>
      <c r="E7" s="7" t="s">
        <v>52</v>
      </c>
      <c r="G7" s="7">
        <v>102</v>
      </c>
      <c r="H7" s="7" t="s">
        <v>60</v>
      </c>
      <c r="I7" t="s">
        <v>673</v>
      </c>
    </row>
    <row r="8" spans="1:9" x14ac:dyDescent="0.3">
      <c r="A8" s="9" t="s">
        <v>853</v>
      </c>
      <c r="B8" s="9">
        <v>99152</v>
      </c>
      <c r="C8" s="9">
        <v>1</v>
      </c>
      <c r="D8" s="7">
        <v>102</v>
      </c>
      <c r="E8" s="7" t="s">
        <v>52</v>
      </c>
      <c r="G8" s="7">
        <v>102</v>
      </c>
      <c r="H8" s="7" t="s">
        <v>60</v>
      </c>
      <c r="I8" t="s">
        <v>854</v>
      </c>
    </row>
    <row r="9" spans="1:9" x14ac:dyDescent="0.3">
      <c r="A9" s="9" t="s">
        <v>855</v>
      </c>
      <c r="B9" s="9">
        <v>99161</v>
      </c>
      <c r="C9" s="9">
        <v>96</v>
      </c>
      <c r="D9" s="7">
        <v>102</v>
      </c>
      <c r="E9" s="7" t="s">
        <v>52</v>
      </c>
      <c r="G9" s="7">
        <v>102</v>
      </c>
      <c r="H9" s="7" t="s">
        <v>60</v>
      </c>
      <c r="I9" t="s">
        <v>856</v>
      </c>
    </row>
    <row r="10" spans="1:9" x14ac:dyDescent="0.3">
      <c r="A10" s="9" t="s">
        <v>722</v>
      </c>
      <c r="B10" s="9">
        <v>99031</v>
      </c>
      <c r="C10" s="9">
        <v>172</v>
      </c>
      <c r="D10" s="7">
        <v>102</v>
      </c>
      <c r="E10" s="7" t="s">
        <v>52</v>
      </c>
      <c r="G10" s="7">
        <v>102</v>
      </c>
      <c r="H10" s="7" t="s">
        <v>60</v>
      </c>
      <c r="I10" t="s">
        <v>723</v>
      </c>
    </row>
    <row r="11" spans="1:9" x14ac:dyDescent="0.3">
      <c r="A11" s="9" t="s">
        <v>724</v>
      </c>
      <c r="B11" s="9">
        <v>99031</v>
      </c>
      <c r="C11" s="9">
        <v>180</v>
      </c>
      <c r="D11" s="7">
        <v>102</v>
      </c>
      <c r="E11" s="7" t="s">
        <v>52</v>
      </c>
      <c r="G11" s="7">
        <v>102</v>
      </c>
      <c r="H11" s="7" t="s">
        <v>60</v>
      </c>
      <c r="I11" t="s">
        <v>725</v>
      </c>
    </row>
    <row r="12" spans="1:9" x14ac:dyDescent="0.3">
      <c r="A12" s="9" t="s">
        <v>857</v>
      </c>
      <c r="B12" s="9">
        <v>73588</v>
      </c>
      <c r="C12" s="9">
        <v>0</v>
      </c>
      <c r="D12" s="7">
        <v>102</v>
      </c>
      <c r="E12" s="7" t="s">
        <v>58</v>
      </c>
      <c r="G12" s="7">
        <v>102</v>
      </c>
      <c r="H12" s="7" t="s">
        <v>60</v>
      </c>
      <c r="I12" t="s">
        <v>858</v>
      </c>
    </row>
    <row r="13" spans="1:9" x14ac:dyDescent="0.3">
      <c r="A13" s="9" t="s">
        <v>640</v>
      </c>
      <c r="B13" s="9">
        <v>71128</v>
      </c>
      <c r="C13" s="9">
        <v>0</v>
      </c>
      <c r="D13" s="7">
        <v>102</v>
      </c>
      <c r="E13" s="7" t="s">
        <v>52</v>
      </c>
      <c r="G13" s="7">
        <v>102</v>
      </c>
      <c r="H13" s="7" t="s">
        <v>60</v>
      </c>
      <c r="I13" t="s">
        <v>642</v>
      </c>
    </row>
    <row r="14" spans="1:9" x14ac:dyDescent="0.3">
      <c r="A14" s="9" t="s">
        <v>643</v>
      </c>
      <c r="B14" s="9">
        <v>71132</v>
      </c>
      <c r="C14" s="9">
        <v>0</v>
      </c>
      <c r="D14" s="7">
        <v>102</v>
      </c>
      <c r="E14" s="7" t="s">
        <v>52</v>
      </c>
      <c r="G14" s="7">
        <v>102</v>
      </c>
      <c r="H14" s="7" t="s">
        <v>60</v>
      </c>
      <c r="I14" t="s">
        <v>644</v>
      </c>
    </row>
    <row r="15" spans="1:9" x14ac:dyDescent="0.3">
      <c r="A15" s="9" t="s">
        <v>738</v>
      </c>
      <c r="B15" s="9">
        <v>99062</v>
      </c>
      <c r="C15" s="9">
        <v>96</v>
      </c>
      <c r="D15" s="7">
        <v>102</v>
      </c>
      <c r="E15" s="7" t="s">
        <v>52</v>
      </c>
      <c r="G15" s="7">
        <v>102</v>
      </c>
      <c r="H15" s="7" t="s">
        <v>60</v>
      </c>
      <c r="I15" t="s">
        <v>739</v>
      </c>
    </row>
  </sheetData>
  <phoneticPr fontId="1" type="noConversion"/>
  <conditionalFormatting sqref="G2:H1048576">
    <cfRule type="expression" dxfId="16" priority="2">
      <formula>G2&lt;&gt;D2</formula>
    </cfRule>
  </conditionalFormatting>
  <pageMargins left="0.7" right="0.7" top="0.75" bottom="0.75" header="0.3" footer="0.3"/>
  <pageSetup scale="70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B287-F332-42DC-B296-05833EEE2D6D}">
  <sheetPr codeName="Sheet33"/>
  <dimension ref="A1:L151"/>
  <sheetViews>
    <sheetView workbookViewId="0">
      <selection activeCell="D12" sqref="D12"/>
    </sheetView>
  </sheetViews>
  <sheetFormatPr defaultRowHeight="14.4" x14ac:dyDescent="0.3"/>
  <cols>
    <col min="1" max="1" width="6" bestFit="1" customWidth="1"/>
    <col min="2" max="2" width="8" bestFit="1" customWidth="1"/>
    <col min="3" max="3" width="9.109375" bestFit="1" customWidth="1"/>
    <col min="4" max="4" width="34" bestFit="1" customWidth="1"/>
    <col min="5" max="5" width="9.33203125" bestFit="1" customWidth="1"/>
    <col min="6" max="6" width="14.88671875" bestFit="1" customWidth="1"/>
    <col min="7" max="7" width="9.77734375" bestFit="1" customWidth="1"/>
    <col min="8" max="8" width="10.21875" bestFit="1" customWidth="1"/>
    <col min="9" max="9" width="15.77734375" bestFit="1" customWidth="1"/>
    <col min="10" max="10" width="14.109375" bestFit="1" customWidth="1"/>
    <col min="11" max="11" width="8.21875" bestFit="1" customWidth="1"/>
    <col min="12" max="12" width="15.109375" bestFit="1" customWidth="1"/>
  </cols>
  <sheetData>
    <row r="1" spans="1:12" x14ac:dyDescent="0.3">
      <c r="A1" t="s">
        <v>270</v>
      </c>
      <c r="B1" t="s">
        <v>272</v>
      </c>
      <c r="C1" t="s">
        <v>273</v>
      </c>
      <c r="D1" t="s">
        <v>10</v>
      </c>
      <c r="E1" t="s">
        <v>276</v>
      </c>
      <c r="F1" t="s">
        <v>8</v>
      </c>
      <c r="G1" t="s">
        <v>13</v>
      </c>
      <c r="H1" t="s">
        <v>275</v>
      </c>
      <c r="I1" t="s">
        <v>5</v>
      </c>
      <c r="J1" t="s">
        <v>65</v>
      </c>
      <c r="K1" t="s">
        <v>9</v>
      </c>
      <c r="L1" t="s">
        <v>74</v>
      </c>
    </row>
    <row r="2" spans="1:12" x14ac:dyDescent="0.3">
      <c r="A2" t="s">
        <v>761</v>
      </c>
      <c r="B2">
        <v>73366</v>
      </c>
      <c r="C2">
        <v>0</v>
      </c>
      <c r="D2" t="s">
        <v>1157</v>
      </c>
      <c r="E2">
        <v>102</v>
      </c>
      <c r="F2" t="s">
        <v>58</v>
      </c>
      <c r="G2" t="s">
        <v>300</v>
      </c>
      <c r="H2">
        <v>102</v>
      </c>
      <c r="I2" t="s">
        <v>53</v>
      </c>
      <c r="K2">
        <v>145</v>
      </c>
    </row>
    <row r="3" spans="1:12" x14ac:dyDescent="0.3">
      <c r="A3" t="s">
        <v>684</v>
      </c>
      <c r="B3">
        <v>73544</v>
      </c>
      <c r="C3">
        <v>0</v>
      </c>
      <c r="D3" t="s">
        <v>685</v>
      </c>
      <c r="E3">
        <v>102</v>
      </c>
      <c r="F3" t="s">
        <v>58</v>
      </c>
      <c r="G3" t="s">
        <v>303</v>
      </c>
      <c r="H3">
        <v>102</v>
      </c>
      <c r="I3" t="s">
        <v>53</v>
      </c>
      <c r="K3">
        <v>160</v>
      </c>
    </row>
    <row r="4" spans="1:12" x14ac:dyDescent="0.3">
      <c r="A4" t="s">
        <v>696</v>
      </c>
      <c r="B4">
        <v>73578</v>
      </c>
      <c r="C4">
        <v>0</v>
      </c>
      <c r="D4" t="s">
        <v>697</v>
      </c>
      <c r="E4">
        <v>102</v>
      </c>
      <c r="F4" t="s">
        <v>58</v>
      </c>
      <c r="G4" t="s">
        <v>300</v>
      </c>
      <c r="H4">
        <v>102</v>
      </c>
      <c r="I4" t="s">
        <v>53</v>
      </c>
      <c r="K4">
        <v>150</v>
      </c>
    </row>
    <row r="5" spans="1:12" x14ac:dyDescent="0.3">
      <c r="A5" t="s">
        <v>1235</v>
      </c>
      <c r="B5">
        <v>233684</v>
      </c>
      <c r="C5">
        <v>0</v>
      </c>
      <c r="D5" t="s">
        <v>1236</v>
      </c>
      <c r="E5">
        <v>102</v>
      </c>
      <c r="F5" t="s">
        <v>58</v>
      </c>
      <c r="G5" t="s">
        <v>303</v>
      </c>
      <c r="H5">
        <v>102</v>
      </c>
      <c r="I5" t="s">
        <v>53</v>
      </c>
      <c r="K5">
        <v>155</v>
      </c>
    </row>
    <row r="6" spans="1:12" x14ac:dyDescent="0.3">
      <c r="A6" t="s">
        <v>611</v>
      </c>
      <c r="B6">
        <v>99031</v>
      </c>
      <c r="C6">
        <v>189</v>
      </c>
      <c r="D6" t="s">
        <v>612</v>
      </c>
      <c r="E6">
        <v>102</v>
      </c>
      <c r="F6" t="s">
        <v>58</v>
      </c>
      <c r="G6" t="s">
        <v>300</v>
      </c>
      <c r="H6">
        <v>102</v>
      </c>
      <c r="I6" t="s">
        <v>53</v>
      </c>
      <c r="K6">
        <v>180</v>
      </c>
    </row>
    <row r="7" spans="1:12" x14ac:dyDescent="0.3">
      <c r="A7" t="s">
        <v>728</v>
      </c>
      <c r="B7">
        <v>99031</v>
      </c>
      <c r="C7">
        <v>190</v>
      </c>
      <c r="D7" t="s">
        <v>729</v>
      </c>
      <c r="E7">
        <v>102</v>
      </c>
      <c r="F7" t="s">
        <v>58</v>
      </c>
      <c r="G7" t="s">
        <v>300</v>
      </c>
      <c r="H7">
        <v>102</v>
      </c>
      <c r="I7" t="s">
        <v>53</v>
      </c>
      <c r="K7">
        <v>130</v>
      </c>
    </row>
    <row r="8" spans="1:12" x14ac:dyDescent="0.3">
      <c r="A8" t="s">
        <v>702</v>
      </c>
      <c r="B8">
        <v>73595</v>
      </c>
      <c r="C8">
        <v>0</v>
      </c>
      <c r="D8" t="s">
        <v>703</v>
      </c>
      <c r="E8">
        <v>102</v>
      </c>
      <c r="F8" t="s">
        <v>58</v>
      </c>
      <c r="G8" t="s">
        <v>300</v>
      </c>
      <c r="H8">
        <v>102</v>
      </c>
      <c r="I8" t="s">
        <v>53</v>
      </c>
      <c r="K8">
        <v>140</v>
      </c>
    </row>
    <row r="9" spans="1:12" x14ac:dyDescent="0.3">
      <c r="A9" t="s">
        <v>769</v>
      </c>
      <c r="B9">
        <v>70852</v>
      </c>
      <c r="C9">
        <v>0</v>
      </c>
      <c r="D9" t="s">
        <v>1276</v>
      </c>
      <c r="E9">
        <v>102</v>
      </c>
      <c r="F9" t="s">
        <v>58</v>
      </c>
      <c r="G9" t="s">
        <v>300</v>
      </c>
      <c r="H9">
        <v>102</v>
      </c>
      <c r="I9" t="s">
        <v>53</v>
      </c>
      <c r="K9">
        <v>170</v>
      </c>
    </row>
    <row r="10" spans="1:12" x14ac:dyDescent="0.3">
      <c r="A10" t="s">
        <v>1209</v>
      </c>
      <c r="B10">
        <v>73521</v>
      </c>
      <c r="C10">
        <v>0</v>
      </c>
      <c r="D10" t="s">
        <v>1210</v>
      </c>
      <c r="E10">
        <v>102</v>
      </c>
      <c r="F10" t="s">
        <v>58</v>
      </c>
      <c r="G10" t="s">
        <v>303</v>
      </c>
      <c r="H10">
        <v>102</v>
      </c>
      <c r="I10" t="s">
        <v>53</v>
      </c>
      <c r="K10">
        <v>165</v>
      </c>
    </row>
    <row r="11" spans="1:12" x14ac:dyDescent="0.3">
      <c r="A11" t="s">
        <v>794</v>
      </c>
      <c r="B11">
        <v>73264</v>
      </c>
      <c r="C11">
        <v>0</v>
      </c>
      <c r="D11" t="s">
        <v>859</v>
      </c>
      <c r="E11">
        <v>102</v>
      </c>
      <c r="F11" t="s">
        <v>58</v>
      </c>
      <c r="G11" t="s">
        <v>323</v>
      </c>
      <c r="H11">
        <v>102</v>
      </c>
      <c r="I11" t="s">
        <v>53</v>
      </c>
      <c r="K11">
        <v>185</v>
      </c>
    </row>
    <row r="12" spans="1:12" x14ac:dyDescent="0.3">
      <c r="A12" t="s">
        <v>718</v>
      </c>
      <c r="B12">
        <v>99031</v>
      </c>
      <c r="C12">
        <v>97</v>
      </c>
      <c r="D12" t="s">
        <v>719</v>
      </c>
      <c r="E12">
        <v>102</v>
      </c>
      <c r="F12" t="s">
        <v>58</v>
      </c>
      <c r="G12" t="s">
        <v>300</v>
      </c>
      <c r="H12">
        <v>102</v>
      </c>
      <c r="I12" t="s">
        <v>53</v>
      </c>
      <c r="K12">
        <v>175</v>
      </c>
    </row>
    <row r="13" spans="1:12" x14ac:dyDescent="0.3">
      <c r="A13" t="s">
        <v>706</v>
      </c>
      <c r="B13">
        <v>99031</v>
      </c>
      <c r="C13">
        <v>61</v>
      </c>
      <c r="D13" t="s">
        <v>707</v>
      </c>
      <c r="E13">
        <v>102</v>
      </c>
      <c r="F13" t="s">
        <v>58</v>
      </c>
      <c r="G13" t="s">
        <v>300</v>
      </c>
      <c r="H13">
        <v>102</v>
      </c>
      <c r="I13" t="s">
        <v>53</v>
      </c>
      <c r="K13">
        <v>135</v>
      </c>
    </row>
    <row r="14" spans="1:12" x14ac:dyDescent="0.3">
      <c r="A14" t="s">
        <v>770</v>
      </c>
      <c r="B14">
        <v>99212</v>
      </c>
      <c r="C14">
        <v>4</v>
      </c>
      <c r="D14" t="s">
        <v>1304</v>
      </c>
      <c r="E14">
        <v>102</v>
      </c>
      <c r="F14" t="s">
        <v>58</v>
      </c>
      <c r="G14" t="s">
        <v>323</v>
      </c>
      <c r="H14">
        <v>102</v>
      </c>
      <c r="I14" t="s">
        <v>52</v>
      </c>
      <c r="K14">
        <v>110</v>
      </c>
    </row>
    <row r="15" spans="1:12" x14ac:dyDescent="0.3">
      <c r="A15" t="s">
        <v>765</v>
      </c>
      <c r="B15">
        <v>73404</v>
      </c>
      <c r="C15">
        <v>8</v>
      </c>
      <c r="D15" t="s">
        <v>1213</v>
      </c>
      <c r="E15">
        <v>102</v>
      </c>
      <c r="F15" t="s">
        <v>58</v>
      </c>
      <c r="G15" t="s">
        <v>323</v>
      </c>
      <c r="H15">
        <v>102</v>
      </c>
      <c r="I15" t="s">
        <v>52</v>
      </c>
      <c r="K15">
        <v>90</v>
      </c>
    </row>
    <row r="16" spans="1:12" x14ac:dyDescent="0.3">
      <c r="A16" t="s">
        <v>773</v>
      </c>
      <c r="B16">
        <v>99212</v>
      </c>
      <c r="C16">
        <v>1</v>
      </c>
      <c r="D16" t="s">
        <v>1331</v>
      </c>
      <c r="E16">
        <v>102</v>
      </c>
      <c r="F16" t="s">
        <v>58</v>
      </c>
      <c r="G16" t="s">
        <v>323</v>
      </c>
      <c r="H16">
        <v>102</v>
      </c>
      <c r="I16" t="s">
        <v>52</v>
      </c>
      <c r="K16">
        <v>50</v>
      </c>
    </row>
    <row r="17" spans="1:11" x14ac:dyDescent="0.3">
      <c r="A17" t="s">
        <v>799</v>
      </c>
      <c r="B17">
        <v>73568</v>
      </c>
      <c r="C17">
        <v>0</v>
      </c>
      <c r="D17" t="s">
        <v>861</v>
      </c>
      <c r="E17">
        <v>102</v>
      </c>
      <c r="F17" t="s">
        <v>58</v>
      </c>
      <c r="G17" t="s">
        <v>298</v>
      </c>
      <c r="H17">
        <v>102</v>
      </c>
      <c r="I17" t="s">
        <v>52</v>
      </c>
      <c r="K17">
        <v>15</v>
      </c>
    </row>
    <row r="18" spans="1:11" x14ac:dyDescent="0.3">
      <c r="A18" t="s">
        <v>766</v>
      </c>
      <c r="B18">
        <v>73576</v>
      </c>
      <c r="C18">
        <v>0</v>
      </c>
      <c r="D18" t="s">
        <v>1229</v>
      </c>
      <c r="E18">
        <v>102</v>
      </c>
      <c r="F18" t="s">
        <v>58</v>
      </c>
      <c r="G18" t="s">
        <v>300</v>
      </c>
      <c r="H18">
        <v>102</v>
      </c>
      <c r="I18" t="s">
        <v>52</v>
      </c>
      <c r="K18">
        <v>105</v>
      </c>
    </row>
    <row r="19" spans="1:11" x14ac:dyDescent="0.3">
      <c r="A19" t="s">
        <v>726</v>
      </c>
      <c r="B19">
        <v>99031</v>
      </c>
      <c r="C19">
        <v>181</v>
      </c>
      <c r="D19" t="s">
        <v>727</v>
      </c>
      <c r="E19">
        <v>102</v>
      </c>
      <c r="F19" t="s">
        <v>58</v>
      </c>
      <c r="G19" t="s">
        <v>300</v>
      </c>
      <c r="H19">
        <v>102</v>
      </c>
      <c r="I19" t="s">
        <v>52</v>
      </c>
      <c r="K19">
        <v>45</v>
      </c>
    </row>
    <row r="20" spans="1:11" x14ac:dyDescent="0.3">
      <c r="A20" t="s">
        <v>710</v>
      </c>
      <c r="B20">
        <v>99031</v>
      </c>
      <c r="C20">
        <v>90</v>
      </c>
      <c r="D20" t="s">
        <v>711</v>
      </c>
      <c r="E20">
        <v>102</v>
      </c>
      <c r="F20" t="s">
        <v>58</v>
      </c>
      <c r="G20" t="s">
        <v>300</v>
      </c>
      <c r="H20">
        <v>102</v>
      </c>
      <c r="I20" t="s">
        <v>52</v>
      </c>
      <c r="K20">
        <v>40</v>
      </c>
    </row>
    <row r="21" spans="1:11" x14ac:dyDescent="0.3">
      <c r="A21" t="s">
        <v>708</v>
      </c>
      <c r="B21">
        <v>99031</v>
      </c>
      <c r="C21">
        <v>89</v>
      </c>
      <c r="D21" t="s">
        <v>709</v>
      </c>
      <c r="E21">
        <v>102</v>
      </c>
      <c r="F21" t="s">
        <v>58</v>
      </c>
      <c r="G21" t="s">
        <v>300</v>
      </c>
      <c r="H21">
        <v>102</v>
      </c>
      <c r="I21" t="s">
        <v>52</v>
      </c>
      <c r="K21">
        <v>95</v>
      </c>
    </row>
    <row r="22" spans="1:11" x14ac:dyDescent="0.3">
      <c r="A22" t="s">
        <v>748</v>
      </c>
      <c r="B22">
        <v>99189</v>
      </c>
      <c r="C22">
        <v>1</v>
      </c>
      <c r="D22" t="s">
        <v>749</v>
      </c>
      <c r="E22">
        <v>102</v>
      </c>
      <c r="F22" t="s">
        <v>58</v>
      </c>
      <c r="G22" t="s">
        <v>300</v>
      </c>
      <c r="H22">
        <v>102</v>
      </c>
      <c r="I22" t="s">
        <v>52</v>
      </c>
      <c r="K22">
        <v>65</v>
      </c>
    </row>
    <row r="23" spans="1:11" x14ac:dyDescent="0.3">
      <c r="A23" t="s">
        <v>750</v>
      </c>
      <c r="B23">
        <v>99189</v>
      </c>
      <c r="C23">
        <v>2</v>
      </c>
      <c r="D23" t="s">
        <v>751</v>
      </c>
      <c r="E23">
        <v>102</v>
      </c>
      <c r="F23" t="s">
        <v>58</v>
      </c>
      <c r="G23" t="s">
        <v>323</v>
      </c>
      <c r="H23">
        <v>102</v>
      </c>
      <c r="I23" t="s">
        <v>52</v>
      </c>
      <c r="K23">
        <v>30</v>
      </c>
    </row>
    <row r="24" spans="1:11" x14ac:dyDescent="0.3">
      <c r="A24" t="s">
        <v>752</v>
      </c>
      <c r="B24">
        <v>99189</v>
      </c>
      <c r="C24">
        <v>3</v>
      </c>
      <c r="D24" t="s">
        <v>753</v>
      </c>
      <c r="E24">
        <v>102</v>
      </c>
      <c r="F24" t="s">
        <v>58</v>
      </c>
      <c r="G24" t="s">
        <v>323</v>
      </c>
      <c r="H24">
        <v>102</v>
      </c>
      <c r="I24" t="s">
        <v>52</v>
      </c>
      <c r="K24">
        <v>115</v>
      </c>
    </row>
    <row r="25" spans="1:11" x14ac:dyDescent="0.3">
      <c r="A25" t="s">
        <v>744</v>
      </c>
      <c r="B25">
        <v>99137</v>
      </c>
      <c r="C25">
        <v>2</v>
      </c>
      <c r="D25" t="s">
        <v>745</v>
      </c>
      <c r="E25">
        <v>102</v>
      </c>
      <c r="F25" t="s">
        <v>58</v>
      </c>
      <c r="G25" t="s">
        <v>323</v>
      </c>
      <c r="H25">
        <v>102</v>
      </c>
      <c r="I25" t="s">
        <v>52</v>
      </c>
      <c r="K25">
        <v>20</v>
      </c>
    </row>
    <row r="26" spans="1:11" x14ac:dyDescent="0.3">
      <c r="A26" t="s">
        <v>768</v>
      </c>
      <c r="B26">
        <v>70832</v>
      </c>
      <c r="C26">
        <v>0</v>
      </c>
      <c r="D26" t="s">
        <v>1271</v>
      </c>
      <c r="E26">
        <v>102</v>
      </c>
      <c r="F26" t="s">
        <v>58</v>
      </c>
      <c r="G26" t="s">
        <v>300</v>
      </c>
      <c r="H26">
        <v>102</v>
      </c>
      <c r="I26" t="s">
        <v>52</v>
      </c>
      <c r="K26">
        <v>85</v>
      </c>
    </row>
    <row r="27" spans="1:11" x14ac:dyDescent="0.3">
      <c r="A27" t="s">
        <v>736</v>
      </c>
      <c r="B27">
        <v>99062</v>
      </c>
      <c r="C27">
        <v>37</v>
      </c>
      <c r="D27" t="s">
        <v>737</v>
      </c>
      <c r="E27">
        <v>102</v>
      </c>
      <c r="F27" t="s">
        <v>58</v>
      </c>
      <c r="G27" t="s">
        <v>300</v>
      </c>
      <c r="H27">
        <v>102</v>
      </c>
      <c r="I27" t="s">
        <v>52</v>
      </c>
      <c r="K27">
        <v>75</v>
      </c>
    </row>
    <row r="28" spans="1:11" x14ac:dyDescent="0.3">
      <c r="A28" t="s">
        <v>772</v>
      </c>
      <c r="B28">
        <v>73126</v>
      </c>
      <c r="C28">
        <v>0</v>
      </c>
      <c r="D28" t="s">
        <v>1311</v>
      </c>
      <c r="E28">
        <v>102</v>
      </c>
      <c r="F28" t="s">
        <v>58</v>
      </c>
      <c r="G28" t="s">
        <v>297</v>
      </c>
      <c r="H28">
        <v>102</v>
      </c>
      <c r="I28" t="s">
        <v>52</v>
      </c>
      <c r="K28">
        <v>125</v>
      </c>
    </row>
    <row r="29" spans="1:11" x14ac:dyDescent="0.3">
      <c r="A29" t="s">
        <v>802</v>
      </c>
      <c r="B29">
        <v>71131</v>
      </c>
      <c r="C29">
        <v>0</v>
      </c>
      <c r="D29" t="s">
        <v>860</v>
      </c>
      <c r="E29">
        <v>102</v>
      </c>
      <c r="F29" t="s">
        <v>58</v>
      </c>
      <c r="G29" t="s">
        <v>302</v>
      </c>
      <c r="H29">
        <v>102</v>
      </c>
      <c r="I29" t="s">
        <v>52</v>
      </c>
      <c r="K29">
        <v>10</v>
      </c>
    </row>
    <row r="30" spans="1:11" x14ac:dyDescent="0.3">
      <c r="A30" t="s">
        <v>771</v>
      </c>
      <c r="B30">
        <v>73079</v>
      </c>
      <c r="C30">
        <v>0</v>
      </c>
      <c r="D30" t="s">
        <v>1307</v>
      </c>
      <c r="E30">
        <v>102</v>
      </c>
      <c r="F30" t="s">
        <v>58</v>
      </c>
      <c r="G30" t="s">
        <v>300</v>
      </c>
      <c r="H30">
        <v>102</v>
      </c>
      <c r="I30" t="s">
        <v>52</v>
      </c>
      <c r="K30">
        <v>100</v>
      </c>
    </row>
    <row r="31" spans="1:11" x14ac:dyDescent="0.3">
      <c r="A31" t="s">
        <v>663</v>
      </c>
      <c r="B31">
        <v>73470</v>
      </c>
      <c r="C31">
        <v>3</v>
      </c>
      <c r="D31" t="s">
        <v>665</v>
      </c>
      <c r="E31">
        <v>102</v>
      </c>
      <c r="F31" t="s">
        <v>58</v>
      </c>
      <c r="G31" t="s">
        <v>300</v>
      </c>
      <c r="H31">
        <v>102</v>
      </c>
      <c r="I31" t="s">
        <v>52</v>
      </c>
      <c r="K31">
        <v>35</v>
      </c>
    </row>
    <row r="32" spans="1:11" x14ac:dyDescent="0.3">
      <c r="A32" t="s">
        <v>767</v>
      </c>
      <c r="B32">
        <v>73063</v>
      </c>
      <c r="C32">
        <v>15</v>
      </c>
      <c r="D32" t="s">
        <v>1259</v>
      </c>
      <c r="E32">
        <v>102</v>
      </c>
      <c r="F32" t="s">
        <v>58</v>
      </c>
      <c r="G32" t="s">
        <v>323</v>
      </c>
      <c r="H32">
        <v>102</v>
      </c>
      <c r="I32" t="s">
        <v>52</v>
      </c>
      <c r="K32">
        <v>55</v>
      </c>
    </row>
    <row r="33" spans="1:11" x14ac:dyDescent="0.3">
      <c r="A33" t="s">
        <v>762</v>
      </c>
      <c r="B33">
        <v>73464</v>
      </c>
      <c r="C33">
        <v>0</v>
      </c>
      <c r="D33" t="s">
        <v>1173</v>
      </c>
      <c r="E33">
        <v>102</v>
      </c>
      <c r="F33" t="s">
        <v>58</v>
      </c>
      <c r="G33" t="s">
        <v>323</v>
      </c>
      <c r="H33">
        <v>102</v>
      </c>
      <c r="I33" t="s">
        <v>52</v>
      </c>
      <c r="K33">
        <v>70</v>
      </c>
    </row>
    <row r="34" spans="1:11" x14ac:dyDescent="0.3">
      <c r="A34" t="s">
        <v>763</v>
      </c>
      <c r="B34">
        <v>99161</v>
      </c>
      <c r="C34">
        <v>37</v>
      </c>
      <c r="D34" t="s">
        <v>1192</v>
      </c>
      <c r="E34">
        <v>102</v>
      </c>
      <c r="F34" t="s">
        <v>58</v>
      </c>
      <c r="G34" t="s">
        <v>354</v>
      </c>
      <c r="H34">
        <v>102</v>
      </c>
      <c r="I34" t="s">
        <v>52</v>
      </c>
      <c r="K34">
        <v>80</v>
      </c>
    </row>
    <row r="35" spans="1:11" x14ac:dyDescent="0.3">
      <c r="A35" t="s">
        <v>674</v>
      </c>
      <c r="B35">
        <v>73517</v>
      </c>
      <c r="C35">
        <v>0</v>
      </c>
      <c r="D35" t="s">
        <v>675</v>
      </c>
      <c r="E35">
        <v>102</v>
      </c>
      <c r="F35" t="s">
        <v>58</v>
      </c>
      <c r="G35" t="s">
        <v>300</v>
      </c>
      <c r="H35">
        <v>102</v>
      </c>
      <c r="I35" t="s">
        <v>52</v>
      </c>
      <c r="K35">
        <v>120</v>
      </c>
    </row>
    <row r="36" spans="1:11" x14ac:dyDescent="0.3">
      <c r="A36" t="s">
        <v>764</v>
      </c>
      <c r="B36">
        <v>73499</v>
      </c>
      <c r="C36">
        <v>0</v>
      </c>
      <c r="D36" t="s">
        <v>519</v>
      </c>
      <c r="E36">
        <v>102</v>
      </c>
      <c r="F36" t="s">
        <v>58</v>
      </c>
      <c r="G36" t="s">
        <v>302</v>
      </c>
      <c r="H36">
        <v>102</v>
      </c>
      <c r="I36" t="s">
        <v>52</v>
      </c>
      <c r="K36">
        <v>60</v>
      </c>
    </row>
    <row r="37" spans="1:11" x14ac:dyDescent="0.3">
      <c r="A37" t="s">
        <v>809</v>
      </c>
      <c r="B37">
        <v>73190</v>
      </c>
      <c r="C37">
        <v>0</v>
      </c>
      <c r="D37" t="s">
        <v>755</v>
      </c>
      <c r="E37">
        <v>102</v>
      </c>
      <c r="F37" t="s">
        <v>53</v>
      </c>
      <c r="G37" t="s">
        <v>300</v>
      </c>
      <c r="H37">
        <v>102</v>
      </c>
      <c r="I37" t="s">
        <v>58</v>
      </c>
      <c r="K37">
        <v>130</v>
      </c>
    </row>
    <row r="38" spans="1:11" x14ac:dyDescent="0.3">
      <c r="A38" t="s">
        <v>740</v>
      </c>
      <c r="B38">
        <v>99137</v>
      </c>
      <c r="C38">
        <v>0</v>
      </c>
      <c r="D38" t="s">
        <v>741</v>
      </c>
      <c r="E38">
        <v>102</v>
      </c>
      <c r="F38" t="s">
        <v>53</v>
      </c>
      <c r="G38" t="s">
        <v>323</v>
      </c>
      <c r="H38">
        <v>102</v>
      </c>
      <c r="I38" t="s">
        <v>58</v>
      </c>
      <c r="K38">
        <v>120</v>
      </c>
    </row>
    <row r="39" spans="1:11" x14ac:dyDescent="0.3">
      <c r="A39" t="s">
        <v>621</v>
      </c>
      <c r="B39">
        <v>71159</v>
      </c>
      <c r="C39">
        <v>0</v>
      </c>
      <c r="D39" t="s">
        <v>622</v>
      </c>
      <c r="E39">
        <v>102</v>
      </c>
      <c r="F39" t="s">
        <v>53</v>
      </c>
      <c r="G39" t="s">
        <v>300</v>
      </c>
      <c r="H39">
        <v>102</v>
      </c>
      <c r="I39" t="s">
        <v>58</v>
      </c>
      <c r="K39">
        <v>125</v>
      </c>
    </row>
    <row r="40" spans="1:11" x14ac:dyDescent="0.3">
      <c r="A40" t="s">
        <v>591</v>
      </c>
      <c r="B40">
        <v>70537</v>
      </c>
      <c r="C40">
        <v>0</v>
      </c>
      <c r="D40" t="s">
        <v>592</v>
      </c>
      <c r="E40">
        <v>102</v>
      </c>
      <c r="F40" t="s">
        <v>53</v>
      </c>
      <c r="G40" t="s">
        <v>300</v>
      </c>
      <c r="H40">
        <v>101</v>
      </c>
      <c r="I40" t="s">
        <v>53</v>
      </c>
      <c r="K40">
        <v>15</v>
      </c>
    </row>
    <row r="41" spans="1:11" x14ac:dyDescent="0.3">
      <c r="A41" t="s">
        <v>842</v>
      </c>
      <c r="B41">
        <v>99192</v>
      </c>
      <c r="C41">
        <v>3</v>
      </c>
      <c r="D41" t="s">
        <v>881</v>
      </c>
      <c r="E41">
        <v>102</v>
      </c>
      <c r="F41" t="s">
        <v>53</v>
      </c>
      <c r="G41" t="s">
        <v>299</v>
      </c>
      <c r="H41">
        <v>101</v>
      </c>
      <c r="I41" t="s">
        <v>53</v>
      </c>
      <c r="K41">
        <v>10</v>
      </c>
    </row>
    <row r="42" spans="1:11" x14ac:dyDescent="0.3">
      <c r="A42" t="s">
        <v>839</v>
      </c>
      <c r="B42">
        <v>70618</v>
      </c>
      <c r="C42">
        <v>0</v>
      </c>
      <c r="D42" t="s">
        <v>873</v>
      </c>
      <c r="E42">
        <v>102</v>
      </c>
      <c r="F42" t="s">
        <v>53</v>
      </c>
      <c r="G42" t="s">
        <v>298</v>
      </c>
      <c r="H42">
        <v>102</v>
      </c>
      <c r="I42" t="s">
        <v>60</v>
      </c>
      <c r="K42">
        <v>25</v>
      </c>
    </row>
    <row r="43" spans="1:11" x14ac:dyDescent="0.3">
      <c r="A43" t="s">
        <v>800</v>
      </c>
      <c r="B43">
        <v>73611</v>
      </c>
      <c r="C43">
        <v>0</v>
      </c>
      <c r="D43" t="s">
        <v>864</v>
      </c>
      <c r="E43">
        <v>102</v>
      </c>
      <c r="F43" t="s">
        <v>53</v>
      </c>
      <c r="G43" t="s">
        <v>299</v>
      </c>
      <c r="H43">
        <v>102</v>
      </c>
      <c r="I43" t="s">
        <v>60</v>
      </c>
      <c r="K43">
        <v>1</v>
      </c>
    </row>
    <row r="44" spans="1:11" x14ac:dyDescent="0.3">
      <c r="A44" t="s">
        <v>615</v>
      </c>
      <c r="B44">
        <v>73444</v>
      </c>
      <c r="C44">
        <v>0</v>
      </c>
      <c r="D44" t="s">
        <v>616</v>
      </c>
      <c r="E44">
        <v>102</v>
      </c>
      <c r="F44" t="s">
        <v>53</v>
      </c>
      <c r="G44" t="s">
        <v>300</v>
      </c>
      <c r="H44">
        <v>102</v>
      </c>
      <c r="I44" t="s">
        <v>60</v>
      </c>
      <c r="K44">
        <v>65</v>
      </c>
    </row>
    <row r="45" spans="1:11" x14ac:dyDescent="0.3">
      <c r="A45" t="s">
        <v>796</v>
      </c>
      <c r="B45">
        <v>99161</v>
      </c>
      <c r="C45">
        <v>112</v>
      </c>
      <c r="D45" t="s">
        <v>754</v>
      </c>
      <c r="E45">
        <v>102</v>
      </c>
      <c r="F45" t="s">
        <v>53</v>
      </c>
      <c r="G45" t="s">
        <v>300</v>
      </c>
      <c r="H45">
        <v>102</v>
      </c>
      <c r="I45" t="s">
        <v>60</v>
      </c>
      <c r="K45">
        <v>80</v>
      </c>
    </row>
    <row r="46" spans="1:11" x14ac:dyDescent="0.3">
      <c r="A46" t="s">
        <v>804</v>
      </c>
      <c r="B46">
        <v>99126</v>
      </c>
      <c r="C46">
        <v>3</v>
      </c>
      <c r="D46" t="s">
        <v>863</v>
      </c>
      <c r="E46">
        <v>102</v>
      </c>
      <c r="F46" t="s">
        <v>53</v>
      </c>
      <c r="G46" t="s">
        <v>323</v>
      </c>
      <c r="H46">
        <v>102</v>
      </c>
      <c r="I46" t="s">
        <v>60</v>
      </c>
      <c r="K46">
        <v>95</v>
      </c>
    </row>
    <row r="47" spans="1:11" x14ac:dyDescent="0.3">
      <c r="A47" t="s">
        <v>865</v>
      </c>
      <c r="B47">
        <v>73404</v>
      </c>
      <c r="C47">
        <v>2</v>
      </c>
      <c r="D47" t="s">
        <v>866</v>
      </c>
      <c r="E47">
        <v>102</v>
      </c>
      <c r="F47" t="s">
        <v>53</v>
      </c>
      <c r="G47" t="s">
        <v>303</v>
      </c>
      <c r="H47">
        <v>102</v>
      </c>
      <c r="I47" t="s">
        <v>60</v>
      </c>
      <c r="K47">
        <v>110</v>
      </c>
    </row>
    <row r="48" spans="1:11" x14ac:dyDescent="0.3">
      <c r="A48" t="s">
        <v>617</v>
      </c>
      <c r="B48">
        <v>71146</v>
      </c>
      <c r="C48">
        <v>0</v>
      </c>
      <c r="D48" t="s">
        <v>618</v>
      </c>
      <c r="E48">
        <v>102</v>
      </c>
      <c r="F48" t="s">
        <v>53</v>
      </c>
      <c r="G48" t="s">
        <v>300</v>
      </c>
      <c r="H48">
        <v>102</v>
      </c>
      <c r="I48" t="s">
        <v>60</v>
      </c>
      <c r="K48">
        <v>90</v>
      </c>
    </row>
    <row r="49" spans="1:11" x14ac:dyDescent="0.3">
      <c r="A49" t="s">
        <v>613</v>
      </c>
      <c r="B49">
        <v>73590</v>
      </c>
      <c r="C49">
        <v>0</v>
      </c>
      <c r="D49" t="s">
        <v>614</v>
      </c>
      <c r="E49">
        <v>102</v>
      </c>
      <c r="F49" t="s">
        <v>53</v>
      </c>
      <c r="G49" t="s">
        <v>300</v>
      </c>
      <c r="H49">
        <v>102</v>
      </c>
      <c r="I49" t="s">
        <v>60</v>
      </c>
      <c r="K49">
        <v>100</v>
      </c>
    </row>
    <row r="50" spans="1:11" x14ac:dyDescent="0.3">
      <c r="A50" t="s">
        <v>805</v>
      </c>
      <c r="B50">
        <v>71148</v>
      </c>
      <c r="C50">
        <v>0</v>
      </c>
      <c r="D50" t="s">
        <v>867</v>
      </c>
      <c r="E50">
        <v>102</v>
      </c>
      <c r="F50" t="s">
        <v>53</v>
      </c>
      <c r="G50" t="s">
        <v>323</v>
      </c>
      <c r="H50">
        <v>102</v>
      </c>
      <c r="I50" t="s">
        <v>60</v>
      </c>
      <c r="K50">
        <v>165</v>
      </c>
    </row>
    <row r="51" spans="1:11" x14ac:dyDescent="0.3">
      <c r="A51" t="s">
        <v>593</v>
      </c>
      <c r="B51">
        <v>70024</v>
      </c>
      <c r="C51">
        <v>0</v>
      </c>
      <c r="D51" t="s">
        <v>594</v>
      </c>
      <c r="E51">
        <v>102</v>
      </c>
      <c r="F51" t="s">
        <v>53</v>
      </c>
      <c r="G51" t="s">
        <v>300</v>
      </c>
      <c r="H51">
        <v>102</v>
      </c>
      <c r="I51" t="s">
        <v>60</v>
      </c>
      <c r="K51">
        <v>55</v>
      </c>
    </row>
    <row r="52" spans="1:11" x14ac:dyDescent="0.3">
      <c r="A52" t="s">
        <v>874</v>
      </c>
      <c r="B52">
        <v>99052</v>
      </c>
      <c r="C52">
        <v>9</v>
      </c>
      <c r="D52" t="s">
        <v>875</v>
      </c>
      <c r="E52">
        <v>102</v>
      </c>
      <c r="F52" t="s">
        <v>53</v>
      </c>
      <c r="G52" t="s">
        <v>303</v>
      </c>
      <c r="H52">
        <v>102</v>
      </c>
      <c r="I52" t="s">
        <v>60</v>
      </c>
      <c r="K52">
        <v>35</v>
      </c>
    </row>
    <row r="53" spans="1:11" x14ac:dyDescent="0.3">
      <c r="A53" t="s">
        <v>601</v>
      </c>
      <c r="B53">
        <v>73569</v>
      </c>
      <c r="C53">
        <v>0</v>
      </c>
      <c r="D53" t="s">
        <v>602</v>
      </c>
      <c r="E53">
        <v>102</v>
      </c>
      <c r="F53" t="s">
        <v>53</v>
      </c>
      <c r="G53" t="s">
        <v>300</v>
      </c>
      <c r="H53">
        <v>102</v>
      </c>
      <c r="I53" t="s">
        <v>60</v>
      </c>
      <c r="K53">
        <v>45</v>
      </c>
    </row>
    <row r="54" spans="1:11" x14ac:dyDescent="0.3">
      <c r="A54" t="s">
        <v>609</v>
      </c>
      <c r="B54">
        <v>99031</v>
      </c>
      <c r="C54">
        <v>104</v>
      </c>
      <c r="D54" t="s">
        <v>610</v>
      </c>
      <c r="E54">
        <v>102</v>
      </c>
      <c r="F54" t="s">
        <v>53</v>
      </c>
      <c r="G54" t="s">
        <v>300</v>
      </c>
      <c r="H54">
        <v>102</v>
      </c>
      <c r="I54" t="s">
        <v>60</v>
      </c>
      <c r="K54">
        <v>180</v>
      </c>
    </row>
    <row r="55" spans="1:11" x14ac:dyDescent="0.3">
      <c r="A55" t="s">
        <v>595</v>
      </c>
      <c r="B55">
        <v>73289</v>
      </c>
      <c r="C55">
        <v>0</v>
      </c>
      <c r="D55" t="s">
        <v>596</v>
      </c>
      <c r="E55">
        <v>102</v>
      </c>
      <c r="F55" t="s">
        <v>53</v>
      </c>
      <c r="G55" t="s">
        <v>300</v>
      </c>
      <c r="H55">
        <v>102</v>
      </c>
      <c r="I55" t="s">
        <v>60</v>
      </c>
      <c r="K55">
        <v>30</v>
      </c>
    </row>
    <row r="56" spans="1:11" x14ac:dyDescent="0.3">
      <c r="A56" t="s">
        <v>603</v>
      </c>
      <c r="B56">
        <v>73523</v>
      </c>
      <c r="C56">
        <v>1</v>
      </c>
      <c r="D56" t="s">
        <v>604</v>
      </c>
      <c r="E56">
        <v>102</v>
      </c>
      <c r="F56" t="s">
        <v>53</v>
      </c>
      <c r="G56" t="s">
        <v>300</v>
      </c>
      <c r="H56">
        <v>102</v>
      </c>
      <c r="I56" t="s">
        <v>60</v>
      </c>
      <c r="K56">
        <v>200</v>
      </c>
    </row>
    <row r="57" spans="1:11" x14ac:dyDescent="0.3">
      <c r="A57" t="s">
        <v>627</v>
      </c>
      <c r="B57">
        <v>99031</v>
      </c>
      <c r="C57">
        <v>92</v>
      </c>
      <c r="D57" t="s">
        <v>628</v>
      </c>
      <c r="E57">
        <v>102</v>
      </c>
      <c r="F57" t="s">
        <v>53</v>
      </c>
      <c r="G57" t="s">
        <v>300</v>
      </c>
      <c r="H57">
        <v>102</v>
      </c>
      <c r="I57" t="s">
        <v>60</v>
      </c>
      <c r="K57">
        <v>105</v>
      </c>
    </row>
    <row r="58" spans="1:11" x14ac:dyDescent="0.3">
      <c r="A58" t="s">
        <v>589</v>
      </c>
      <c r="B58">
        <v>73413</v>
      </c>
      <c r="C58">
        <v>0</v>
      </c>
      <c r="D58" t="s">
        <v>590</v>
      </c>
      <c r="E58">
        <v>102</v>
      </c>
      <c r="F58" t="s">
        <v>53</v>
      </c>
      <c r="G58" t="s">
        <v>300</v>
      </c>
      <c r="H58">
        <v>102</v>
      </c>
      <c r="I58" t="s">
        <v>60</v>
      </c>
      <c r="K58">
        <v>170</v>
      </c>
    </row>
    <row r="59" spans="1:11" x14ac:dyDescent="0.3">
      <c r="A59" t="s">
        <v>807</v>
      </c>
      <c r="B59">
        <v>99212</v>
      </c>
      <c r="C59">
        <v>0</v>
      </c>
      <c r="D59" t="s">
        <v>862</v>
      </c>
      <c r="E59">
        <v>102</v>
      </c>
      <c r="F59" t="s">
        <v>53</v>
      </c>
      <c r="G59" t="s">
        <v>323</v>
      </c>
      <c r="H59">
        <v>102</v>
      </c>
      <c r="I59" t="s">
        <v>60</v>
      </c>
      <c r="K59">
        <v>115</v>
      </c>
    </row>
    <row r="60" spans="1:11" x14ac:dyDescent="0.3">
      <c r="A60" t="s">
        <v>836</v>
      </c>
      <c r="B60">
        <v>73535</v>
      </c>
      <c r="C60">
        <v>0</v>
      </c>
      <c r="D60" t="s">
        <v>880</v>
      </c>
      <c r="E60">
        <v>102</v>
      </c>
      <c r="F60" t="s">
        <v>53</v>
      </c>
      <c r="G60" t="s">
        <v>302</v>
      </c>
      <c r="H60">
        <v>102</v>
      </c>
      <c r="I60" t="s">
        <v>60</v>
      </c>
      <c r="K60">
        <v>210</v>
      </c>
    </row>
    <row r="61" spans="1:11" x14ac:dyDescent="0.3">
      <c r="A61" t="s">
        <v>619</v>
      </c>
      <c r="B61">
        <v>99061</v>
      </c>
      <c r="C61">
        <v>112</v>
      </c>
      <c r="D61" t="s">
        <v>620</v>
      </c>
      <c r="E61">
        <v>102</v>
      </c>
      <c r="F61" t="s">
        <v>53</v>
      </c>
      <c r="G61" t="s">
        <v>300</v>
      </c>
      <c r="H61">
        <v>102</v>
      </c>
      <c r="I61" t="s">
        <v>60</v>
      </c>
      <c r="K61">
        <v>75</v>
      </c>
    </row>
    <row r="62" spans="1:11" x14ac:dyDescent="0.3">
      <c r="A62" t="s">
        <v>647</v>
      </c>
      <c r="B62">
        <v>71255</v>
      </c>
      <c r="C62">
        <v>0</v>
      </c>
      <c r="D62" t="s">
        <v>648</v>
      </c>
      <c r="E62">
        <v>102</v>
      </c>
      <c r="F62" t="s">
        <v>53</v>
      </c>
      <c r="G62" t="s">
        <v>298</v>
      </c>
      <c r="H62">
        <v>102</v>
      </c>
      <c r="I62" t="s">
        <v>60</v>
      </c>
      <c r="K62">
        <v>190</v>
      </c>
    </row>
    <row r="63" spans="1:11" x14ac:dyDescent="0.3">
      <c r="A63" t="s">
        <v>841</v>
      </c>
      <c r="B63">
        <v>99047</v>
      </c>
      <c r="C63">
        <v>9</v>
      </c>
      <c r="D63" t="s">
        <v>878</v>
      </c>
      <c r="E63">
        <v>102</v>
      </c>
      <c r="F63" t="s">
        <v>53</v>
      </c>
      <c r="G63" t="s">
        <v>302</v>
      </c>
      <c r="H63">
        <v>102</v>
      </c>
      <c r="I63" t="s">
        <v>60</v>
      </c>
      <c r="K63">
        <v>175</v>
      </c>
    </row>
    <row r="64" spans="1:11" x14ac:dyDescent="0.3">
      <c r="A64" t="s">
        <v>686</v>
      </c>
      <c r="B64">
        <v>73549</v>
      </c>
      <c r="C64">
        <v>0</v>
      </c>
      <c r="D64" t="s">
        <v>687</v>
      </c>
      <c r="E64">
        <v>102</v>
      </c>
      <c r="F64" t="s">
        <v>53</v>
      </c>
      <c r="G64" t="s">
        <v>303</v>
      </c>
      <c r="H64">
        <v>102</v>
      </c>
      <c r="I64" t="s">
        <v>60</v>
      </c>
      <c r="K64">
        <v>205</v>
      </c>
    </row>
    <row r="65" spans="1:11" x14ac:dyDescent="0.3">
      <c r="A65" t="s">
        <v>876</v>
      </c>
      <c r="B65">
        <v>71251</v>
      </c>
      <c r="C65">
        <v>0</v>
      </c>
      <c r="D65" t="s">
        <v>877</v>
      </c>
      <c r="E65">
        <v>102</v>
      </c>
      <c r="F65" t="s">
        <v>53</v>
      </c>
      <c r="G65" t="s">
        <v>303</v>
      </c>
      <c r="H65">
        <v>102</v>
      </c>
      <c r="I65" t="s">
        <v>60</v>
      </c>
      <c r="K65">
        <v>195</v>
      </c>
    </row>
    <row r="66" spans="1:11" x14ac:dyDescent="0.3">
      <c r="A66" t="s">
        <v>837</v>
      </c>
      <c r="B66">
        <v>73558</v>
      </c>
      <c r="C66">
        <v>0</v>
      </c>
      <c r="D66" t="s">
        <v>879</v>
      </c>
      <c r="E66">
        <v>102</v>
      </c>
      <c r="F66" t="s">
        <v>53</v>
      </c>
      <c r="G66" t="s">
        <v>298</v>
      </c>
      <c r="H66">
        <v>102</v>
      </c>
      <c r="I66" t="s">
        <v>60</v>
      </c>
      <c r="K66">
        <v>40</v>
      </c>
    </row>
    <row r="67" spans="1:11" x14ac:dyDescent="0.3">
      <c r="A67" t="s">
        <v>625</v>
      </c>
      <c r="B67">
        <v>71163</v>
      </c>
      <c r="C67">
        <v>0</v>
      </c>
      <c r="D67" t="s">
        <v>626</v>
      </c>
      <c r="E67">
        <v>102</v>
      </c>
      <c r="F67" t="s">
        <v>53</v>
      </c>
      <c r="G67" t="s">
        <v>300</v>
      </c>
      <c r="H67">
        <v>102</v>
      </c>
      <c r="I67" t="s">
        <v>60</v>
      </c>
      <c r="K67">
        <v>85</v>
      </c>
    </row>
    <row r="68" spans="1:11" x14ac:dyDescent="0.3">
      <c r="A68" t="s">
        <v>871</v>
      </c>
      <c r="B68">
        <v>71160</v>
      </c>
      <c r="C68">
        <v>0</v>
      </c>
      <c r="D68" t="s">
        <v>872</v>
      </c>
      <c r="E68">
        <v>102</v>
      </c>
      <c r="F68" t="s">
        <v>53</v>
      </c>
      <c r="G68" t="s">
        <v>303</v>
      </c>
      <c r="H68">
        <v>102</v>
      </c>
      <c r="I68" t="s">
        <v>60</v>
      </c>
      <c r="K68">
        <v>60</v>
      </c>
    </row>
    <row r="69" spans="1:11" x14ac:dyDescent="0.3">
      <c r="A69" t="s">
        <v>680</v>
      </c>
      <c r="B69">
        <v>73540</v>
      </c>
      <c r="C69">
        <v>0</v>
      </c>
      <c r="D69" t="s">
        <v>681</v>
      </c>
      <c r="E69">
        <v>102</v>
      </c>
      <c r="F69" t="s">
        <v>53</v>
      </c>
      <c r="G69" t="s">
        <v>302</v>
      </c>
      <c r="H69">
        <v>102</v>
      </c>
      <c r="I69" t="s">
        <v>60</v>
      </c>
      <c r="K69">
        <v>185</v>
      </c>
    </row>
    <row r="70" spans="1:11" x14ac:dyDescent="0.3">
      <c r="A70" t="s">
        <v>795</v>
      </c>
      <c r="B70">
        <v>73459</v>
      </c>
      <c r="C70">
        <v>0</v>
      </c>
      <c r="D70" t="s">
        <v>869</v>
      </c>
      <c r="E70">
        <v>102</v>
      </c>
      <c r="F70" t="s">
        <v>53</v>
      </c>
      <c r="G70" t="s">
        <v>323</v>
      </c>
      <c r="H70">
        <v>102</v>
      </c>
      <c r="I70" t="s">
        <v>60</v>
      </c>
      <c r="K70">
        <v>135</v>
      </c>
    </row>
    <row r="71" spans="1:11" x14ac:dyDescent="0.3">
      <c r="A71" t="s">
        <v>3808</v>
      </c>
      <c r="B71">
        <v>70608</v>
      </c>
      <c r="C71">
        <v>1</v>
      </c>
      <c r="D71" t="s">
        <v>2518</v>
      </c>
      <c r="E71">
        <v>103</v>
      </c>
      <c r="F71" t="s">
        <v>53</v>
      </c>
      <c r="G71" t="s">
        <v>300</v>
      </c>
      <c r="H71">
        <v>103</v>
      </c>
      <c r="I71" t="s">
        <v>60</v>
      </c>
      <c r="K71">
        <v>15</v>
      </c>
    </row>
    <row r="72" spans="1:11" x14ac:dyDescent="0.3">
      <c r="A72" t="s">
        <v>3806</v>
      </c>
      <c r="B72">
        <v>70608</v>
      </c>
      <c r="C72">
        <v>0</v>
      </c>
      <c r="D72" t="s">
        <v>2516</v>
      </c>
      <c r="E72">
        <v>103</v>
      </c>
      <c r="F72" t="s">
        <v>53</v>
      </c>
      <c r="G72" t="s">
        <v>300</v>
      </c>
      <c r="H72">
        <v>103</v>
      </c>
      <c r="I72" t="s">
        <v>60</v>
      </c>
      <c r="K72">
        <v>10</v>
      </c>
    </row>
    <row r="73" spans="1:11" x14ac:dyDescent="0.3">
      <c r="A73" t="s">
        <v>3807</v>
      </c>
      <c r="B73">
        <v>73341</v>
      </c>
      <c r="C73">
        <v>0</v>
      </c>
      <c r="D73" t="s">
        <v>2577</v>
      </c>
      <c r="E73">
        <v>103</v>
      </c>
      <c r="F73" t="s">
        <v>53</v>
      </c>
      <c r="G73" t="s">
        <v>300</v>
      </c>
      <c r="H73">
        <v>103</v>
      </c>
      <c r="I73" t="s">
        <v>60</v>
      </c>
      <c r="K73">
        <v>5</v>
      </c>
    </row>
    <row r="74" spans="1:11" x14ac:dyDescent="0.3">
      <c r="A74" t="s">
        <v>638</v>
      </c>
      <c r="B74">
        <v>70897</v>
      </c>
      <c r="C74">
        <v>4</v>
      </c>
      <c r="D74" t="s">
        <v>639</v>
      </c>
      <c r="E74">
        <v>102</v>
      </c>
      <c r="F74" t="s">
        <v>52</v>
      </c>
      <c r="G74" t="s">
        <v>300</v>
      </c>
      <c r="H74">
        <v>102</v>
      </c>
      <c r="I74" t="s">
        <v>58</v>
      </c>
      <c r="K74">
        <v>135</v>
      </c>
    </row>
    <row r="75" spans="1:11" x14ac:dyDescent="0.3">
      <c r="A75" t="s">
        <v>787</v>
      </c>
      <c r="B75">
        <v>70845</v>
      </c>
      <c r="C75">
        <v>0</v>
      </c>
      <c r="D75" t="s">
        <v>883</v>
      </c>
      <c r="E75">
        <v>102</v>
      </c>
      <c r="F75" t="s">
        <v>52</v>
      </c>
      <c r="G75" t="s">
        <v>323</v>
      </c>
      <c r="H75">
        <v>102</v>
      </c>
      <c r="I75" t="s">
        <v>58</v>
      </c>
      <c r="K75">
        <v>60</v>
      </c>
    </row>
    <row r="76" spans="1:11" x14ac:dyDescent="0.3">
      <c r="A76" t="s">
        <v>828</v>
      </c>
      <c r="B76">
        <v>70846</v>
      </c>
      <c r="C76">
        <v>0</v>
      </c>
      <c r="D76" t="s">
        <v>903</v>
      </c>
      <c r="E76">
        <v>102</v>
      </c>
      <c r="F76" t="s">
        <v>52</v>
      </c>
      <c r="G76" t="s">
        <v>323</v>
      </c>
      <c r="H76">
        <v>102</v>
      </c>
      <c r="I76" t="s">
        <v>58</v>
      </c>
      <c r="K76">
        <v>105</v>
      </c>
    </row>
    <row r="77" spans="1:11" x14ac:dyDescent="0.3">
      <c r="A77" t="s">
        <v>607</v>
      </c>
      <c r="B77">
        <v>99031</v>
      </c>
      <c r="C77">
        <v>182</v>
      </c>
      <c r="D77" t="s">
        <v>608</v>
      </c>
      <c r="E77">
        <v>102</v>
      </c>
      <c r="F77" t="s">
        <v>52</v>
      </c>
      <c r="G77" t="s">
        <v>300</v>
      </c>
      <c r="H77">
        <v>102</v>
      </c>
      <c r="I77" t="s">
        <v>58</v>
      </c>
      <c r="K77">
        <v>120</v>
      </c>
    </row>
    <row r="78" spans="1:11" x14ac:dyDescent="0.3">
      <c r="A78" t="s">
        <v>777</v>
      </c>
      <c r="B78">
        <v>99138</v>
      </c>
      <c r="C78">
        <v>1</v>
      </c>
      <c r="D78" t="s">
        <v>893</v>
      </c>
      <c r="E78">
        <v>102</v>
      </c>
      <c r="F78" t="s">
        <v>52</v>
      </c>
      <c r="G78" t="s">
        <v>300</v>
      </c>
      <c r="H78">
        <v>102</v>
      </c>
      <c r="I78" t="s">
        <v>58</v>
      </c>
      <c r="K78">
        <v>80</v>
      </c>
    </row>
    <row r="79" spans="1:11" x14ac:dyDescent="0.3">
      <c r="A79" t="s">
        <v>645</v>
      </c>
      <c r="B79">
        <v>71145</v>
      </c>
      <c r="C79">
        <v>0</v>
      </c>
      <c r="D79" t="s">
        <v>646</v>
      </c>
      <c r="E79">
        <v>102</v>
      </c>
      <c r="F79" t="s">
        <v>52</v>
      </c>
      <c r="G79" t="s">
        <v>300</v>
      </c>
      <c r="H79">
        <v>102</v>
      </c>
      <c r="I79" t="s">
        <v>58</v>
      </c>
      <c r="K79">
        <v>205</v>
      </c>
    </row>
    <row r="80" spans="1:11" x14ac:dyDescent="0.3">
      <c r="A80" t="s">
        <v>688</v>
      </c>
      <c r="B80">
        <v>73557</v>
      </c>
      <c r="C80">
        <v>0</v>
      </c>
      <c r="D80" t="s">
        <v>689</v>
      </c>
      <c r="E80">
        <v>102</v>
      </c>
      <c r="F80" t="s">
        <v>52</v>
      </c>
      <c r="G80" t="s">
        <v>300</v>
      </c>
      <c r="H80">
        <v>102</v>
      </c>
      <c r="I80" t="s">
        <v>58</v>
      </c>
      <c r="K80">
        <v>65</v>
      </c>
    </row>
    <row r="81" spans="1:11" x14ac:dyDescent="0.3">
      <c r="A81" t="s">
        <v>827</v>
      </c>
      <c r="B81">
        <v>99138</v>
      </c>
      <c r="C81">
        <v>2</v>
      </c>
      <c r="D81" t="s">
        <v>757</v>
      </c>
      <c r="E81">
        <v>102</v>
      </c>
      <c r="F81" t="s">
        <v>52</v>
      </c>
      <c r="G81" t="s">
        <v>300</v>
      </c>
      <c r="H81">
        <v>102</v>
      </c>
      <c r="I81" t="s">
        <v>58</v>
      </c>
      <c r="K81">
        <v>45</v>
      </c>
    </row>
    <row r="82" spans="1:11" x14ac:dyDescent="0.3">
      <c r="A82" t="s">
        <v>649</v>
      </c>
      <c r="B82">
        <v>71366</v>
      </c>
      <c r="C82">
        <v>0</v>
      </c>
      <c r="D82" t="s">
        <v>650</v>
      </c>
      <c r="E82">
        <v>102</v>
      </c>
      <c r="F82" t="s">
        <v>52</v>
      </c>
      <c r="G82" t="s">
        <v>303</v>
      </c>
      <c r="H82">
        <v>102</v>
      </c>
      <c r="I82" t="s">
        <v>58</v>
      </c>
      <c r="K82">
        <v>70</v>
      </c>
    </row>
    <row r="83" spans="1:11" x14ac:dyDescent="0.3">
      <c r="A83" t="s">
        <v>813</v>
      </c>
      <c r="B83">
        <v>99138</v>
      </c>
      <c r="C83">
        <v>8</v>
      </c>
      <c r="D83" t="s">
        <v>759</v>
      </c>
      <c r="E83">
        <v>102</v>
      </c>
      <c r="F83" t="s">
        <v>52</v>
      </c>
      <c r="G83" t="s">
        <v>300</v>
      </c>
      <c r="H83">
        <v>102</v>
      </c>
      <c r="I83" t="s">
        <v>58</v>
      </c>
      <c r="K83">
        <v>130</v>
      </c>
    </row>
    <row r="84" spans="1:11" x14ac:dyDescent="0.3">
      <c r="A84" t="s">
        <v>661</v>
      </c>
      <c r="B84">
        <v>73425</v>
      </c>
      <c r="C84">
        <v>0</v>
      </c>
      <c r="D84" t="s">
        <v>662</v>
      </c>
      <c r="E84">
        <v>102</v>
      </c>
      <c r="F84" t="s">
        <v>52</v>
      </c>
      <c r="G84" t="s">
        <v>300</v>
      </c>
      <c r="H84">
        <v>102</v>
      </c>
      <c r="I84" t="s">
        <v>58</v>
      </c>
      <c r="K84">
        <v>55</v>
      </c>
    </row>
    <row r="85" spans="1:11" x14ac:dyDescent="0.3">
      <c r="A85" t="s">
        <v>782</v>
      </c>
      <c r="B85">
        <v>73526</v>
      </c>
      <c r="C85">
        <v>0</v>
      </c>
      <c r="D85" t="s">
        <v>900</v>
      </c>
      <c r="E85">
        <v>102</v>
      </c>
      <c r="F85" t="s">
        <v>52</v>
      </c>
      <c r="G85" t="s">
        <v>323</v>
      </c>
      <c r="H85">
        <v>102</v>
      </c>
      <c r="I85" t="s">
        <v>58</v>
      </c>
      <c r="K85">
        <v>145</v>
      </c>
    </row>
    <row r="86" spans="1:11" x14ac:dyDescent="0.3">
      <c r="A86" t="s">
        <v>655</v>
      </c>
      <c r="B86">
        <v>73262</v>
      </c>
      <c r="C86">
        <v>0</v>
      </c>
      <c r="D86" t="s">
        <v>656</v>
      </c>
      <c r="E86">
        <v>102</v>
      </c>
      <c r="F86" t="s">
        <v>52</v>
      </c>
      <c r="G86" t="s">
        <v>300</v>
      </c>
      <c r="H86">
        <v>102</v>
      </c>
      <c r="I86" t="s">
        <v>58</v>
      </c>
      <c r="K86">
        <v>200</v>
      </c>
    </row>
    <row r="87" spans="1:11" x14ac:dyDescent="0.3">
      <c r="A87" t="s">
        <v>659</v>
      </c>
      <c r="B87">
        <v>73394</v>
      </c>
      <c r="C87">
        <v>0</v>
      </c>
      <c r="D87" t="s">
        <v>660</v>
      </c>
      <c r="E87">
        <v>102</v>
      </c>
      <c r="F87" t="s">
        <v>52</v>
      </c>
      <c r="G87" t="s">
        <v>298</v>
      </c>
      <c r="H87">
        <v>102</v>
      </c>
      <c r="I87" t="s">
        <v>58</v>
      </c>
      <c r="K87">
        <v>95</v>
      </c>
    </row>
    <row r="88" spans="1:11" x14ac:dyDescent="0.3">
      <c r="A88" t="s">
        <v>774</v>
      </c>
      <c r="B88">
        <v>73389</v>
      </c>
      <c r="C88">
        <v>0</v>
      </c>
      <c r="D88" t="s">
        <v>884</v>
      </c>
      <c r="E88">
        <v>102</v>
      </c>
      <c r="F88" t="s">
        <v>52</v>
      </c>
      <c r="G88" t="s">
        <v>300</v>
      </c>
      <c r="H88">
        <v>102</v>
      </c>
      <c r="I88" t="s">
        <v>58</v>
      </c>
      <c r="K88">
        <v>50</v>
      </c>
    </row>
    <row r="89" spans="1:11" x14ac:dyDescent="0.3">
      <c r="A89" t="s">
        <v>746</v>
      </c>
      <c r="B89">
        <v>99138</v>
      </c>
      <c r="C89">
        <v>4</v>
      </c>
      <c r="D89" t="s">
        <v>747</v>
      </c>
      <c r="E89">
        <v>102</v>
      </c>
      <c r="F89" t="s">
        <v>52</v>
      </c>
      <c r="G89" t="s">
        <v>300</v>
      </c>
      <c r="H89">
        <v>102</v>
      </c>
      <c r="I89" t="s">
        <v>58</v>
      </c>
      <c r="K89">
        <v>90</v>
      </c>
    </row>
    <row r="90" spans="1:11" x14ac:dyDescent="0.3">
      <c r="A90" t="s">
        <v>776</v>
      </c>
      <c r="B90">
        <v>99138</v>
      </c>
      <c r="C90">
        <v>3</v>
      </c>
      <c r="D90" t="s">
        <v>892</v>
      </c>
      <c r="E90">
        <v>102</v>
      </c>
      <c r="F90" t="s">
        <v>52</v>
      </c>
      <c r="G90" t="s">
        <v>300</v>
      </c>
      <c r="H90">
        <v>102</v>
      </c>
      <c r="I90" t="s">
        <v>58</v>
      </c>
      <c r="K90">
        <v>40</v>
      </c>
    </row>
    <row r="91" spans="1:11" x14ac:dyDescent="0.3">
      <c r="A91" t="s">
        <v>605</v>
      </c>
      <c r="B91">
        <v>73519</v>
      </c>
      <c r="C91">
        <v>0</v>
      </c>
      <c r="D91" t="s">
        <v>606</v>
      </c>
      <c r="E91">
        <v>102</v>
      </c>
      <c r="F91" t="s">
        <v>52</v>
      </c>
      <c r="G91" t="s">
        <v>300</v>
      </c>
      <c r="H91">
        <v>102</v>
      </c>
      <c r="I91" t="s">
        <v>58</v>
      </c>
      <c r="K91">
        <v>110</v>
      </c>
    </row>
    <row r="92" spans="1:11" x14ac:dyDescent="0.3">
      <c r="A92" t="s">
        <v>778</v>
      </c>
      <c r="B92">
        <v>99138</v>
      </c>
      <c r="C92">
        <v>6</v>
      </c>
      <c r="D92" t="s">
        <v>891</v>
      </c>
      <c r="E92">
        <v>102</v>
      </c>
      <c r="F92" t="s">
        <v>52</v>
      </c>
      <c r="G92" t="s">
        <v>300</v>
      </c>
      <c r="H92">
        <v>102</v>
      </c>
      <c r="I92" t="s">
        <v>58</v>
      </c>
      <c r="K92">
        <v>75</v>
      </c>
    </row>
    <row r="93" spans="1:11" x14ac:dyDescent="0.3">
      <c r="A93" t="s">
        <v>786</v>
      </c>
      <c r="B93">
        <v>99138</v>
      </c>
      <c r="C93">
        <v>0</v>
      </c>
      <c r="D93" t="s">
        <v>890</v>
      </c>
      <c r="E93">
        <v>102</v>
      </c>
      <c r="F93" t="s">
        <v>52</v>
      </c>
      <c r="G93" t="s">
        <v>300</v>
      </c>
      <c r="H93">
        <v>102</v>
      </c>
      <c r="I93" t="s">
        <v>58</v>
      </c>
      <c r="K93">
        <v>85</v>
      </c>
    </row>
    <row r="94" spans="1:11" x14ac:dyDescent="0.3">
      <c r="A94" t="s">
        <v>599</v>
      </c>
      <c r="B94">
        <v>70013</v>
      </c>
      <c r="C94">
        <v>0</v>
      </c>
      <c r="D94" t="s">
        <v>600</v>
      </c>
      <c r="E94">
        <v>102</v>
      </c>
      <c r="F94" t="s">
        <v>52</v>
      </c>
      <c r="G94" t="s">
        <v>300</v>
      </c>
      <c r="H94">
        <v>102</v>
      </c>
      <c r="I94" t="s">
        <v>58</v>
      </c>
      <c r="K94">
        <v>115</v>
      </c>
    </row>
    <row r="95" spans="1:11" x14ac:dyDescent="0.3">
      <c r="A95" t="s">
        <v>597</v>
      </c>
      <c r="B95">
        <v>70011</v>
      </c>
      <c r="C95">
        <v>0</v>
      </c>
      <c r="D95" t="s">
        <v>598</v>
      </c>
      <c r="E95">
        <v>102</v>
      </c>
      <c r="F95" t="s">
        <v>52</v>
      </c>
      <c r="G95" t="s">
        <v>300</v>
      </c>
      <c r="H95">
        <v>102</v>
      </c>
      <c r="I95" t="s">
        <v>58</v>
      </c>
      <c r="K95">
        <v>100</v>
      </c>
    </row>
    <row r="96" spans="1:11" x14ac:dyDescent="0.3">
      <c r="A96" t="s">
        <v>823</v>
      </c>
      <c r="B96">
        <v>70010</v>
      </c>
      <c r="C96">
        <v>0</v>
      </c>
      <c r="D96" t="s">
        <v>758</v>
      </c>
      <c r="E96">
        <v>102</v>
      </c>
      <c r="F96" t="s">
        <v>52</v>
      </c>
      <c r="G96" t="s">
        <v>300</v>
      </c>
      <c r="H96">
        <v>102</v>
      </c>
      <c r="I96" t="s">
        <v>58</v>
      </c>
      <c r="K96">
        <v>125</v>
      </c>
    </row>
    <row r="97" spans="1:11" x14ac:dyDescent="0.3">
      <c r="A97" t="s">
        <v>779</v>
      </c>
      <c r="B97">
        <v>99138</v>
      </c>
      <c r="C97">
        <v>5</v>
      </c>
      <c r="D97" t="s">
        <v>894</v>
      </c>
      <c r="E97">
        <v>102</v>
      </c>
      <c r="F97" t="s">
        <v>52</v>
      </c>
      <c r="G97" t="s">
        <v>300</v>
      </c>
      <c r="H97">
        <v>102</v>
      </c>
      <c r="I97" t="s">
        <v>58</v>
      </c>
      <c r="K97">
        <v>140</v>
      </c>
    </row>
    <row r="98" spans="1:11" x14ac:dyDescent="0.3">
      <c r="A98" t="s">
        <v>780</v>
      </c>
      <c r="B98">
        <v>99161</v>
      </c>
      <c r="C98">
        <v>106</v>
      </c>
      <c r="D98" t="s">
        <v>895</v>
      </c>
      <c r="E98">
        <v>102</v>
      </c>
      <c r="F98" t="s">
        <v>52</v>
      </c>
      <c r="G98" t="s">
        <v>300</v>
      </c>
      <c r="H98">
        <v>102</v>
      </c>
      <c r="I98" t="s">
        <v>53</v>
      </c>
      <c r="K98">
        <v>15</v>
      </c>
    </row>
    <row r="99" spans="1:11" x14ac:dyDescent="0.3">
      <c r="A99" t="s">
        <v>784</v>
      </c>
      <c r="B99">
        <v>73575</v>
      </c>
      <c r="C99">
        <v>0</v>
      </c>
      <c r="D99" t="s">
        <v>901</v>
      </c>
      <c r="E99">
        <v>102</v>
      </c>
      <c r="F99" t="s">
        <v>52</v>
      </c>
      <c r="G99" t="s">
        <v>299</v>
      </c>
      <c r="H99">
        <v>102</v>
      </c>
      <c r="I99" t="s">
        <v>53</v>
      </c>
      <c r="K99">
        <v>155</v>
      </c>
    </row>
    <row r="100" spans="1:11" x14ac:dyDescent="0.3">
      <c r="A100" t="s">
        <v>783</v>
      </c>
      <c r="B100">
        <v>73561</v>
      </c>
      <c r="C100">
        <v>0</v>
      </c>
      <c r="D100" t="s">
        <v>902</v>
      </c>
      <c r="E100">
        <v>102</v>
      </c>
      <c r="F100" t="s">
        <v>52</v>
      </c>
      <c r="G100" t="s">
        <v>299</v>
      </c>
      <c r="H100">
        <v>102</v>
      </c>
      <c r="I100" t="s">
        <v>53</v>
      </c>
      <c r="K100">
        <v>180</v>
      </c>
    </row>
    <row r="101" spans="1:11" x14ac:dyDescent="0.3">
      <c r="A101" t="s">
        <v>781</v>
      </c>
      <c r="B101">
        <v>73490</v>
      </c>
      <c r="C101">
        <v>0</v>
      </c>
      <c r="D101" t="s">
        <v>896</v>
      </c>
      <c r="E101">
        <v>102</v>
      </c>
      <c r="F101" t="s">
        <v>52</v>
      </c>
      <c r="G101" t="s">
        <v>300</v>
      </c>
      <c r="H101">
        <v>102</v>
      </c>
      <c r="I101" t="s">
        <v>53</v>
      </c>
      <c r="K101">
        <v>185</v>
      </c>
    </row>
    <row r="102" spans="1:11" x14ac:dyDescent="0.3">
      <c r="A102" t="s">
        <v>712</v>
      </c>
      <c r="B102">
        <v>99031</v>
      </c>
      <c r="C102">
        <v>91</v>
      </c>
      <c r="D102" t="s">
        <v>713</v>
      </c>
      <c r="E102">
        <v>102</v>
      </c>
      <c r="F102" t="s">
        <v>52</v>
      </c>
      <c r="G102" t="s">
        <v>300</v>
      </c>
      <c r="H102">
        <v>102</v>
      </c>
      <c r="I102" t="s">
        <v>53</v>
      </c>
      <c r="K102">
        <v>10</v>
      </c>
    </row>
    <row r="103" spans="1:11" x14ac:dyDescent="0.3">
      <c r="A103" t="s">
        <v>775</v>
      </c>
      <c r="B103">
        <v>73404</v>
      </c>
      <c r="C103">
        <v>0</v>
      </c>
      <c r="D103" t="s">
        <v>882</v>
      </c>
      <c r="E103">
        <v>102</v>
      </c>
      <c r="F103" t="s">
        <v>52</v>
      </c>
      <c r="G103" t="s">
        <v>323</v>
      </c>
      <c r="H103">
        <v>102</v>
      </c>
      <c r="I103" t="s">
        <v>53</v>
      </c>
      <c r="K103">
        <v>170</v>
      </c>
    </row>
    <row r="104" spans="1:11" x14ac:dyDescent="0.3">
      <c r="A104" t="s">
        <v>690</v>
      </c>
      <c r="B104">
        <v>73565</v>
      </c>
      <c r="C104">
        <v>0</v>
      </c>
      <c r="D104" t="s">
        <v>691</v>
      </c>
      <c r="E104">
        <v>102</v>
      </c>
      <c r="F104" t="s">
        <v>52</v>
      </c>
      <c r="G104" t="s">
        <v>300</v>
      </c>
      <c r="H104">
        <v>102</v>
      </c>
      <c r="I104" t="s">
        <v>53</v>
      </c>
      <c r="K104">
        <v>150</v>
      </c>
    </row>
    <row r="105" spans="1:11" x14ac:dyDescent="0.3">
      <c r="A105" t="s">
        <v>792</v>
      </c>
      <c r="B105">
        <v>99120</v>
      </c>
      <c r="C105">
        <v>3</v>
      </c>
      <c r="D105" t="s">
        <v>888</v>
      </c>
      <c r="E105">
        <v>102</v>
      </c>
      <c r="F105" t="s">
        <v>52</v>
      </c>
      <c r="G105" t="s">
        <v>302</v>
      </c>
      <c r="H105">
        <v>102</v>
      </c>
      <c r="I105" t="s">
        <v>53</v>
      </c>
      <c r="K105">
        <v>165</v>
      </c>
    </row>
    <row r="106" spans="1:11" x14ac:dyDescent="0.3">
      <c r="A106" t="s">
        <v>791</v>
      </c>
      <c r="B106">
        <v>70883</v>
      </c>
      <c r="C106">
        <v>0</v>
      </c>
      <c r="D106" t="s">
        <v>887</v>
      </c>
      <c r="E106">
        <v>102</v>
      </c>
      <c r="F106" t="s">
        <v>52</v>
      </c>
      <c r="G106" t="s">
        <v>323</v>
      </c>
      <c r="H106">
        <v>102</v>
      </c>
      <c r="I106" t="s">
        <v>53</v>
      </c>
      <c r="K106">
        <v>160</v>
      </c>
    </row>
    <row r="107" spans="1:11" x14ac:dyDescent="0.3">
      <c r="A107" t="s">
        <v>790</v>
      </c>
      <c r="B107">
        <v>70876</v>
      </c>
      <c r="C107">
        <v>0</v>
      </c>
      <c r="D107" t="s">
        <v>886</v>
      </c>
      <c r="E107">
        <v>102</v>
      </c>
      <c r="F107" t="s">
        <v>52</v>
      </c>
      <c r="G107" t="s">
        <v>302</v>
      </c>
      <c r="H107">
        <v>102</v>
      </c>
      <c r="I107" t="s">
        <v>53</v>
      </c>
      <c r="K107">
        <v>5</v>
      </c>
    </row>
    <row r="108" spans="1:11" x14ac:dyDescent="0.3">
      <c r="A108" t="s">
        <v>730</v>
      </c>
      <c r="B108">
        <v>99031</v>
      </c>
      <c r="C108">
        <v>191</v>
      </c>
      <c r="D108" t="s">
        <v>731</v>
      </c>
      <c r="E108">
        <v>102</v>
      </c>
      <c r="F108" t="s">
        <v>52</v>
      </c>
      <c r="G108" t="s">
        <v>300</v>
      </c>
      <c r="H108">
        <v>102</v>
      </c>
      <c r="I108" t="s">
        <v>53</v>
      </c>
      <c r="K108">
        <v>30</v>
      </c>
    </row>
    <row r="109" spans="1:11" x14ac:dyDescent="0.3">
      <c r="A109" t="s">
        <v>789</v>
      </c>
      <c r="B109">
        <v>99178</v>
      </c>
      <c r="C109">
        <v>1</v>
      </c>
      <c r="D109" t="s">
        <v>885</v>
      </c>
      <c r="E109">
        <v>102</v>
      </c>
      <c r="F109" t="s">
        <v>52</v>
      </c>
      <c r="G109" t="s">
        <v>323</v>
      </c>
      <c r="H109">
        <v>102</v>
      </c>
      <c r="I109" t="s">
        <v>53</v>
      </c>
      <c r="K109">
        <v>25</v>
      </c>
    </row>
    <row r="110" spans="1:11" x14ac:dyDescent="0.3">
      <c r="A110" t="s">
        <v>732</v>
      </c>
      <c r="B110">
        <v>99061</v>
      </c>
      <c r="C110">
        <v>106</v>
      </c>
      <c r="D110" t="s">
        <v>733</v>
      </c>
      <c r="E110">
        <v>102</v>
      </c>
      <c r="F110" t="s">
        <v>52</v>
      </c>
      <c r="G110" t="s">
        <v>300</v>
      </c>
      <c r="H110">
        <v>102</v>
      </c>
      <c r="I110" t="s">
        <v>53</v>
      </c>
      <c r="K110">
        <v>20</v>
      </c>
    </row>
    <row r="111" spans="1:11" x14ac:dyDescent="0.3">
      <c r="A111" t="s">
        <v>788</v>
      </c>
      <c r="B111">
        <v>99047</v>
      </c>
      <c r="C111">
        <v>7</v>
      </c>
      <c r="D111" t="s">
        <v>889</v>
      </c>
      <c r="E111">
        <v>102</v>
      </c>
      <c r="F111" t="s">
        <v>52</v>
      </c>
      <c r="G111" t="s">
        <v>302</v>
      </c>
      <c r="H111">
        <v>102</v>
      </c>
      <c r="I111" t="s">
        <v>53</v>
      </c>
      <c r="K111">
        <v>190</v>
      </c>
    </row>
    <row r="112" spans="1:11" x14ac:dyDescent="0.3">
      <c r="A112" t="s">
        <v>793</v>
      </c>
      <c r="B112">
        <v>73260</v>
      </c>
      <c r="C112">
        <v>0</v>
      </c>
      <c r="D112" t="s">
        <v>899</v>
      </c>
      <c r="E112">
        <v>102</v>
      </c>
      <c r="F112" t="s">
        <v>52</v>
      </c>
      <c r="G112" t="s">
        <v>323</v>
      </c>
      <c r="H112">
        <v>102</v>
      </c>
      <c r="I112" t="s">
        <v>53</v>
      </c>
      <c r="K112">
        <v>175</v>
      </c>
    </row>
    <row r="113" spans="1:11" x14ac:dyDescent="0.3">
      <c r="A113" t="s">
        <v>897</v>
      </c>
      <c r="B113">
        <v>73591</v>
      </c>
      <c r="C113">
        <v>0</v>
      </c>
      <c r="D113" t="s">
        <v>898</v>
      </c>
      <c r="E113">
        <v>102</v>
      </c>
      <c r="F113" t="s">
        <v>52</v>
      </c>
      <c r="G113" t="s">
        <v>303</v>
      </c>
      <c r="H113">
        <v>102</v>
      </c>
      <c r="I113" t="s">
        <v>53</v>
      </c>
      <c r="K113">
        <v>35</v>
      </c>
    </row>
    <row r="114" spans="1:11" x14ac:dyDescent="0.3">
      <c r="A114" t="s">
        <v>814</v>
      </c>
      <c r="B114">
        <v>73474</v>
      </c>
      <c r="C114">
        <v>0</v>
      </c>
      <c r="D114" t="s">
        <v>1176</v>
      </c>
      <c r="E114">
        <v>102</v>
      </c>
      <c r="F114" t="s">
        <v>59</v>
      </c>
      <c r="G114" t="s">
        <v>300</v>
      </c>
      <c r="H114">
        <v>102</v>
      </c>
      <c r="I114" t="s">
        <v>58</v>
      </c>
      <c r="K114">
        <v>80</v>
      </c>
    </row>
    <row r="115" spans="1:11" x14ac:dyDescent="0.3">
      <c r="A115" t="s">
        <v>1199</v>
      </c>
      <c r="B115">
        <v>73596</v>
      </c>
      <c r="C115">
        <v>0</v>
      </c>
      <c r="D115" t="s">
        <v>1200</v>
      </c>
      <c r="E115">
        <v>102</v>
      </c>
      <c r="F115" t="s">
        <v>59</v>
      </c>
      <c r="G115" t="s">
        <v>303</v>
      </c>
      <c r="H115">
        <v>102</v>
      </c>
      <c r="I115" t="s">
        <v>58</v>
      </c>
      <c r="K115">
        <v>50</v>
      </c>
    </row>
    <row r="116" spans="1:11" x14ac:dyDescent="0.3">
      <c r="A116" t="s">
        <v>819</v>
      </c>
      <c r="B116">
        <v>73502</v>
      </c>
      <c r="C116">
        <v>0</v>
      </c>
      <c r="D116" t="s">
        <v>1204</v>
      </c>
      <c r="E116">
        <v>102</v>
      </c>
      <c r="F116" t="s">
        <v>59</v>
      </c>
      <c r="G116" t="s">
        <v>300</v>
      </c>
      <c r="H116">
        <v>102</v>
      </c>
      <c r="I116" t="s">
        <v>58</v>
      </c>
      <c r="K116">
        <v>35</v>
      </c>
    </row>
    <row r="117" spans="1:11" x14ac:dyDescent="0.3">
      <c r="A117" t="s">
        <v>824</v>
      </c>
      <c r="B117">
        <v>70900</v>
      </c>
      <c r="C117">
        <v>4</v>
      </c>
      <c r="D117" t="s">
        <v>1262</v>
      </c>
      <c r="E117">
        <v>102</v>
      </c>
      <c r="F117" t="s">
        <v>59</v>
      </c>
      <c r="G117" t="s">
        <v>300</v>
      </c>
      <c r="H117">
        <v>102</v>
      </c>
      <c r="I117" t="s">
        <v>58</v>
      </c>
      <c r="K117">
        <v>100</v>
      </c>
    </row>
    <row r="118" spans="1:11" x14ac:dyDescent="0.3">
      <c r="A118" t="s">
        <v>834</v>
      </c>
      <c r="B118">
        <v>70900</v>
      </c>
      <c r="C118">
        <v>1</v>
      </c>
      <c r="D118" t="s">
        <v>1298</v>
      </c>
      <c r="E118">
        <v>102</v>
      </c>
      <c r="F118" t="s">
        <v>59</v>
      </c>
      <c r="G118" t="s">
        <v>300</v>
      </c>
      <c r="H118">
        <v>102</v>
      </c>
      <c r="I118" t="s">
        <v>58</v>
      </c>
      <c r="K118">
        <v>45</v>
      </c>
    </row>
    <row r="119" spans="1:11" x14ac:dyDescent="0.3">
      <c r="A119" t="s">
        <v>835</v>
      </c>
      <c r="B119">
        <v>70897</v>
      </c>
      <c r="C119">
        <v>2</v>
      </c>
      <c r="D119" t="s">
        <v>1314</v>
      </c>
      <c r="E119">
        <v>102</v>
      </c>
      <c r="F119" t="s">
        <v>59</v>
      </c>
      <c r="G119" t="s">
        <v>300</v>
      </c>
      <c r="H119">
        <v>102</v>
      </c>
      <c r="I119" t="s">
        <v>58</v>
      </c>
      <c r="K119">
        <v>70</v>
      </c>
    </row>
    <row r="120" spans="1:11" x14ac:dyDescent="0.3">
      <c r="A120" t="s">
        <v>812</v>
      </c>
      <c r="B120">
        <v>70900</v>
      </c>
      <c r="C120">
        <v>2</v>
      </c>
      <c r="D120" t="s">
        <v>1168</v>
      </c>
      <c r="E120">
        <v>102</v>
      </c>
      <c r="F120" t="s">
        <v>59</v>
      </c>
      <c r="G120" t="s">
        <v>300</v>
      </c>
      <c r="H120">
        <v>102</v>
      </c>
      <c r="I120" t="s">
        <v>58</v>
      </c>
      <c r="K120">
        <v>95</v>
      </c>
    </row>
    <row r="121" spans="1:11" x14ac:dyDescent="0.3">
      <c r="A121" t="s">
        <v>825</v>
      </c>
      <c r="B121">
        <v>73474</v>
      </c>
      <c r="C121">
        <v>1</v>
      </c>
      <c r="D121" t="s">
        <v>1264</v>
      </c>
      <c r="E121">
        <v>102</v>
      </c>
      <c r="F121" t="s">
        <v>59</v>
      </c>
      <c r="G121" t="s">
        <v>300</v>
      </c>
      <c r="H121">
        <v>102</v>
      </c>
      <c r="I121" t="s">
        <v>58</v>
      </c>
      <c r="K121">
        <v>85</v>
      </c>
    </row>
    <row r="122" spans="1:11" x14ac:dyDescent="0.3">
      <c r="A122" t="s">
        <v>811</v>
      </c>
      <c r="B122">
        <v>73415</v>
      </c>
      <c r="C122">
        <v>0</v>
      </c>
      <c r="D122" t="s">
        <v>1165</v>
      </c>
      <c r="E122">
        <v>102</v>
      </c>
      <c r="F122" t="s">
        <v>59</v>
      </c>
      <c r="G122" t="s">
        <v>300</v>
      </c>
      <c r="H122">
        <v>102</v>
      </c>
      <c r="I122" t="s">
        <v>58</v>
      </c>
      <c r="K122">
        <v>30</v>
      </c>
    </row>
    <row r="123" spans="1:11" x14ac:dyDescent="0.3">
      <c r="A123" t="s">
        <v>818</v>
      </c>
      <c r="B123">
        <v>70897</v>
      </c>
      <c r="C123">
        <v>1</v>
      </c>
      <c r="D123" t="s">
        <v>1197</v>
      </c>
      <c r="E123">
        <v>102</v>
      </c>
      <c r="F123" t="s">
        <v>59</v>
      </c>
      <c r="G123" t="s">
        <v>300</v>
      </c>
      <c r="H123">
        <v>102</v>
      </c>
      <c r="I123" t="s">
        <v>58</v>
      </c>
      <c r="K123">
        <v>55</v>
      </c>
    </row>
    <row r="124" spans="1:11" x14ac:dyDescent="0.3">
      <c r="A124" t="s">
        <v>830</v>
      </c>
      <c r="B124">
        <v>70900</v>
      </c>
      <c r="C124">
        <v>0</v>
      </c>
      <c r="D124" t="s">
        <v>1290</v>
      </c>
      <c r="E124">
        <v>102</v>
      </c>
      <c r="F124" t="s">
        <v>59</v>
      </c>
      <c r="G124" t="s">
        <v>300</v>
      </c>
      <c r="H124">
        <v>102</v>
      </c>
      <c r="I124" t="s">
        <v>58</v>
      </c>
      <c r="K124">
        <v>25</v>
      </c>
    </row>
    <row r="125" spans="1:11" x14ac:dyDescent="0.3">
      <c r="A125" t="s">
        <v>831</v>
      </c>
      <c r="B125">
        <v>70901</v>
      </c>
      <c r="C125">
        <v>0</v>
      </c>
      <c r="D125" t="s">
        <v>1292</v>
      </c>
      <c r="E125">
        <v>102</v>
      </c>
      <c r="F125" t="s">
        <v>59</v>
      </c>
      <c r="G125" t="s">
        <v>300</v>
      </c>
      <c r="H125">
        <v>102</v>
      </c>
      <c r="I125" t="s">
        <v>58</v>
      </c>
      <c r="K125">
        <v>75</v>
      </c>
    </row>
    <row r="126" spans="1:11" x14ac:dyDescent="0.3">
      <c r="A126" t="s">
        <v>826</v>
      </c>
      <c r="B126">
        <v>70901</v>
      </c>
      <c r="C126">
        <v>1</v>
      </c>
      <c r="D126" t="s">
        <v>1266</v>
      </c>
      <c r="E126">
        <v>102</v>
      </c>
      <c r="F126" t="s">
        <v>59</v>
      </c>
      <c r="G126" t="s">
        <v>300</v>
      </c>
      <c r="H126">
        <v>102</v>
      </c>
      <c r="I126" t="s">
        <v>58</v>
      </c>
      <c r="K126">
        <v>90</v>
      </c>
    </row>
    <row r="127" spans="1:11" x14ac:dyDescent="0.3">
      <c r="A127" t="s">
        <v>833</v>
      </c>
      <c r="B127">
        <v>70900</v>
      </c>
      <c r="C127">
        <v>3</v>
      </c>
      <c r="D127" t="s">
        <v>1296</v>
      </c>
      <c r="E127">
        <v>102</v>
      </c>
      <c r="F127" t="s">
        <v>59</v>
      </c>
      <c r="G127" t="s">
        <v>300</v>
      </c>
      <c r="H127">
        <v>102</v>
      </c>
      <c r="I127" t="s">
        <v>58</v>
      </c>
      <c r="K127">
        <v>115</v>
      </c>
    </row>
    <row r="128" spans="1:11" x14ac:dyDescent="0.3">
      <c r="A128" t="s">
        <v>829</v>
      </c>
      <c r="B128">
        <v>70897</v>
      </c>
      <c r="C128">
        <v>0</v>
      </c>
      <c r="D128" t="s">
        <v>1286</v>
      </c>
      <c r="E128">
        <v>102</v>
      </c>
      <c r="F128" t="s">
        <v>59</v>
      </c>
      <c r="G128" t="s">
        <v>300</v>
      </c>
      <c r="H128">
        <v>102</v>
      </c>
      <c r="I128" t="s">
        <v>58</v>
      </c>
      <c r="K128">
        <v>65</v>
      </c>
    </row>
    <row r="129" spans="1:11" x14ac:dyDescent="0.3">
      <c r="A129" t="s">
        <v>832</v>
      </c>
      <c r="B129">
        <v>70904</v>
      </c>
      <c r="C129">
        <v>0</v>
      </c>
      <c r="D129" t="s">
        <v>1294</v>
      </c>
      <c r="E129">
        <v>102</v>
      </c>
      <c r="F129" t="s">
        <v>59</v>
      </c>
      <c r="G129" t="s">
        <v>300</v>
      </c>
      <c r="H129">
        <v>102</v>
      </c>
      <c r="I129" t="s">
        <v>58</v>
      </c>
      <c r="K129">
        <v>60</v>
      </c>
    </row>
    <row r="130" spans="1:11" x14ac:dyDescent="0.3">
      <c r="A130" t="s">
        <v>815</v>
      </c>
      <c r="B130">
        <v>73415</v>
      </c>
      <c r="C130">
        <v>4</v>
      </c>
      <c r="D130" t="s">
        <v>1180</v>
      </c>
      <c r="E130">
        <v>102</v>
      </c>
      <c r="F130" t="s">
        <v>59</v>
      </c>
      <c r="G130" t="s">
        <v>300</v>
      </c>
      <c r="H130">
        <v>102</v>
      </c>
      <c r="I130" t="s">
        <v>58</v>
      </c>
      <c r="K130">
        <v>105</v>
      </c>
    </row>
    <row r="131" spans="1:11" x14ac:dyDescent="0.3">
      <c r="A131" t="s">
        <v>822</v>
      </c>
      <c r="B131">
        <v>73584</v>
      </c>
      <c r="C131">
        <v>0</v>
      </c>
      <c r="D131" t="s">
        <v>1249</v>
      </c>
      <c r="E131">
        <v>102</v>
      </c>
      <c r="F131" t="s">
        <v>59</v>
      </c>
      <c r="G131" t="s">
        <v>300</v>
      </c>
      <c r="H131">
        <v>102</v>
      </c>
      <c r="I131" t="s">
        <v>58</v>
      </c>
      <c r="K131">
        <v>40</v>
      </c>
    </row>
    <row r="132" spans="1:11" x14ac:dyDescent="0.3">
      <c r="A132" t="s">
        <v>785</v>
      </c>
      <c r="B132">
        <v>70613</v>
      </c>
      <c r="C132">
        <v>3</v>
      </c>
      <c r="D132" t="s">
        <v>904</v>
      </c>
      <c r="E132">
        <v>102</v>
      </c>
      <c r="F132" t="s">
        <v>59</v>
      </c>
      <c r="G132" t="s">
        <v>297</v>
      </c>
      <c r="H132">
        <v>102</v>
      </c>
      <c r="I132" t="s">
        <v>53</v>
      </c>
      <c r="K132">
        <v>190</v>
      </c>
    </row>
    <row r="133" spans="1:11" x14ac:dyDescent="0.3">
      <c r="A133" t="s">
        <v>851</v>
      </c>
      <c r="B133">
        <v>73047</v>
      </c>
      <c r="C133">
        <v>0</v>
      </c>
      <c r="D133" t="s">
        <v>852</v>
      </c>
      <c r="E133">
        <v>102</v>
      </c>
      <c r="F133" t="s">
        <v>59</v>
      </c>
      <c r="G133" t="s">
        <v>300</v>
      </c>
      <c r="H133">
        <v>102</v>
      </c>
      <c r="I133" t="s">
        <v>53</v>
      </c>
      <c r="K133">
        <v>5</v>
      </c>
    </row>
    <row r="134" spans="1:11" x14ac:dyDescent="0.3">
      <c r="A134" t="s">
        <v>694</v>
      </c>
      <c r="B134">
        <v>73577</v>
      </c>
      <c r="C134">
        <v>0</v>
      </c>
      <c r="D134" t="s">
        <v>695</v>
      </c>
      <c r="E134">
        <v>102</v>
      </c>
      <c r="F134" t="s">
        <v>59</v>
      </c>
      <c r="G134" t="s">
        <v>300</v>
      </c>
      <c r="H134">
        <v>102</v>
      </c>
      <c r="I134" t="s">
        <v>53</v>
      </c>
      <c r="K134">
        <v>180</v>
      </c>
    </row>
    <row r="135" spans="1:11" x14ac:dyDescent="0.3">
      <c r="A135" t="s">
        <v>857</v>
      </c>
      <c r="B135">
        <v>73588</v>
      </c>
      <c r="C135">
        <v>0</v>
      </c>
      <c r="D135" t="s">
        <v>858</v>
      </c>
      <c r="E135">
        <v>102</v>
      </c>
      <c r="F135" t="s">
        <v>60</v>
      </c>
      <c r="G135" t="s">
        <v>300</v>
      </c>
      <c r="H135">
        <v>102</v>
      </c>
      <c r="I135" t="s">
        <v>52</v>
      </c>
      <c r="K135">
        <v>35</v>
      </c>
    </row>
    <row r="136" spans="1:11" x14ac:dyDescent="0.3">
      <c r="A136" t="s">
        <v>853</v>
      </c>
      <c r="B136">
        <v>99152</v>
      </c>
      <c r="C136">
        <v>1</v>
      </c>
      <c r="D136" t="s">
        <v>854</v>
      </c>
      <c r="E136">
        <v>102</v>
      </c>
      <c r="F136" t="s">
        <v>60</v>
      </c>
      <c r="G136" t="s">
        <v>300</v>
      </c>
      <c r="H136">
        <v>102</v>
      </c>
      <c r="I136" t="s">
        <v>52</v>
      </c>
      <c r="K136">
        <v>30</v>
      </c>
    </row>
    <row r="137" spans="1:11" x14ac:dyDescent="0.3">
      <c r="A137" t="s">
        <v>672</v>
      </c>
      <c r="B137">
        <v>73516</v>
      </c>
      <c r="C137">
        <v>0</v>
      </c>
      <c r="D137" t="s">
        <v>673</v>
      </c>
      <c r="E137">
        <v>102</v>
      </c>
      <c r="F137" t="s">
        <v>60</v>
      </c>
      <c r="G137" t="s">
        <v>300</v>
      </c>
      <c r="H137">
        <v>102</v>
      </c>
      <c r="I137" t="s">
        <v>52</v>
      </c>
      <c r="K137">
        <v>45</v>
      </c>
    </row>
    <row r="138" spans="1:11" x14ac:dyDescent="0.3">
      <c r="A138" t="s">
        <v>909</v>
      </c>
      <c r="B138">
        <v>73524</v>
      </c>
      <c r="C138">
        <v>0</v>
      </c>
      <c r="D138" t="s">
        <v>910</v>
      </c>
      <c r="E138">
        <v>102</v>
      </c>
      <c r="F138" t="s">
        <v>60</v>
      </c>
      <c r="G138" t="s">
        <v>303</v>
      </c>
      <c r="H138">
        <v>102</v>
      </c>
      <c r="I138" t="s">
        <v>52</v>
      </c>
      <c r="K138">
        <v>10</v>
      </c>
    </row>
    <row r="139" spans="1:11" x14ac:dyDescent="0.3">
      <c r="A139" t="s">
        <v>801</v>
      </c>
      <c r="B139">
        <v>70324</v>
      </c>
      <c r="C139">
        <v>0</v>
      </c>
      <c r="D139" t="s">
        <v>913</v>
      </c>
      <c r="E139">
        <v>102</v>
      </c>
      <c r="F139" t="s">
        <v>60</v>
      </c>
      <c r="G139" t="s">
        <v>299</v>
      </c>
      <c r="H139">
        <v>102</v>
      </c>
      <c r="I139" t="s">
        <v>52</v>
      </c>
      <c r="K139">
        <v>40</v>
      </c>
    </row>
    <row r="140" spans="1:11" x14ac:dyDescent="0.3">
      <c r="A140" t="s">
        <v>911</v>
      </c>
      <c r="B140">
        <v>70021</v>
      </c>
      <c r="C140">
        <v>0</v>
      </c>
      <c r="D140" t="s">
        <v>912</v>
      </c>
      <c r="E140">
        <v>102</v>
      </c>
      <c r="F140" t="s">
        <v>60</v>
      </c>
      <c r="G140" t="s">
        <v>303</v>
      </c>
      <c r="H140">
        <v>102</v>
      </c>
      <c r="I140" t="s">
        <v>52</v>
      </c>
      <c r="K140">
        <v>70</v>
      </c>
    </row>
    <row r="141" spans="1:11" x14ac:dyDescent="0.3">
      <c r="A141" t="s">
        <v>640</v>
      </c>
      <c r="B141">
        <v>71128</v>
      </c>
      <c r="C141">
        <v>0</v>
      </c>
      <c r="D141" t="s">
        <v>642</v>
      </c>
      <c r="E141">
        <v>102</v>
      </c>
      <c r="F141" t="s">
        <v>60</v>
      </c>
      <c r="G141" t="s">
        <v>300</v>
      </c>
      <c r="H141">
        <v>102</v>
      </c>
      <c r="I141" t="s">
        <v>52</v>
      </c>
      <c r="K141">
        <v>15</v>
      </c>
    </row>
    <row r="142" spans="1:11" x14ac:dyDescent="0.3">
      <c r="A142" t="s">
        <v>906</v>
      </c>
      <c r="B142">
        <v>73404</v>
      </c>
      <c r="C142">
        <v>1</v>
      </c>
      <c r="D142" t="s">
        <v>907</v>
      </c>
      <c r="E142">
        <v>102</v>
      </c>
      <c r="F142" t="s">
        <v>60</v>
      </c>
      <c r="G142" t="s">
        <v>303</v>
      </c>
      <c r="H142">
        <v>102</v>
      </c>
      <c r="I142" t="s">
        <v>52</v>
      </c>
      <c r="K142">
        <v>25</v>
      </c>
    </row>
    <row r="143" spans="1:11" x14ac:dyDescent="0.3">
      <c r="A143" t="s">
        <v>724</v>
      </c>
      <c r="B143">
        <v>99031</v>
      </c>
      <c r="C143">
        <v>180</v>
      </c>
      <c r="D143" t="s">
        <v>725</v>
      </c>
      <c r="E143">
        <v>102</v>
      </c>
      <c r="F143" t="s">
        <v>60</v>
      </c>
      <c r="G143" t="s">
        <v>300</v>
      </c>
      <c r="H143">
        <v>102</v>
      </c>
      <c r="I143" t="s">
        <v>52</v>
      </c>
      <c r="K143">
        <v>50</v>
      </c>
    </row>
    <row r="144" spans="1:11" x14ac:dyDescent="0.3">
      <c r="A144" t="s">
        <v>808</v>
      </c>
      <c r="B144">
        <v>99212</v>
      </c>
      <c r="C144">
        <v>3</v>
      </c>
      <c r="D144" t="s">
        <v>908</v>
      </c>
      <c r="E144">
        <v>102</v>
      </c>
      <c r="F144" t="s">
        <v>60</v>
      </c>
      <c r="G144" t="s">
        <v>323</v>
      </c>
      <c r="H144">
        <v>102</v>
      </c>
      <c r="I144" t="s">
        <v>52</v>
      </c>
      <c r="K144">
        <v>55</v>
      </c>
    </row>
    <row r="145" spans="1:11" x14ac:dyDescent="0.3">
      <c r="A145" t="s">
        <v>670</v>
      </c>
      <c r="B145">
        <v>73508</v>
      </c>
      <c r="C145">
        <v>0</v>
      </c>
      <c r="D145" t="s">
        <v>671</v>
      </c>
      <c r="E145">
        <v>102</v>
      </c>
      <c r="F145" t="s">
        <v>60</v>
      </c>
      <c r="G145" t="s">
        <v>300</v>
      </c>
      <c r="H145">
        <v>102</v>
      </c>
      <c r="I145" t="s">
        <v>52</v>
      </c>
      <c r="K145">
        <v>5</v>
      </c>
    </row>
    <row r="146" spans="1:11" x14ac:dyDescent="0.3">
      <c r="A146" t="s">
        <v>738</v>
      </c>
      <c r="B146">
        <v>99062</v>
      </c>
      <c r="C146">
        <v>96</v>
      </c>
      <c r="D146" t="s">
        <v>739</v>
      </c>
      <c r="E146">
        <v>102</v>
      </c>
      <c r="F146" t="s">
        <v>60</v>
      </c>
      <c r="G146" t="s">
        <v>300</v>
      </c>
      <c r="H146">
        <v>102</v>
      </c>
      <c r="I146" t="s">
        <v>52</v>
      </c>
      <c r="K146">
        <v>60</v>
      </c>
    </row>
    <row r="147" spans="1:11" x14ac:dyDescent="0.3">
      <c r="A147" t="s">
        <v>803</v>
      </c>
      <c r="B147">
        <v>71136</v>
      </c>
      <c r="C147">
        <v>0</v>
      </c>
      <c r="D147" t="s">
        <v>916</v>
      </c>
      <c r="E147">
        <v>102</v>
      </c>
      <c r="F147" t="s">
        <v>60</v>
      </c>
      <c r="G147" t="s">
        <v>302</v>
      </c>
      <c r="H147">
        <v>102</v>
      </c>
      <c r="I147" t="s">
        <v>52</v>
      </c>
      <c r="K147">
        <v>75</v>
      </c>
    </row>
    <row r="148" spans="1:11" x14ac:dyDescent="0.3">
      <c r="A148" t="s">
        <v>855</v>
      </c>
      <c r="B148">
        <v>99161</v>
      </c>
      <c r="C148">
        <v>96</v>
      </c>
      <c r="D148" t="s">
        <v>856</v>
      </c>
      <c r="E148">
        <v>102</v>
      </c>
      <c r="F148" t="s">
        <v>60</v>
      </c>
      <c r="G148" t="s">
        <v>300</v>
      </c>
      <c r="H148">
        <v>102</v>
      </c>
      <c r="I148" t="s">
        <v>52</v>
      </c>
      <c r="K148">
        <v>65</v>
      </c>
    </row>
    <row r="149" spans="1:11" x14ac:dyDescent="0.3">
      <c r="A149" t="s">
        <v>722</v>
      </c>
      <c r="B149">
        <v>99031</v>
      </c>
      <c r="C149">
        <v>172</v>
      </c>
      <c r="D149" t="s">
        <v>723</v>
      </c>
      <c r="E149">
        <v>102</v>
      </c>
      <c r="F149" t="s">
        <v>60</v>
      </c>
      <c r="G149" t="s">
        <v>300</v>
      </c>
      <c r="H149">
        <v>102</v>
      </c>
      <c r="I149" t="s">
        <v>52</v>
      </c>
      <c r="K149">
        <v>20</v>
      </c>
    </row>
    <row r="150" spans="1:11" x14ac:dyDescent="0.3">
      <c r="A150" t="s">
        <v>914</v>
      </c>
      <c r="B150">
        <v>73404</v>
      </c>
      <c r="C150">
        <v>3</v>
      </c>
      <c r="D150" t="s">
        <v>915</v>
      </c>
      <c r="E150">
        <v>102</v>
      </c>
      <c r="F150" t="s">
        <v>60</v>
      </c>
      <c r="G150" t="s">
        <v>303</v>
      </c>
      <c r="H150">
        <v>102</v>
      </c>
      <c r="I150" t="s">
        <v>52</v>
      </c>
      <c r="K150">
        <v>90</v>
      </c>
    </row>
    <row r="151" spans="1:11" x14ac:dyDescent="0.3">
      <c r="A151" t="s">
        <v>643</v>
      </c>
      <c r="B151">
        <v>71132</v>
      </c>
      <c r="C151">
        <v>0</v>
      </c>
      <c r="D151" t="s">
        <v>644</v>
      </c>
      <c r="E151">
        <v>102</v>
      </c>
      <c r="F151" t="s">
        <v>60</v>
      </c>
      <c r="G151" t="s">
        <v>300</v>
      </c>
      <c r="H151">
        <v>102</v>
      </c>
      <c r="I151" t="s">
        <v>52</v>
      </c>
      <c r="K151">
        <v>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3E72-E6AB-4378-8B22-8FC01F80127E}">
  <sheetPr codeName="Sheet17"/>
  <dimension ref="A1:L116"/>
  <sheetViews>
    <sheetView view="pageBreakPreview" zoomScale="60" zoomScaleNormal="100" workbookViewId="0">
      <selection activeCell="N34" sqref="N34"/>
    </sheetView>
  </sheetViews>
  <sheetFormatPr defaultRowHeight="14.4" x14ac:dyDescent="0.3"/>
  <cols>
    <col min="1" max="1" width="10" style="9" bestFit="1" customWidth="1"/>
    <col min="2" max="2" width="12.44140625" style="5" bestFit="1" customWidth="1"/>
    <col min="3" max="3" width="13.5546875" style="5" bestFit="1" customWidth="1"/>
    <col min="4" max="4" width="31.6640625" bestFit="1" customWidth="1"/>
    <col min="5" max="5" width="13.77734375" style="7" bestFit="1" customWidth="1"/>
    <col min="6" max="6" width="19.33203125" style="7" bestFit="1" customWidth="1"/>
    <col min="7" max="7" width="14.21875" style="7" bestFit="1" customWidth="1"/>
    <col min="8" max="8" width="14.6640625" style="7" bestFit="1" customWidth="1"/>
    <col min="9" max="9" width="20.21875" style="7" bestFit="1" customWidth="1"/>
    <col min="10" max="10" width="18.5546875" style="7" hidden="1" customWidth="1"/>
    <col min="11" max="11" width="10.44140625" style="7" hidden="1" customWidth="1"/>
    <col min="12" max="12" width="19.5546875" style="7" hidden="1" customWidth="1"/>
    <col min="13" max="13" width="11.44140625" bestFit="1" customWidth="1"/>
    <col min="14" max="14" width="20.21875" bestFit="1" customWidth="1"/>
    <col min="15" max="15" width="18.5546875" bestFit="1" customWidth="1"/>
    <col min="16" max="16" width="17.33203125" bestFit="1" customWidth="1"/>
    <col min="17" max="17" width="19.5546875" bestFit="1" customWidth="1"/>
    <col min="18" max="18" width="20.21875" bestFit="1" customWidth="1"/>
    <col min="19" max="19" width="20.44140625" bestFit="1" customWidth="1"/>
    <col min="20" max="20" width="28.21875" bestFit="1" customWidth="1"/>
    <col min="21" max="21" width="22.44140625" bestFit="1" customWidth="1"/>
    <col min="22" max="22" width="23.6640625" bestFit="1" customWidth="1"/>
    <col min="23" max="23" width="22.88671875" bestFit="1" customWidth="1"/>
    <col min="24" max="24" width="17.33203125" bestFit="1" customWidth="1"/>
  </cols>
  <sheetData>
    <row r="1" spans="1:12" x14ac:dyDescent="0.3">
      <c r="A1" s="4" t="s">
        <v>270</v>
      </c>
      <c r="B1" s="4" t="s">
        <v>272</v>
      </c>
      <c r="C1" s="4" t="s">
        <v>273</v>
      </c>
      <c r="D1" s="4" t="s">
        <v>10</v>
      </c>
      <c r="E1" s="4" t="s">
        <v>276</v>
      </c>
      <c r="F1" s="4" t="s">
        <v>8</v>
      </c>
      <c r="G1" s="4" t="s">
        <v>13</v>
      </c>
      <c r="H1" s="4" t="s">
        <v>275</v>
      </c>
      <c r="I1" s="4" t="s">
        <v>5</v>
      </c>
      <c r="J1" s="4" t="s">
        <v>65</v>
      </c>
      <c r="K1" t="s">
        <v>9</v>
      </c>
      <c r="L1" s="4" t="s">
        <v>74</v>
      </c>
    </row>
    <row r="2" spans="1:12" x14ac:dyDescent="0.3">
      <c r="A2" s="9" t="s">
        <v>761</v>
      </c>
      <c r="B2" s="9">
        <v>73366</v>
      </c>
      <c r="C2" s="9">
        <v>0</v>
      </c>
      <c r="D2" t="s">
        <v>1157</v>
      </c>
      <c r="E2" s="7">
        <v>102</v>
      </c>
      <c r="F2" s="2" t="s">
        <v>58</v>
      </c>
      <c r="G2" s="2" t="s">
        <v>300</v>
      </c>
      <c r="H2" s="7">
        <v>102</v>
      </c>
      <c r="I2" s="2" t="s">
        <v>53</v>
      </c>
      <c r="J2" s="2"/>
      <c r="K2">
        <v>145</v>
      </c>
    </row>
    <row r="3" spans="1:12" x14ac:dyDescent="0.3">
      <c r="A3" s="9" t="s">
        <v>611</v>
      </c>
      <c r="B3" s="9">
        <v>99031</v>
      </c>
      <c r="C3" s="9">
        <v>189</v>
      </c>
      <c r="D3" t="s">
        <v>612</v>
      </c>
      <c r="E3" s="7">
        <v>102</v>
      </c>
      <c r="F3" s="2" t="s">
        <v>58</v>
      </c>
      <c r="G3" s="2" t="s">
        <v>300</v>
      </c>
      <c r="H3" s="7">
        <v>102</v>
      </c>
      <c r="I3" s="2" t="s">
        <v>53</v>
      </c>
      <c r="J3" s="2"/>
      <c r="K3">
        <v>180</v>
      </c>
    </row>
    <row r="4" spans="1:12" x14ac:dyDescent="0.3">
      <c r="A4" s="9" t="s">
        <v>769</v>
      </c>
      <c r="B4" s="9">
        <v>70852</v>
      </c>
      <c r="C4" s="9">
        <v>0</v>
      </c>
      <c r="D4" t="s">
        <v>1276</v>
      </c>
      <c r="E4" s="7">
        <v>102</v>
      </c>
      <c r="F4" s="2" t="s">
        <v>58</v>
      </c>
      <c r="G4" s="2" t="s">
        <v>300</v>
      </c>
      <c r="H4" s="7">
        <v>102</v>
      </c>
      <c r="I4" s="2" t="s">
        <v>53</v>
      </c>
      <c r="J4" s="2"/>
      <c r="K4">
        <v>170</v>
      </c>
    </row>
    <row r="5" spans="1:12" x14ac:dyDescent="0.3">
      <c r="A5" s="9" t="s">
        <v>696</v>
      </c>
      <c r="B5" s="9">
        <v>73578</v>
      </c>
      <c r="C5" s="9">
        <v>0</v>
      </c>
      <c r="D5" t="s">
        <v>697</v>
      </c>
      <c r="E5" s="7">
        <v>102</v>
      </c>
      <c r="F5" s="2" t="s">
        <v>58</v>
      </c>
      <c r="G5" s="2" t="s">
        <v>300</v>
      </c>
      <c r="H5" s="7">
        <v>102</v>
      </c>
      <c r="I5" s="2" t="s">
        <v>53</v>
      </c>
      <c r="J5" s="2"/>
      <c r="K5">
        <v>150</v>
      </c>
    </row>
    <row r="6" spans="1:12" x14ac:dyDescent="0.3">
      <c r="A6" s="9" t="s">
        <v>702</v>
      </c>
      <c r="B6" s="9">
        <v>73595</v>
      </c>
      <c r="C6" s="9">
        <v>0</v>
      </c>
      <c r="D6" t="s">
        <v>703</v>
      </c>
      <c r="E6" s="7">
        <v>102</v>
      </c>
      <c r="F6" s="2" t="s">
        <v>58</v>
      </c>
      <c r="G6" s="2" t="s">
        <v>300</v>
      </c>
      <c r="H6" s="7">
        <v>102</v>
      </c>
      <c r="I6" s="2" t="s">
        <v>53</v>
      </c>
      <c r="J6" s="2"/>
      <c r="K6">
        <v>140</v>
      </c>
    </row>
    <row r="7" spans="1:12" x14ac:dyDescent="0.3">
      <c r="A7" s="9" t="s">
        <v>728</v>
      </c>
      <c r="B7" s="9">
        <v>99031</v>
      </c>
      <c r="C7" s="9">
        <v>190</v>
      </c>
      <c r="D7" t="s">
        <v>729</v>
      </c>
      <c r="E7" s="7">
        <v>102</v>
      </c>
      <c r="F7" s="2" t="s">
        <v>58</v>
      </c>
      <c r="G7" s="2" t="s">
        <v>300</v>
      </c>
      <c r="H7" s="7">
        <v>102</v>
      </c>
      <c r="I7" s="2" t="s">
        <v>53</v>
      </c>
      <c r="J7" s="2"/>
      <c r="K7">
        <v>130</v>
      </c>
    </row>
    <row r="8" spans="1:12" x14ac:dyDescent="0.3">
      <c r="A8" s="9" t="s">
        <v>706</v>
      </c>
      <c r="B8" s="9">
        <v>99031</v>
      </c>
      <c r="C8" s="9">
        <v>61</v>
      </c>
      <c r="D8" t="s">
        <v>707</v>
      </c>
      <c r="E8" s="7">
        <v>102</v>
      </c>
      <c r="F8" s="2" t="s">
        <v>58</v>
      </c>
      <c r="G8" s="2" t="s">
        <v>300</v>
      </c>
      <c r="H8" s="7">
        <v>102</v>
      </c>
      <c r="I8" s="2" t="s">
        <v>53</v>
      </c>
      <c r="J8" s="2"/>
      <c r="K8">
        <v>135</v>
      </c>
    </row>
    <row r="9" spans="1:12" x14ac:dyDescent="0.3">
      <c r="A9" s="9" t="s">
        <v>718</v>
      </c>
      <c r="B9" s="9">
        <v>99031</v>
      </c>
      <c r="C9" s="9">
        <v>97</v>
      </c>
      <c r="D9" t="s">
        <v>719</v>
      </c>
      <c r="E9" s="7">
        <v>102</v>
      </c>
      <c r="F9" s="2" t="s">
        <v>58</v>
      </c>
      <c r="G9" s="2" t="s">
        <v>300</v>
      </c>
      <c r="H9" s="7">
        <v>102</v>
      </c>
      <c r="I9" s="2" t="s">
        <v>53</v>
      </c>
      <c r="J9" s="2"/>
      <c r="K9">
        <v>175</v>
      </c>
    </row>
    <row r="10" spans="1:12" x14ac:dyDescent="0.3">
      <c r="A10" s="9" t="s">
        <v>794</v>
      </c>
      <c r="B10" s="9">
        <v>73264</v>
      </c>
      <c r="C10" s="9">
        <v>0</v>
      </c>
      <c r="D10" t="s">
        <v>859</v>
      </c>
      <c r="E10" s="7">
        <v>102</v>
      </c>
      <c r="F10" s="2" t="s">
        <v>58</v>
      </c>
      <c r="G10" s="2" t="s">
        <v>323</v>
      </c>
      <c r="H10" s="7">
        <v>102</v>
      </c>
      <c r="I10" s="2" t="s">
        <v>53</v>
      </c>
      <c r="J10" s="2"/>
      <c r="K10">
        <v>185</v>
      </c>
    </row>
    <row r="11" spans="1:12" x14ac:dyDescent="0.3">
      <c r="A11" s="9" t="s">
        <v>765</v>
      </c>
      <c r="B11" s="9">
        <v>73404</v>
      </c>
      <c r="C11" s="9">
        <v>8</v>
      </c>
      <c r="D11" t="s">
        <v>1213</v>
      </c>
      <c r="E11" s="7">
        <v>102</v>
      </c>
      <c r="F11" s="2" t="s">
        <v>58</v>
      </c>
      <c r="G11" s="2" t="s">
        <v>323</v>
      </c>
      <c r="H11" s="7">
        <v>102</v>
      </c>
      <c r="I11" s="2" t="s">
        <v>52</v>
      </c>
      <c r="J11" s="2"/>
      <c r="K11">
        <v>90</v>
      </c>
    </row>
    <row r="12" spans="1:12" x14ac:dyDescent="0.3">
      <c r="A12" s="9" t="s">
        <v>726</v>
      </c>
      <c r="B12" s="9">
        <v>99031</v>
      </c>
      <c r="C12" s="9">
        <v>181</v>
      </c>
      <c r="D12" t="s">
        <v>727</v>
      </c>
      <c r="E12" s="7">
        <v>102</v>
      </c>
      <c r="F12" s="2" t="s">
        <v>58</v>
      </c>
      <c r="G12" s="2" t="s">
        <v>300</v>
      </c>
      <c r="H12" s="7">
        <v>102</v>
      </c>
      <c r="I12" s="2" t="s">
        <v>52</v>
      </c>
      <c r="J12" s="2"/>
      <c r="K12">
        <v>45</v>
      </c>
    </row>
    <row r="13" spans="1:12" x14ac:dyDescent="0.3">
      <c r="A13" s="9" t="s">
        <v>744</v>
      </c>
      <c r="B13" s="9">
        <v>99137</v>
      </c>
      <c r="C13" s="9">
        <v>2</v>
      </c>
      <c r="D13" t="s">
        <v>745</v>
      </c>
      <c r="E13" s="7">
        <v>102</v>
      </c>
      <c r="F13" s="2" t="s">
        <v>58</v>
      </c>
      <c r="G13" s="2" t="s">
        <v>323</v>
      </c>
      <c r="H13" s="7">
        <v>102</v>
      </c>
      <c r="I13" s="2" t="s">
        <v>52</v>
      </c>
      <c r="J13" s="2"/>
      <c r="K13">
        <v>20</v>
      </c>
    </row>
    <row r="14" spans="1:12" x14ac:dyDescent="0.3">
      <c r="A14" s="9" t="s">
        <v>766</v>
      </c>
      <c r="B14" s="9">
        <v>73576</v>
      </c>
      <c r="C14" s="9">
        <v>0</v>
      </c>
      <c r="D14" t="s">
        <v>1229</v>
      </c>
      <c r="E14" s="7">
        <v>102</v>
      </c>
      <c r="F14" s="2" t="s">
        <v>58</v>
      </c>
      <c r="G14" s="2" t="s">
        <v>300</v>
      </c>
      <c r="H14" s="7">
        <v>102</v>
      </c>
      <c r="I14" s="2" t="s">
        <v>52</v>
      </c>
      <c r="J14" s="2"/>
      <c r="K14">
        <v>105</v>
      </c>
    </row>
    <row r="15" spans="1:12" x14ac:dyDescent="0.3">
      <c r="A15" s="9" t="s">
        <v>752</v>
      </c>
      <c r="B15" s="9">
        <v>99189</v>
      </c>
      <c r="C15" s="9">
        <v>3</v>
      </c>
      <c r="D15" t="s">
        <v>753</v>
      </c>
      <c r="E15" s="7">
        <v>102</v>
      </c>
      <c r="F15" s="2" t="s">
        <v>58</v>
      </c>
      <c r="G15" s="2" t="s">
        <v>323</v>
      </c>
      <c r="H15" s="7">
        <v>102</v>
      </c>
      <c r="I15" s="2" t="s">
        <v>52</v>
      </c>
      <c r="J15" s="2"/>
      <c r="K15">
        <v>115</v>
      </c>
    </row>
    <row r="16" spans="1:12" x14ac:dyDescent="0.3">
      <c r="A16" s="9" t="s">
        <v>750</v>
      </c>
      <c r="B16" s="9">
        <v>99189</v>
      </c>
      <c r="C16" s="9">
        <v>2</v>
      </c>
      <c r="D16" t="s">
        <v>751</v>
      </c>
      <c r="E16" s="7">
        <v>102</v>
      </c>
      <c r="F16" s="2" t="s">
        <v>58</v>
      </c>
      <c r="G16" s="2" t="s">
        <v>323</v>
      </c>
      <c r="H16" s="7">
        <v>102</v>
      </c>
      <c r="I16" s="2" t="s">
        <v>52</v>
      </c>
      <c r="J16" s="2"/>
      <c r="K16">
        <v>30</v>
      </c>
    </row>
    <row r="17" spans="1:11" x14ac:dyDescent="0.3">
      <c r="A17" s="9" t="s">
        <v>663</v>
      </c>
      <c r="B17" s="9">
        <v>73470</v>
      </c>
      <c r="C17" s="9">
        <v>3</v>
      </c>
      <c r="D17" t="s">
        <v>665</v>
      </c>
      <c r="E17" s="7">
        <v>102</v>
      </c>
      <c r="F17" s="2" t="s">
        <v>58</v>
      </c>
      <c r="G17" s="2" t="s">
        <v>300</v>
      </c>
      <c r="H17" s="7">
        <v>102</v>
      </c>
      <c r="I17" s="2" t="s">
        <v>52</v>
      </c>
      <c r="J17" s="2"/>
      <c r="K17">
        <v>35</v>
      </c>
    </row>
    <row r="18" spans="1:11" x14ac:dyDescent="0.3">
      <c r="A18" s="9" t="s">
        <v>768</v>
      </c>
      <c r="B18" s="9">
        <v>70832</v>
      </c>
      <c r="C18" s="9">
        <v>0</v>
      </c>
      <c r="D18" t="s">
        <v>1271</v>
      </c>
      <c r="E18" s="7">
        <v>102</v>
      </c>
      <c r="F18" s="2" t="s">
        <v>58</v>
      </c>
      <c r="G18" s="2" t="s">
        <v>300</v>
      </c>
      <c r="H18" s="7">
        <v>102</v>
      </c>
      <c r="I18" s="2" t="s">
        <v>52</v>
      </c>
      <c r="J18" s="2"/>
      <c r="K18">
        <v>85</v>
      </c>
    </row>
    <row r="19" spans="1:11" x14ac:dyDescent="0.3">
      <c r="A19" s="9" t="s">
        <v>736</v>
      </c>
      <c r="B19" s="9">
        <v>99062</v>
      </c>
      <c r="C19" s="9">
        <v>37</v>
      </c>
      <c r="D19" t="s">
        <v>737</v>
      </c>
      <c r="E19" s="7">
        <v>102</v>
      </c>
      <c r="F19" s="2" t="s">
        <v>58</v>
      </c>
      <c r="G19" s="2" t="s">
        <v>300</v>
      </c>
      <c r="H19" s="7">
        <v>102</v>
      </c>
      <c r="I19" s="2" t="s">
        <v>52</v>
      </c>
      <c r="J19" s="2"/>
      <c r="K19">
        <v>75</v>
      </c>
    </row>
    <row r="20" spans="1:11" x14ac:dyDescent="0.3">
      <c r="A20" s="9" t="s">
        <v>770</v>
      </c>
      <c r="B20" s="9">
        <v>99212</v>
      </c>
      <c r="C20" s="9">
        <v>4</v>
      </c>
      <c r="D20" t="s">
        <v>1304</v>
      </c>
      <c r="E20" s="7">
        <v>102</v>
      </c>
      <c r="F20" s="2" t="s">
        <v>58</v>
      </c>
      <c r="G20" s="2" t="s">
        <v>323</v>
      </c>
      <c r="H20" s="7">
        <v>102</v>
      </c>
      <c r="I20" s="2" t="s">
        <v>52</v>
      </c>
      <c r="J20" s="2"/>
      <c r="K20">
        <v>110</v>
      </c>
    </row>
    <row r="21" spans="1:11" x14ac:dyDescent="0.3">
      <c r="A21" s="9" t="s">
        <v>772</v>
      </c>
      <c r="B21" s="9">
        <v>73126</v>
      </c>
      <c r="C21" s="9">
        <v>0</v>
      </c>
      <c r="D21" t="s">
        <v>1311</v>
      </c>
      <c r="E21" s="7">
        <v>102</v>
      </c>
      <c r="F21" s="2" t="s">
        <v>58</v>
      </c>
      <c r="G21" s="2" t="s">
        <v>297</v>
      </c>
      <c r="H21" s="7">
        <v>102</v>
      </c>
      <c r="I21" s="2" t="s">
        <v>52</v>
      </c>
      <c r="J21" s="2"/>
      <c r="K21">
        <v>125</v>
      </c>
    </row>
    <row r="22" spans="1:11" x14ac:dyDescent="0.3">
      <c r="A22" s="9" t="s">
        <v>708</v>
      </c>
      <c r="B22" s="9">
        <v>99031</v>
      </c>
      <c r="C22" s="9">
        <v>89</v>
      </c>
      <c r="D22" t="s">
        <v>709</v>
      </c>
      <c r="E22" s="7">
        <v>102</v>
      </c>
      <c r="F22" s="2" t="s">
        <v>58</v>
      </c>
      <c r="G22" s="2" t="s">
        <v>300</v>
      </c>
      <c r="H22" s="7">
        <v>102</v>
      </c>
      <c r="I22" s="2" t="s">
        <v>52</v>
      </c>
      <c r="J22" s="2"/>
      <c r="K22">
        <v>95</v>
      </c>
    </row>
    <row r="23" spans="1:11" x14ac:dyDescent="0.3">
      <c r="A23" s="9" t="s">
        <v>710</v>
      </c>
      <c r="B23" s="9">
        <v>99031</v>
      </c>
      <c r="C23" s="9">
        <v>90</v>
      </c>
      <c r="D23" t="s">
        <v>711</v>
      </c>
      <c r="E23" s="7">
        <v>102</v>
      </c>
      <c r="F23" s="2" t="s">
        <v>58</v>
      </c>
      <c r="G23" s="2" t="s">
        <v>300</v>
      </c>
      <c r="H23" s="7">
        <v>102</v>
      </c>
      <c r="I23" s="2" t="s">
        <v>52</v>
      </c>
      <c r="J23" s="2"/>
      <c r="K23">
        <v>40</v>
      </c>
    </row>
    <row r="24" spans="1:11" x14ac:dyDescent="0.3">
      <c r="A24" s="9" t="s">
        <v>773</v>
      </c>
      <c r="B24" s="9">
        <v>99212</v>
      </c>
      <c r="C24" s="9">
        <v>1</v>
      </c>
      <c r="D24" t="s">
        <v>1331</v>
      </c>
      <c r="E24" s="7">
        <v>102</v>
      </c>
      <c r="F24" s="2" t="s">
        <v>58</v>
      </c>
      <c r="G24" s="2" t="s">
        <v>323</v>
      </c>
      <c r="H24" s="7">
        <v>102</v>
      </c>
      <c r="I24" s="2" t="s">
        <v>52</v>
      </c>
      <c r="J24" s="2"/>
      <c r="K24">
        <v>50</v>
      </c>
    </row>
    <row r="25" spans="1:11" x14ac:dyDescent="0.3">
      <c r="A25" s="9" t="s">
        <v>748</v>
      </c>
      <c r="B25" s="9">
        <v>99189</v>
      </c>
      <c r="C25" s="9">
        <v>1</v>
      </c>
      <c r="D25" t="s">
        <v>749</v>
      </c>
      <c r="E25" s="7">
        <v>102</v>
      </c>
      <c r="F25" s="2" t="s">
        <v>58</v>
      </c>
      <c r="G25" s="2" t="s">
        <v>300</v>
      </c>
      <c r="H25" s="7">
        <v>102</v>
      </c>
      <c r="I25" s="2" t="s">
        <v>52</v>
      </c>
      <c r="J25" s="2"/>
      <c r="K25">
        <v>65</v>
      </c>
    </row>
    <row r="26" spans="1:11" x14ac:dyDescent="0.3">
      <c r="A26" s="9" t="s">
        <v>674</v>
      </c>
      <c r="B26" s="9">
        <v>73517</v>
      </c>
      <c r="C26" s="9">
        <v>0</v>
      </c>
      <c r="D26" t="s">
        <v>675</v>
      </c>
      <c r="E26" s="7">
        <v>102</v>
      </c>
      <c r="F26" s="2" t="s">
        <v>58</v>
      </c>
      <c r="G26" s="2" t="s">
        <v>300</v>
      </c>
      <c r="H26" s="7">
        <v>102</v>
      </c>
      <c r="I26" s="2" t="s">
        <v>52</v>
      </c>
      <c r="J26" s="2"/>
      <c r="K26">
        <v>120</v>
      </c>
    </row>
    <row r="27" spans="1:11" x14ac:dyDescent="0.3">
      <c r="A27" s="9" t="s">
        <v>767</v>
      </c>
      <c r="B27" s="9">
        <v>73063</v>
      </c>
      <c r="C27" s="9">
        <v>15</v>
      </c>
      <c r="D27" t="s">
        <v>1259</v>
      </c>
      <c r="E27" s="7">
        <v>102</v>
      </c>
      <c r="F27" s="2" t="s">
        <v>58</v>
      </c>
      <c r="G27" s="2" t="s">
        <v>323</v>
      </c>
      <c r="H27" s="7">
        <v>102</v>
      </c>
      <c r="I27" s="2" t="s">
        <v>52</v>
      </c>
      <c r="J27" s="2"/>
      <c r="K27">
        <v>55</v>
      </c>
    </row>
    <row r="28" spans="1:11" x14ac:dyDescent="0.3">
      <c r="A28" s="9" t="s">
        <v>762</v>
      </c>
      <c r="B28" s="9">
        <v>73464</v>
      </c>
      <c r="C28" s="9">
        <v>0</v>
      </c>
      <c r="D28" t="s">
        <v>1173</v>
      </c>
      <c r="E28" s="7">
        <v>102</v>
      </c>
      <c r="F28" s="2" t="s">
        <v>58</v>
      </c>
      <c r="G28" s="2" t="s">
        <v>323</v>
      </c>
      <c r="H28" s="7">
        <v>102</v>
      </c>
      <c r="I28" s="2" t="s">
        <v>52</v>
      </c>
      <c r="J28" s="2"/>
      <c r="K28">
        <v>70</v>
      </c>
    </row>
    <row r="29" spans="1:11" x14ac:dyDescent="0.3">
      <c r="A29" s="9" t="s">
        <v>763</v>
      </c>
      <c r="B29" s="9">
        <v>99161</v>
      </c>
      <c r="C29" s="9">
        <v>37</v>
      </c>
      <c r="D29" t="s">
        <v>1192</v>
      </c>
      <c r="E29" s="7">
        <v>102</v>
      </c>
      <c r="F29" s="2" t="s">
        <v>58</v>
      </c>
      <c r="G29" s="2" t="s">
        <v>354</v>
      </c>
      <c r="H29" s="7">
        <v>102</v>
      </c>
      <c r="I29" s="2" t="s">
        <v>52</v>
      </c>
      <c r="J29" s="2"/>
      <c r="K29">
        <v>80</v>
      </c>
    </row>
    <row r="30" spans="1:11" x14ac:dyDescent="0.3">
      <c r="A30" s="9" t="s">
        <v>740</v>
      </c>
      <c r="B30" s="9">
        <v>99137</v>
      </c>
      <c r="C30" s="9">
        <v>0</v>
      </c>
      <c r="D30" t="s">
        <v>741</v>
      </c>
      <c r="E30" s="7">
        <v>102</v>
      </c>
      <c r="F30" s="2" t="s">
        <v>53</v>
      </c>
      <c r="G30" s="2" t="s">
        <v>323</v>
      </c>
      <c r="H30" s="7">
        <v>102</v>
      </c>
      <c r="I30" s="2" t="s">
        <v>58</v>
      </c>
      <c r="J30" s="2"/>
      <c r="K30">
        <v>120</v>
      </c>
    </row>
    <row r="31" spans="1:11" x14ac:dyDescent="0.3">
      <c r="A31" s="9" t="s">
        <v>809</v>
      </c>
      <c r="B31" s="9">
        <v>73190</v>
      </c>
      <c r="C31" s="9">
        <v>0</v>
      </c>
      <c r="D31" t="s">
        <v>755</v>
      </c>
      <c r="E31" s="7">
        <v>102</v>
      </c>
      <c r="F31" s="2" t="s">
        <v>53</v>
      </c>
      <c r="G31" s="2" t="s">
        <v>300</v>
      </c>
      <c r="H31" s="7">
        <v>102</v>
      </c>
      <c r="I31" s="2" t="s">
        <v>58</v>
      </c>
      <c r="J31" s="2"/>
      <c r="K31">
        <v>130</v>
      </c>
    </row>
    <row r="32" spans="1:11" x14ac:dyDescent="0.3">
      <c r="A32" s="9" t="s">
        <v>621</v>
      </c>
      <c r="B32" s="9">
        <v>71159</v>
      </c>
      <c r="C32" s="9">
        <v>0</v>
      </c>
      <c r="D32" t="s">
        <v>622</v>
      </c>
      <c r="E32" s="7">
        <v>102</v>
      </c>
      <c r="F32" s="2" t="s">
        <v>53</v>
      </c>
      <c r="G32" s="2" t="s">
        <v>300</v>
      </c>
      <c r="H32" s="7">
        <v>102</v>
      </c>
      <c r="I32" s="2" t="s">
        <v>58</v>
      </c>
      <c r="J32" s="2"/>
      <c r="K32">
        <v>125</v>
      </c>
    </row>
    <row r="33" spans="1:11" x14ac:dyDescent="0.3">
      <c r="A33" s="9" t="s">
        <v>591</v>
      </c>
      <c r="B33" s="9">
        <v>70537</v>
      </c>
      <c r="C33" s="9">
        <v>0</v>
      </c>
      <c r="D33" t="s">
        <v>592</v>
      </c>
      <c r="E33" s="7">
        <v>102</v>
      </c>
      <c r="F33" s="2" t="s">
        <v>53</v>
      </c>
      <c r="G33" s="2" t="s">
        <v>300</v>
      </c>
      <c r="H33" s="7">
        <v>101</v>
      </c>
      <c r="I33" s="2" t="s">
        <v>53</v>
      </c>
      <c r="J33" s="2"/>
      <c r="K33">
        <v>15</v>
      </c>
    </row>
    <row r="34" spans="1:11" x14ac:dyDescent="0.3">
      <c r="A34" s="9" t="s">
        <v>609</v>
      </c>
      <c r="B34" s="9">
        <v>99031</v>
      </c>
      <c r="C34" s="9">
        <v>104</v>
      </c>
      <c r="D34" t="s">
        <v>610</v>
      </c>
      <c r="E34" s="7">
        <v>102</v>
      </c>
      <c r="F34" s="2" t="s">
        <v>53</v>
      </c>
      <c r="G34" s="2" t="s">
        <v>300</v>
      </c>
      <c r="H34" s="7">
        <v>102</v>
      </c>
      <c r="I34" s="2" t="s">
        <v>60</v>
      </c>
      <c r="J34" s="2"/>
      <c r="K34">
        <v>180</v>
      </c>
    </row>
    <row r="35" spans="1:11" x14ac:dyDescent="0.3">
      <c r="A35" s="9" t="s">
        <v>615</v>
      </c>
      <c r="B35" s="9">
        <v>73444</v>
      </c>
      <c r="C35" s="9">
        <v>0</v>
      </c>
      <c r="D35" t="s">
        <v>616</v>
      </c>
      <c r="E35" s="7">
        <v>102</v>
      </c>
      <c r="F35" s="2" t="s">
        <v>53</v>
      </c>
      <c r="G35" s="2" t="s">
        <v>300</v>
      </c>
      <c r="H35" s="7">
        <v>102</v>
      </c>
      <c r="I35" s="2" t="s">
        <v>60</v>
      </c>
      <c r="J35" s="2"/>
      <c r="K35">
        <v>65</v>
      </c>
    </row>
    <row r="36" spans="1:11" x14ac:dyDescent="0.3">
      <c r="A36" s="9" t="s">
        <v>804</v>
      </c>
      <c r="B36" s="9">
        <v>99126</v>
      </c>
      <c r="C36" s="9">
        <v>3</v>
      </c>
      <c r="D36" t="s">
        <v>863</v>
      </c>
      <c r="E36" s="7">
        <v>102</v>
      </c>
      <c r="F36" s="2" t="s">
        <v>53</v>
      </c>
      <c r="G36" s="2" t="s">
        <v>323</v>
      </c>
      <c r="H36" s="7">
        <v>102</v>
      </c>
      <c r="I36" s="2" t="s">
        <v>60</v>
      </c>
      <c r="J36" s="2"/>
      <c r="K36">
        <v>95</v>
      </c>
    </row>
    <row r="37" spans="1:11" x14ac:dyDescent="0.3">
      <c r="A37" s="9" t="s">
        <v>796</v>
      </c>
      <c r="B37" s="9">
        <v>99161</v>
      </c>
      <c r="C37" s="9">
        <v>112</v>
      </c>
      <c r="D37" t="s">
        <v>754</v>
      </c>
      <c r="E37" s="7">
        <v>102</v>
      </c>
      <c r="F37" s="2" t="s">
        <v>53</v>
      </c>
      <c r="G37" s="2" t="s">
        <v>300</v>
      </c>
      <c r="H37" s="7">
        <v>102</v>
      </c>
      <c r="I37" s="2" t="s">
        <v>60</v>
      </c>
      <c r="J37" s="2"/>
      <c r="K37">
        <v>80</v>
      </c>
    </row>
    <row r="38" spans="1:11" x14ac:dyDescent="0.3">
      <c r="A38" s="9" t="s">
        <v>617</v>
      </c>
      <c r="B38" s="9">
        <v>71146</v>
      </c>
      <c r="C38" s="9">
        <v>0</v>
      </c>
      <c r="D38" t="s">
        <v>618</v>
      </c>
      <c r="E38" s="7">
        <v>102</v>
      </c>
      <c r="F38" s="2" t="s">
        <v>53</v>
      </c>
      <c r="G38" s="2" t="s">
        <v>300</v>
      </c>
      <c r="H38" s="7">
        <v>102</v>
      </c>
      <c r="I38" s="2" t="s">
        <v>60</v>
      </c>
      <c r="J38" s="2"/>
      <c r="K38">
        <v>90</v>
      </c>
    </row>
    <row r="39" spans="1:11" x14ac:dyDescent="0.3">
      <c r="A39" s="9" t="s">
        <v>805</v>
      </c>
      <c r="B39" s="9">
        <v>71148</v>
      </c>
      <c r="C39" s="9">
        <v>0</v>
      </c>
      <c r="D39" t="s">
        <v>867</v>
      </c>
      <c r="E39" s="7">
        <v>102</v>
      </c>
      <c r="F39" s="2" t="s">
        <v>53</v>
      </c>
      <c r="G39" s="2" t="s">
        <v>323</v>
      </c>
      <c r="H39" s="7">
        <v>102</v>
      </c>
      <c r="I39" s="2" t="s">
        <v>60</v>
      </c>
      <c r="J39" s="2"/>
      <c r="K39">
        <v>165</v>
      </c>
    </row>
    <row r="40" spans="1:11" x14ac:dyDescent="0.3">
      <c r="A40" s="9" t="s">
        <v>619</v>
      </c>
      <c r="B40" s="9">
        <v>99061</v>
      </c>
      <c r="C40" s="9">
        <v>112</v>
      </c>
      <c r="D40" t="s">
        <v>620</v>
      </c>
      <c r="E40" s="7">
        <v>102</v>
      </c>
      <c r="F40" s="2" t="s">
        <v>53</v>
      </c>
      <c r="G40" s="2" t="s">
        <v>300</v>
      </c>
      <c r="H40" s="7">
        <v>102</v>
      </c>
      <c r="I40" s="2" t="s">
        <v>60</v>
      </c>
      <c r="J40" s="2"/>
      <c r="K40">
        <v>75</v>
      </c>
    </row>
    <row r="41" spans="1:11" x14ac:dyDescent="0.3">
      <c r="A41" s="9" t="s">
        <v>795</v>
      </c>
      <c r="B41" s="9">
        <v>73459</v>
      </c>
      <c r="C41" s="9">
        <v>0</v>
      </c>
      <c r="D41" t="s">
        <v>869</v>
      </c>
      <c r="E41" s="7">
        <v>102</v>
      </c>
      <c r="F41" s="2" t="s">
        <v>53</v>
      </c>
      <c r="G41" s="2" t="s">
        <v>323</v>
      </c>
      <c r="H41" s="7">
        <v>102</v>
      </c>
      <c r="I41" s="2" t="s">
        <v>60</v>
      </c>
      <c r="J41" s="2"/>
      <c r="K41">
        <v>135</v>
      </c>
    </row>
    <row r="42" spans="1:11" x14ac:dyDescent="0.3">
      <c r="A42" s="9" t="s">
        <v>593</v>
      </c>
      <c r="B42" s="9">
        <v>70024</v>
      </c>
      <c r="C42" s="9">
        <v>0</v>
      </c>
      <c r="D42" t="s">
        <v>594</v>
      </c>
      <c r="E42" s="7">
        <v>102</v>
      </c>
      <c r="F42" s="2" t="s">
        <v>53</v>
      </c>
      <c r="G42" s="2" t="s">
        <v>300</v>
      </c>
      <c r="H42" s="7">
        <v>102</v>
      </c>
      <c r="I42" s="2" t="s">
        <v>60</v>
      </c>
      <c r="J42" s="2"/>
      <c r="K42">
        <v>55</v>
      </c>
    </row>
    <row r="43" spans="1:11" x14ac:dyDescent="0.3">
      <c r="A43" s="9" t="s">
        <v>601</v>
      </c>
      <c r="B43" s="9">
        <v>73569</v>
      </c>
      <c r="C43" s="9">
        <v>0</v>
      </c>
      <c r="D43" t="s">
        <v>602</v>
      </c>
      <c r="E43" s="7">
        <v>102</v>
      </c>
      <c r="F43" s="2" t="s">
        <v>53</v>
      </c>
      <c r="G43" s="2" t="s">
        <v>300</v>
      </c>
      <c r="H43" s="7">
        <v>102</v>
      </c>
      <c r="I43" s="2" t="s">
        <v>60</v>
      </c>
      <c r="J43" s="2"/>
      <c r="K43">
        <v>45</v>
      </c>
    </row>
    <row r="44" spans="1:11" x14ac:dyDescent="0.3">
      <c r="A44" s="9" t="s">
        <v>595</v>
      </c>
      <c r="B44" s="9">
        <v>73289</v>
      </c>
      <c r="C44" s="9">
        <v>0</v>
      </c>
      <c r="D44" t="s">
        <v>596</v>
      </c>
      <c r="E44" s="7">
        <v>102</v>
      </c>
      <c r="F44" s="2" t="s">
        <v>53</v>
      </c>
      <c r="G44" s="2" t="s">
        <v>300</v>
      </c>
      <c r="H44" s="7">
        <v>102</v>
      </c>
      <c r="I44" s="2" t="s">
        <v>60</v>
      </c>
      <c r="J44" s="2"/>
      <c r="K44">
        <v>30</v>
      </c>
    </row>
    <row r="45" spans="1:11" x14ac:dyDescent="0.3">
      <c r="A45" s="9" t="s">
        <v>603</v>
      </c>
      <c r="B45" s="9">
        <v>73523</v>
      </c>
      <c r="C45" s="9">
        <v>1</v>
      </c>
      <c r="D45" t="s">
        <v>604</v>
      </c>
      <c r="E45" s="7">
        <v>102</v>
      </c>
      <c r="F45" s="2" t="s">
        <v>53</v>
      </c>
      <c r="G45" s="2" t="s">
        <v>300</v>
      </c>
      <c r="H45" s="7">
        <v>102</v>
      </c>
      <c r="I45" s="2" t="s">
        <v>60</v>
      </c>
      <c r="J45" s="2"/>
      <c r="K45">
        <v>200</v>
      </c>
    </row>
    <row r="46" spans="1:11" x14ac:dyDescent="0.3">
      <c r="A46" s="9" t="s">
        <v>627</v>
      </c>
      <c r="B46" s="9">
        <v>99031</v>
      </c>
      <c r="C46" s="9">
        <v>92</v>
      </c>
      <c r="D46" t="s">
        <v>628</v>
      </c>
      <c r="E46" s="7">
        <v>102</v>
      </c>
      <c r="F46" s="2" t="s">
        <v>53</v>
      </c>
      <c r="G46" s="2" t="s">
        <v>300</v>
      </c>
      <c r="H46" s="7">
        <v>102</v>
      </c>
      <c r="I46" s="2" t="s">
        <v>60</v>
      </c>
      <c r="J46" s="2"/>
      <c r="K46">
        <v>105</v>
      </c>
    </row>
    <row r="47" spans="1:11" x14ac:dyDescent="0.3">
      <c r="A47" s="9" t="s">
        <v>589</v>
      </c>
      <c r="B47" s="9">
        <v>73413</v>
      </c>
      <c r="C47" s="9">
        <v>0</v>
      </c>
      <c r="D47" t="s">
        <v>590</v>
      </c>
      <c r="E47" s="7">
        <v>102</v>
      </c>
      <c r="F47" s="2" t="s">
        <v>53</v>
      </c>
      <c r="G47" s="2" t="s">
        <v>300</v>
      </c>
      <c r="H47" s="7">
        <v>102</v>
      </c>
      <c r="I47" s="2" t="s">
        <v>60</v>
      </c>
      <c r="J47" s="2"/>
      <c r="K47">
        <v>170</v>
      </c>
    </row>
    <row r="48" spans="1:11" x14ac:dyDescent="0.3">
      <c r="A48" s="9" t="s">
        <v>807</v>
      </c>
      <c r="B48" s="9">
        <v>99212</v>
      </c>
      <c r="C48" s="9">
        <v>0</v>
      </c>
      <c r="D48" t="s">
        <v>862</v>
      </c>
      <c r="E48" s="7">
        <v>102</v>
      </c>
      <c r="F48" s="2" t="s">
        <v>53</v>
      </c>
      <c r="G48" s="2" t="s">
        <v>323</v>
      </c>
      <c r="H48" s="7">
        <v>102</v>
      </c>
      <c r="I48" s="2" t="s">
        <v>60</v>
      </c>
      <c r="J48" s="2"/>
      <c r="K48">
        <v>115</v>
      </c>
    </row>
    <row r="49" spans="1:11" x14ac:dyDescent="0.3">
      <c r="A49" s="9" t="s">
        <v>613</v>
      </c>
      <c r="B49" s="9">
        <v>73590</v>
      </c>
      <c r="C49" s="9">
        <v>0</v>
      </c>
      <c r="D49" t="s">
        <v>614</v>
      </c>
      <c r="E49" s="7">
        <v>102</v>
      </c>
      <c r="F49" s="2" t="s">
        <v>53</v>
      </c>
      <c r="G49" s="2" t="s">
        <v>300</v>
      </c>
      <c r="H49" s="7">
        <v>102</v>
      </c>
      <c r="I49" s="2" t="s">
        <v>60</v>
      </c>
      <c r="J49" s="2"/>
      <c r="K49">
        <v>100</v>
      </c>
    </row>
    <row r="50" spans="1:11" x14ac:dyDescent="0.3">
      <c r="A50" s="9" t="s">
        <v>625</v>
      </c>
      <c r="B50" s="9">
        <v>71163</v>
      </c>
      <c r="C50" s="9">
        <v>0</v>
      </c>
      <c r="D50" t="s">
        <v>626</v>
      </c>
      <c r="E50" s="7">
        <v>102</v>
      </c>
      <c r="F50" s="2" t="s">
        <v>53</v>
      </c>
      <c r="G50" s="2" t="s">
        <v>300</v>
      </c>
      <c r="H50" s="7">
        <v>102</v>
      </c>
      <c r="I50" s="2" t="s">
        <v>60</v>
      </c>
      <c r="J50" s="2"/>
      <c r="K50">
        <v>85</v>
      </c>
    </row>
    <row r="51" spans="1:11" x14ac:dyDescent="0.3">
      <c r="A51" s="9" t="s">
        <v>3806</v>
      </c>
      <c r="B51" s="9">
        <v>70608</v>
      </c>
      <c r="C51" s="9">
        <v>0</v>
      </c>
      <c r="D51" t="s">
        <v>2516</v>
      </c>
      <c r="E51" s="7">
        <v>103</v>
      </c>
      <c r="F51" s="2" t="s">
        <v>53</v>
      </c>
      <c r="G51" s="2" t="s">
        <v>300</v>
      </c>
      <c r="H51" s="7">
        <v>103</v>
      </c>
      <c r="I51" s="2" t="s">
        <v>60</v>
      </c>
      <c r="J51" s="2"/>
      <c r="K51">
        <v>10</v>
      </c>
    </row>
    <row r="52" spans="1:11" x14ac:dyDescent="0.3">
      <c r="A52" s="9" t="s">
        <v>3808</v>
      </c>
      <c r="B52" s="9">
        <v>70608</v>
      </c>
      <c r="C52" s="9">
        <v>1</v>
      </c>
      <c r="D52" t="s">
        <v>2518</v>
      </c>
      <c r="E52" s="7">
        <v>103</v>
      </c>
      <c r="F52" s="2" t="s">
        <v>53</v>
      </c>
      <c r="G52" s="2" t="s">
        <v>300</v>
      </c>
      <c r="H52" s="7">
        <v>103</v>
      </c>
      <c r="I52" s="2" t="s">
        <v>60</v>
      </c>
      <c r="J52" s="2"/>
      <c r="K52">
        <v>15</v>
      </c>
    </row>
    <row r="53" spans="1:11" x14ac:dyDescent="0.3">
      <c r="A53" s="9" t="s">
        <v>3807</v>
      </c>
      <c r="B53" s="9">
        <v>73341</v>
      </c>
      <c r="C53" s="9">
        <v>0</v>
      </c>
      <c r="D53" t="s">
        <v>2577</v>
      </c>
      <c r="E53" s="7">
        <v>103</v>
      </c>
      <c r="F53" s="2" t="s">
        <v>53</v>
      </c>
      <c r="G53" s="2" t="s">
        <v>300</v>
      </c>
      <c r="H53" s="7">
        <v>103</v>
      </c>
      <c r="I53" s="2" t="s">
        <v>60</v>
      </c>
      <c r="J53" s="2"/>
      <c r="K53">
        <v>5</v>
      </c>
    </row>
    <row r="54" spans="1:11" x14ac:dyDescent="0.3">
      <c r="A54" s="9" t="s">
        <v>746</v>
      </c>
      <c r="B54" s="9">
        <v>99138</v>
      </c>
      <c r="C54" s="9">
        <v>4</v>
      </c>
      <c r="D54" t="s">
        <v>747</v>
      </c>
      <c r="E54" s="7">
        <v>102</v>
      </c>
      <c r="F54" s="2" t="s">
        <v>52</v>
      </c>
      <c r="G54" s="2" t="s">
        <v>300</v>
      </c>
      <c r="H54" s="7">
        <v>102</v>
      </c>
      <c r="I54" s="2" t="s">
        <v>58</v>
      </c>
      <c r="J54" s="2"/>
      <c r="K54">
        <v>90</v>
      </c>
    </row>
    <row r="55" spans="1:11" x14ac:dyDescent="0.3">
      <c r="A55" s="9" t="s">
        <v>607</v>
      </c>
      <c r="B55" s="9">
        <v>99031</v>
      </c>
      <c r="C55" s="9">
        <v>182</v>
      </c>
      <c r="D55" t="s">
        <v>608</v>
      </c>
      <c r="E55" s="7">
        <v>102</v>
      </c>
      <c r="F55" s="2" t="s">
        <v>52</v>
      </c>
      <c r="G55" s="2" t="s">
        <v>300</v>
      </c>
      <c r="H55" s="7">
        <v>102</v>
      </c>
      <c r="I55" s="2" t="s">
        <v>58</v>
      </c>
      <c r="J55" s="2"/>
      <c r="K55">
        <v>120</v>
      </c>
    </row>
    <row r="56" spans="1:11" x14ac:dyDescent="0.3">
      <c r="A56" s="9" t="s">
        <v>827</v>
      </c>
      <c r="B56" s="9">
        <v>99138</v>
      </c>
      <c r="C56" s="9">
        <v>2</v>
      </c>
      <c r="D56" t="s">
        <v>757</v>
      </c>
      <c r="E56" s="7">
        <v>102</v>
      </c>
      <c r="F56" s="2" t="s">
        <v>52</v>
      </c>
      <c r="G56" s="2" t="s">
        <v>300</v>
      </c>
      <c r="H56" s="7">
        <v>102</v>
      </c>
      <c r="I56" s="2" t="s">
        <v>58</v>
      </c>
      <c r="J56" s="2"/>
      <c r="K56">
        <v>45</v>
      </c>
    </row>
    <row r="57" spans="1:11" x14ac:dyDescent="0.3">
      <c r="A57" s="9" t="s">
        <v>787</v>
      </c>
      <c r="B57" s="9">
        <v>70845</v>
      </c>
      <c r="C57" s="9">
        <v>0</v>
      </c>
      <c r="D57" t="s">
        <v>883</v>
      </c>
      <c r="E57" s="7">
        <v>102</v>
      </c>
      <c r="F57" s="2" t="s">
        <v>52</v>
      </c>
      <c r="G57" s="2" t="s">
        <v>323</v>
      </c>
      <c r="H57" s="7">
        <v>102</v>
      </c>
      <c r="I57" s="2" t="s">
        <v>58</v>
      </c>
      <c r="J57" s="2"/>
      <c r="K57">
        <v>60</v>
      </c>
    </row>
    <row r="58" spans="1:11" x14ac:dyDescent="0.3">
      <c r="A58" s="9" t="s">
        <v>828</v>
      </c>
      <c r="B58" s="9">
        <v>70846</v>
      </c>
      <c r="C58" s="9">
        <v>0</v>
      </c>
      <c r="D58" t="s">
        <v>903</v>
      </c>
      <c r="E58" s="7">
        <v>102</v>
      </c>
      <c r="F58" s="2" t="s">
        <v>52</v>
      </c>
      <c r="G58" s="2" t="s">
        <v>323</v>
      </c>
      <c r="H58" s="7">
        <v>102</v>
      </c>
      <c r="I58" s="2" t="s">
        <v>58</v>
      </c>
      <c r="J58" s="2"/>
      <c r="K58">
        <v>105</v>
      </c>
    </row>
    <row r="59" spans="1:11" x14ac:dyDescent="0.3">
      <c r="A59" s="9" t="s">
        <v>777</v>
      </c>
      <c r="B59" s="9">
        <v>99138</v>
      </c>
      <c r="C59" s="9">
        <v>1</v>
      </c>
      <c r="D59" t="s">
        <v>893</v>
      </c>
      <c r="E59" s="7">
        <v>102</v>
      </c>
      <c r="F59" s="2" t="s">
        <v>52</v>
      </c>
      <c r="G59" s="2" t="s">
        <v>300</v>
      </c>
      <c r="H59" s="7">
        <v>102</v>
      </c>
      <c r="I59" s="2" t="s">
        <v>58</v>
      </c>
      <c r="J59" s="2"/>
      <c r="K59">
        <v>80</v>
      </c>
    </row>
    <row r="60" spans="1:11" x14ac:dyDescent="0.3">
      <c r="A60" s="9" t="s">
        <v>645</v>
      </c>
      <c r="B60" s="9">
        <v>71145</v>
      </c>
      <c r="C60" s="9">
        <v>0</v>
      </c>
      <c r="D60" t="s">
        <v>646</v>
      </c>
      <c r="E60" s="7">
        <v>102</v>
      </c>
      <c r="F60" s="2" t="s">
        <v>52</v>
      </c>
      <c r="G60" s="2" t="s">
        <v>300</v>
      </c>
      <c r="H60" s="7">
        <v>102</v>
      </c>
      <c r="I60" s="2" t="s">
        <v>58</v>
      </c>
      <c r="J60" s="2"/>
      <c r="K60">
        <v>205</v>
      </c>
    </row>
    <row r="61" spans="1:11" x14ac:dyDescent="0.3">
      <c r="A61" s="9" t="s">
        <v>776</v>
      </c>
      <c r="B61" s="9">
        <v>99138</v>
      </c>
      <c r="C61" s="9">
        <v>3</v>
      </c>
      <c r="D61" t="s">
        <v>892</v>
      </c>
      <c r="E61" s="7">
        <v>102</v>
      </c>
      <c r="F61" s="2" t="s">
        <v>52</v>
      </c>
      <c r="G61" s="2" t="s">
        <v>300</v>
      </c>
      <c r="H61" s="7">
        <v>102</v>
      </c>
      <c r="I61" s="2" t="s">
        <v>58</v>
      </c>
      <c r="J61" s="2"/>
      <c r="K61">
        <v>40</v>
      </c>
    </row>
    <row r="62" spans="1:11" x14ac:dyDescent="0.3">
      <c r="A62" s="9" t="s">
        <v>688</v>
      </c>
      <c r="B62" s="9">
        <v>73557</v>
      </c>
      <c r="C62" s="9">
        <v>0</v>
      </c>
      <c r="D62" t="s">
        <v>689</v>
      </c>
      <c r="E62" s="7">
        <v>102</v>
      </c>
      <c r="F62" s="2" t="s">
        <v>52</v>
      </c>
      <c r="G62" s="2" t="s">
        <v>300</v>
      </c>
      <c r="H62" s="7">
        <v>102</v>
      </c>
      <c r="I62" s="2" t="s">
        <v>58</v>
      </c>
      <c r="J62" s="2"/>
      <c r="K62">
        <v>65</v>
      </c>
    </row>
    <row r="63" spans="1:11" x14ac:dyDescent="0.3">
      <c r="A63" s="9" t="s">
        <v>813</v>
      </c>
      <c r="B63" s="9">
        <v>99138</v>
      </c>
      <c r="C63" s="9">
        <v>8</v>
      </c>
      <c r="D63" t="s">
        <v>759</v>
      </c>
      <c r="E63" s="7">
        <v>102</v>
      </c>
      <c r="F63" s="2" t="s">
        <v>52</v>
      </c>
      <c r="G63" s="2" t="s">
        <v>300</v>
      </c>
      <c r="H63" s="7">
        <v>102</v>
      </c>
      <c r="I63" s="2" t="s">
        <v>58</v>
      </c>
      <c r="J63" s="2"/>
      <c r="K63">
        <v>130</v>
      </c>
    </row>
    <row r="64" spans="1:11" x14ac:dyDescent="0.3">
      <c r="A64" s="9" t="s">
        <v>661</v>
      </c>
      <c r="B64" s="9">
        <v>73425</v>
      </c>
      <c r="C64" s="9">
        <v>0</v>
      </c>
      <c r="D64" t="s">
        <v>662</v>
      </c>
      <c r="E64" s="7">
        <v>102</v>
      </c>
      <c r="F64" s="2" t="s">
        <v>52</v>
      </c>
      <c r="G64" s="2" t="s">
        <v>300</v>
      </c>
      <c r="H64" s="7">
        <v>102</v>
      </c>
      <c r="I64" s="2" t="s">
        <v>58</v>
      </c>
      <c r="J64" s="2"/>
      <c r="K64">
        <v>55</v>
      </c>
    </row>
    <row r="65" spans="1:11" x14ac:dyDescent="0.3">
      <c r="A65" s="9" t="s">
        <v>782</v>
      </c>
      <c r="B65" s="9">
        <v>73526</v>
      </c>
      <c r="C65" s="9">
        <v>0</v>
      </c>
      <c r="D65" t="s">
        <v>900</v>
      </c>
      <c r="E65" s="7">
        <v>102</v>
      </c>
      <c r="F65" s="2" t="s">
        <v>52</v>
      </c>
      <c r="G65" s="2" t="s">
        <v>323</v>
      </c>
      <c r="H65" s="7">
        <v>102</v>
      </c>
      <c r="I65" s="2" t="s">
        <v>58</v>
      </c>
      <c r="J65" s="2"/>
      <c r="K65">
        <v>145</v>
      </c>
    </row>
    <row r="66" spans="1:11" x14ac:dyDescent="0.3">
      <c r="A66" s="9" t="s">
        <v>655</v>
      </c>
      <c r="B66" s="9">
        <v>73262</v>
      </c>
      <c r="C66" s="9">
        <v>0</v>
      </c>
      <c r="D66" t="s">
        <v>656</v>
      </c>
      <c r="E66" s="7">
        <v>102</v>
      </c>
      <c r="F66" s="2" t="s">
        <v>52</v>
      </c>
      <c r="G66" s="2" t="s">
        <v>300</v>
      </c>
      <c r="H66" s="7">
        <v>102</v>
      </c>
      <c r="I66" s="2" t="s">
        <v>58</v>
      </c>
      <c r="J66" s="2"/>
      <c r="K66">
        <v>200</v>
      </c>
    </row>
    <row r="67" spans="1:11" x14ac:dyDescent="0.3">
      <c r="A67" s="9" t="s">
        <v>774</v>
      </c>
      <c r="B67" s="9">
        <v>73389</v>
      </c>
      <c r="C67" s="9">
        <v>0</v>
      </c>
      <c r="D67" t="s">
        <v>884</v>
      </c>
      <c r="E67" s="7">
        <v>102</v>
      </c>
      <c r="F67" s="2" t="s">
        <v>52</v>
      </c>
      <c r="G67" s="2" t="s">
        <v>300</v>
      </c>
      <c r="H67" s="7">
        <v>102</v>
      </c>
      <c r="I67" s="2" t="s">
        <v>58</v>
      </c>
      <c r="J67" s="2"/>
      <c r="K67">
        <v>50</v>
      </c>
    </row>
    <row r="68" spans="1:11" x14ac:dyDescent="0.3">
      <c r="A68" s="9" t="s">
        <v>779</v>
      </c>
      <c r="B68" s="9">
        <v>99138</v>
      </c>
      <c r="C68" s="9">
        <v>5</v>
      </c>
      <c r="D68" t="s">
        <v>894</v>
      </c>
      <c r="E68" s="7">
        <v>102</v>
      </c>
      <c r="F68" s="2" t="s">
        <v>52</v>
      </c>
      <c r="G68" s="2" t="s">
        <v>300</v>
      </c>
      <c r="H68" s="7">
        <v>102</v>
      </c>
      <c r="I68" s="2" t="s">
        <v>58</v>
      </c>
      <c r="J68" s="2"/>
      <c r="K68">
        <v>140</v>
      </c>
    </row>
    <row r="69" spans="1:11" x14ac:dyDescent="0.3">
      <c r="A69" s="9" t="s">
        <v>605</v>
      </c>
      <c r="B69" s="9">
        <v>73519</v>
      </c>
      <c r="C69" s="9">
        <v>0</v>
      </c>
      <c r="D69" t="s">
        <v>606</v>
      </c>
      <c r="E69" s="7">
        <v>102</v>
      </c>
      <c r="F69" s="2" t="s">
        <v>52</v>
      </c>
      <c r="G69" s="2" t="s">
        <v>300</v>
      </c>
      <c r="H69" s="7">
        <v>102</v>
      </c>
      <c r="I69" s="2" t="s">
        <v>58</v>
      </c>
      <c r="J69" s="2"/>
      <c r="K69">
        <v>110</v>
      </c>
    </row>
    <row r="70" spans="1:11" x14ac:dyDescent="0.3">
      <c r="A70" s="9" t="s">
        <v>599</v>
      </c>
      <c r="B70" s="9">
        <v>70013</v>
      </c>
      <c r="C70" s="9">
        <v>0</v>
      </c>
      <c r="D70" t="s">
        <v>600</v>
      </c>
      <c r="E70" s="7">
        <v>102</v>
      </c>
      <c r="F70" s="2" t="s">
        <v>52</v>
      </c>
      <c r="G70" s="2" t="s">
        <v>300</v>
      </c>
      <c r="H70" s="7">
        <v>102</v>
      </c>
      <c r="I70" s="2" t="s">
        <v>58</v>
      </c>
      <c r="J70" s="2"/>
      <c r="K70">
        <v>115</v>
      </c>
    </row>
    <row r="71" spans="1:11" x14ac:dyDescent="0.3">
      <c r="A71" s="9" t="s">
        <v>638</v>
      </c>
      <c r="B71" s="9">
        <v>70897</v>
      </c>
      <c r="C71" s="9">
        <v>4</v>
      </c>
      <c r="D71" t="s">
        <v>639</v>
      </c>
      <c r="E71" s="7">
        <v>102</v>
      </c>
      <c r="F71" s="2" t="s">
        <v>52</v>
      </c>
      <c r="G71" s="2" t="s">
        <v>300</v>
      </c>
      <c r="H71" s="7">
        <v>102</v>
      </c>
      <c r="I71" s="2" t="s">
        <v>58</v>
      </c>
      <c r="J71" s="2"/>
      <c r="K71">
        <v>135</v>
      </c>
    </row>
    <row r="72" spans="1:11" x14ac:dyDescent="0.3">
      <c r="A72" s="9" t="s">
        <v>786</v>
      </c>
      <c r="B72" s="9">
        <v>99138</v>
      </c>
      <c r="C72" s="9">
        <v>0</v>
      </c>
      <c r="D72" t="s">
        <v>890</v>
      </c>
      <c r="E72" s="7">
        <v>102</v>
      </c>
      <c r="F72" s="2" t="s">
        <v>52</v>
      </c>
      <c r="G72" s="2" t="s">
        <v>300</v>
      </c>
      <c r="H72" s="7">
        <v>102</v>
      </c>
      <c r="I72" s="2" t="s">
        <v>58</v>
      </c>
      <c r="J72" s="2"/>
      <c r="K72">
        <v>85</v>
      </c>
    </row>
    <row r="73" spans="1:11" x14ac:dyDescent="0.3">
      <c r="A73" s="9" t="s">
        <v>778</v>
      </c>
      <c r="B73" s="9">
        <v>99138</v>
      </c>
      <c r="C73" s="9">
        <v>6</v>
      </c>
      <c r="D73" t="s">
        <v>891</v>
      </c>
      <c r="E73" s="7">
        <v>102</v>
      </c>
      <c r="F73" s="2" t="s">
        <v>52</v>
      </c>
      <c r="G73" s="2" t="s">
        <v>300</v>
      </c>
      <c r="H73" s="7">
        <v>102</v>
      </c>
      <c r="I73" s="2" t="s">
        <v>58</v>
      </c>
      <c r="J73" s="2"/>
      <c r="K73">
        <v>75</v>
      </c>
    </row>
    <row r="74" spans="1:11" x14ac:dyDescent="0.3">
      <c r="A74" s="9" t="s">
        <v>823</v>
      </c>
      <c r="B74" s="9">
        <v>70010</v>
      </c>
      <c r="C74" s="9">
        <v>0</v>
      </c>
      <c r="D74" t="s">
        <v>758</v>
      </c>
      <c r="E74" s="7">
        <v>102</v>
      </c>
      <c r="F74" s="2" t="s">
        <v>52</v>
      </c>
      <c r="G74" s="2" t="s">
        <v>300</v>
      </c>
      <c r="H74" s="7">
        <v>102</v>
      </c>
      <c r="I74" s="2" t="s">
        <v>58</v>
      </c>
      <c r="J74" s="2"/>
      <c r="K74">
        <v>125</v>
      </c>
    </row>
    <row r="75" spans="1:11" x14ac:dyDescent="0.3">
      <c r="A75" s="9" t="s">
        <v>597</v>
      </c>
      <c r="B75" s="9">
        <v>70011</v>
      </c>
      <c r="C75" s="9">
        <v>0</v>
      </c>
      <c r="D75" t="s">
        <v>598</v>
      </c>
      <c r="E75" s="7">
        <v>102</v>
      </c>
      <c r="F75" s="2" t="s">
        <v>52</v>
      </c>
      <c r="G75" s="2" t="s">
        <v>300</v>
      </c>
      <c r="H75" s="7">
        <v>102</v>
      </c>
      <c r="I75" s="2" t="s">
        <v>58</v>
      </c>
      <c r="J75" s="2"/>
      <c r="K75">
        <v>100</v>
      </c>
    </row>
    <row r="76" spans="1:11" x14ac:dyDescent="0.3">
      <c r="A76" s="9" t="s">
        <v>690</v>
      </c>
      <c r="B76" s="9">
        <v>73565</v>
      </c>
      <c r="C76" s="9">
        <v>0</v>
      </c>
      <c r="D76" t="s">
        <v>691</v>
      </c>
      <c r="E76" s="7">
        <v>102</v>
      </c>
      <c r="F76" s="2" t="s">
        <v>52</v>
      </c>
      <c r="G76" s="2" t="s">
        <v>300</v>
      </c>
      <c r="H76" s="7">
        <v>102</v>
      </c>
      <c r="I76" s="2" t="s">
        <v>53</v>
      </c>
      <c r="J76" s="2"/>
      <c r="K76">
        <v>150</v>
      </c>
    </row>
    <row r="77" spans="1:11" x14ac:dyDescent="0.3">
      <c r="A77" s="9" t="s">
        <v>781</v>
      </c>
      <c r="B77" s="9">
        <v>73490</v>
      </c>
      <c r="C77" s="9">
        <v>0</v>
      </c>
      <c r="D77" t="s">
        <v>896</v>
      </c>
      <c r="E77" s="7">
        <v>102</v>
      </c>
      <c r="F77" s="2" t="s">
        <v>52</v>
      </c>
      <c r="G77" s="2" t="s">
        <v>300</v>
      </c>
      <c r="H77" s="7">
        <v>102</v>
      </c>
      <c r="I77" s="2" t="s">
        <v>53</v>
      </c>
      <c r="J77" s="2"/>
      <c r="K77">
        <v>185</v>
      </c>
    </row>
    <row r="78" spans="1:11" x14ac:dyDescent="0.3">
      <c r="A78" s="9" t="s">
        <v>712</v>
      </c>
      <c r="B78" s="9">
        <v>99031</v>
      </c>
      <c r="C78" s="9">
        <v>91</v>
      </c>
      <c r="D78" t="s">
        <v>713</v>
      </c>
      <c r="E78" s="7">
        <v>102</v>
      </c>
      <c r="F78" s="2" t="s">
        <v>52</v>
      </c>
      <c r="G78" s="2" t="s">
        <v>300</v>
      </c>
      <c r="H78" s="7">
        <v>102</v>
      </c>
      <c r="I78" s="2" t="s">
        <v>53</v>
      </c>
      <c r="J78" s="2"/>
      <c r="K78">
        <v>10</v>
      </c>
    </row>
    <row r="79" spans="1:11" x14ac:dyDescent="0.3">
      <c r="A79" s="9" t="s">
        <v>793</v>
      </c>
      <c r="B79" s="9">
        <v>73260</v>
      </c>
      <c r="C79" s="9">
        <v>0</v>
      </c>
      <c r="D79" t="s">
        <v>899</v>
      </c>
      <c r="E79" s="7">
        <v>102</v>
      </c>
      <c r="F79" s="2" t="s">
        <v>52</v>
      </c>
      <c r="G79" s="2" t="s">
        <v>323</v>
      </c>
      <c r="H79" s="7">
        <v>102</v>
      </c>
      <c r="I79" s="2" t="s">
        <v>53</v>
      </c>
      <c r="J79" s="2"/>
      <c r="K79">
        <v>175</v>
      </c>
    </row>
    <row r="80" spans="1:11" x14ac:dyDescent="0.3">
      <c r="A80" s="9" t="s">
        <v>775</v>
      </c>
      <c r="B80" s="9">
        <v>73404</v>
      </c>
      <c r="C80" s="9">
        <v>0</v>
      </c>
      <c r="D80" t="s">
        <v>882</v>
      </c>
      <c r="E80" s="7">
        <v>102</v>
      </c>
      <c r="F80" s="2" t="s">
        <v>52</v>
      </c>
      <c r="G80" s="2" t="s">
        <v>323</v>
      </c>
      <c r="H80" s="7">
        <v>102</v>
      </c>
      <c r="I80" s="2" t="s">
        <v>53</v>
      </c>
      <c r="J80" s="2"/>
      <c r="K80">
        <v>170</v>
      </c>
    </row>
    <row r="81" spans="1:11" x14ac:dyDescent="0.3">
      <c r="A81" s="9" t="s">
        <v>789</v>
      </c>
      <c r="B81" s="9">
        <v>99178</v>
      </c>
      <c r="C81" s="9">
        <v>1</v>
      </c>
      <c r="D81" t="s">
        <v>885</v>
      </c>
      <c r="E81" s="7">
        <v>102</v>
      </c>
      <c r="F81" s="2" t="s">
        <v>52</v>
      </c>
      <c r="G81" s="2" t="s">
        <v>323</v>
      </c>
      <c r="H81" s="7">
        <v>102</v>
      </c>
      <c r="I81" s="2" t="s">
        <v>53</v>
      </c>
      <c r="J81" s="2"/>
      <c r="K81">
        <v>25</v>
      </c>
    </row>
    <row r="82" spans="1:11" x14ac:dyDescent="0.3">
      <c r="A82" s="9" t="s">
        <v>730</v>
      </c>
      <c r="B82" s="9">
        <v>99031</v>
      </c>
      <c r="C82" s="9">
        <v>191</v>
      </c>
      <c r="D82" t="s">
        <v>731</v>
      </c>
      <c r="E82" s="7">
        <v>102</v>
      </c>
      <c r="F82" s="2" t="s">
        <v>52</v>
      </c>
      <c r="G82" s="2" t="s">
        <v>300</v>
      </c>
      <c r="H82" s="7">
        <v>102</v>
      </c>
      <c r="I82" s="2" t="s">
        <v>53</v>
      </c>
      <c r="J82" s="2"/>
      <c r="K82">
        <v>30</v>
      </c>
    </row>
    <row r="83" spans="1:11" x14ac:dyDescent="0.3">
      <c r="A83" s="9" t="s">
        <v>791</v>
      </c>
      <c r="B83" s="9">
        <v>70883</v>
      </c>
      <c r="C83" s="9">
        <v>0</v>
      </c>
      <c r="D83" t="s">
        <v>887</v>
      </c>
      <c r="E83" s="7">
        <v>102</v>
      </c>
      <c r="F83" s="2" t="s">
        <v>52</v>
      </c>
      <c r="G83" s="2" t="s">
        <v>323</v>
      </c>
      <c r="H83" s="7">
        <v>102</v>
      </c>
      <c r="I83" s="2" t="s">
        <v>53</v>
      </c>
      <c r="J83" s="2"/>
      <c r="K83">
        <v>160</v>
      </c>
    </row>
    <row r="84" spans="1:11" x14ac:dyDescent="0.3">
      <c r="A84" s="9" t="s">
        <v>780</v>
      </c>
      <c r="B84" s="9">
        <v>99161</v>
      </c>
      <c r="C84" s="9">
        <v>106</v>
      </c>
      <c r="D84" t="s">
        <v>895</v>
      </c>
      <c r="E84" s="7">
        <v>102</v>
      </c>
      <c r="F84" s="2" t="s">
        <v>52</v>
      </c>
      <c r="G84" s="2" t="s">
        <v>300</v>
      </c>
      <c r="H84" s="7">
        <v>102</v>
      </c>
      <c r="I84" s="2" t="s">
        <v>53</v>
      </c>
      <c r="J84" s="2"/>
      <c r="K84">
        <v>15</v>
      </c>
    </row>
    <row r="85" spans="1:11" x14ac:dyDescent="0.3">
      <c r="A85" s="9" t="s">
        <v>732</v>
      </c>
      <c r="B85" s="9">
        <v>99061</v>
      </c>
      <c r="C85" s="9">
        <v>106</v>
      </c>
      <c r="D85" t="s">
        <v>733</v>
      </c>
      <c r="E85" s="7">
        <v>102</v>
      </c>
      <c r="F85" s="2" t="s">
        <v>52</v>
      </c>
      <c r="G85" s="2" t="s">
        <v>300</v>
      </c>
      <c r="H85" s="7">
        <v>102</v>
      </c>
      <c r="I85" s="2" t="s">
        <v>53</v>
      </c>
      <c r="J85" s="2"/>
      <c r="K85">
        <v>20</v>
      </c>
    </row>
    <row r="86" spans="1:11" x14ac:dyDescent="0.3">
      <c r="A86" s="9" t="s">
        <v>834</v>
      </c>
      <c r="B86" s="9">
        <v>70900</v>
      </c>
      <c r="C86" s="9">
        <v>1</v>
      </c>
      <c r="D86" t="s">
        <v>1298</v>
      </c>
      <c r="E86" s="7">
        <v>102</v>
      </c>
      <c r="F86" s="2" t="s">
        <v>59</v>
      </c>
      <c r="G86" s="2" t="s">
        <v>300</v>
      </c>
      <c r="H86" s="7">
        <v>102</v>
      </c>
      <c r="I86" s="2" t="s">
        <v>58</v>
      </c>
      <c r="J86" s="2"/>
      <c r="K86">
        <v>45</v>
      </c>
    </row>
    <row r="87" spans="1:11" x14ac:dyDescent="0.3">
      <c r="A87" s="9" t="s">
        <v>818</v>
      </c>
      <c r="B87" s="9">
        <v>70897</v>
      </c>
      <c r="C87" s="9">
        <v>1</v>
      </c>
      <c r="D87" t="s">
        <v>1197</v>
      </c>
      <c r="E87" s="7">
        <v>102</v>
      </c>
      <c r="F87" s="2" t="s">
        <v>59</v>
      </c>
      <c r="G87" s="2" t="s">
        <v>300</v>
      </c>
      <c r="H87" s="7">
        <v>102</v>
      </c>
      <c r="I87" s="2" t="s">
        <v>58</v>
      </c>
      <c r="J87" s="2"/>
      <c r="K87">
        <v>55</v>
      </c>
    </row>
    <row r="88" spans="1:11" x14ac:dyDescent="0.3">
      <c r="A88" s="9" t="s">
        <v>824</v>
      </c>
      <c r="B88" s="9">
        <v>70900</v>
      </c>
      <c r="C88" s="9">
        <v>4</v>
      </c>
      <c r="D88" t="s">
        <v>1262</v>
      </c>
      <c r="E88" s="7">
        <v>102</v>
      </c>
      <c r="F88" s="2" t="s">
        <v>59</v>
      </c>
      <c r="G88" s="2" t="s">
        <v>300</v>
      </c>
      <c r="H88" s="7">
        <v>102</v>
      </c>
      <c r="I88" s="2" t="s">
        <v>58</v>
      </c>
      <c r="J88" s="2"/>
      <c r="K88">
        <v>100</v>
      </c>
    </row>
    <row r="89" spans="1:11" x14ac:dyDescent="0.3">
      <c r="A89" s="9" t="s">
        <v>826</v>
      </c>
      <c r="B89" s="9">
        <v>70901</v>
      </c>
      <c r="C89" s="9">
        <v>1</v>
      </c>
      <c r="D89" t="s">
        <v>1266</v>
      </c>
      <c r="E89" s="7">
        <v>102</v>
      </c>
      <c r="F89" s="2" t="s">
        <v>59</v>
      </c>
      <c r="G89" s="2" t="s">
        <v>300</v>
      </c>
      <c r="H89" s="7">
        <v>102</v>
      </c>
      <c r="I89" s="2" t="s">
        <v>58</v>
      </c>
      <c r="J89" s="2"/>
      <c r="K89">
        <v>90</v>
      </c>
    </row>
    <row r="90" spans="1:11" x14ac:dyDescent="0.3">
      <c r="A90" s="9" t="s">
        <v>815</v>
      </c>
      <c r="B90" s="9">
        <v>73415</v>
      </c>
      <c r="C90" s="9">
        <v>4</v>
      </c>
      <c r="D90" t="s">
        <v>1180</v>
      </c>
      <c r="E90" s="7">
        <v>102</v>
      </c>
      <c r="F90" s="2" t="s">
        <v>59</v>
      </c>
      <c r="G90" s="2" t="s">
        <v>300</v>
      </c>
      <c r="H90" s="7">
        <v>102</v>
      </c>
      <c r="I90" s="2" t="s">
        <v>58</v>
      </c>
      <c r="J90" s="2"/>
      <c r="K90">
        <v>105</v>
      </c>
    </row>
    <row r="91" spans="1:11" x14ac:dyDescent="0.3">
      <c r="A91" s="9" t="s">
        <v>830</v>
      </c>
      <c r="B91" s="9">
        <v>70900</v>
      </c>
      <c r="C91" s="9">
        <v>0</v>
      </c>
      <c r="D91" t="s">
        <v>1290</v>
      </c>
      <c r="E91" s="7">
        <v>102</v>
      </c>
      <c r="F91" s="2" t="s">
        <v>59</v>
      </c>
      <c r="G91" s="2" t="s">
        <v>300</v>
      </c>
      <c r="H91" s="7">
        <v>102</v>
      </c>
      <c r="I91" s="2" t="s">
        <v>58</v>
      </c>
      <c r="J91" s="2"/>
      <c r="K91">
        <v>25</v>
      </c>
    </row>
    <row r="92" spans="1:11" x14ac:dyDescent="0.3">
      <c r="A92" s="9" t="s">
        <v>825</v>
      </c>
      <c r="B92" s="9">
        <v>73474</v>
      </c>
      <c r="C92" s="9">
        <v>1</v>
      </c>
      <c r="D92" t="s">
        <v>1264</v>
      </c>
      <c r="E92" s="7">
        <v>102</v>
      </c>
      <c r="F92" s="2" t="s">
        <v>59</v>
      </c>
      <c r="G92" s="2" t="s">
        <v>300</v>
      </c>
      <c r="H92" s="7">
        <v>102</v>
      </c>
      <c r="I92" s="2" t="s">
        <v>58</v>
      </c>
      <c r="J92" s="2"/>
      <c r="K92">
        <v>85</v>
      </c>
    </row>
    <row r="93" spans="1:11" x14ac:dyDescent="0.3">
      <c r="A93" s="9" t="s">
        <v>814</v>
      </c>
      <c r="B93" s="9">
        <v>73474</v>
      </c>
      <c r="C93" s="9">
        <v>0</v>
      </c>
      <c r="D93" t="s">
        <v>1176</v>
      </c>
      <c r="E93" s="7">
        <v>102</v>
      </c>
      <c r="F93" s="2" t="s">
        <v>59</v>
      </c>
      <c r="G93" s="2" t="s">
        <v>300</v>
      </c>
      <c r="H93" s="7">
        <v>102</v>
      </c>
      <c r="I93" s="2" t="s">
        <v>58</v>
      </c>
      <c r="J93" s="2"/>
      <c r="K93">
        <v>80</v>
      </c>
    </row>
    <row r="94" spans="1:11" x14ac:dyDescent="0.3">
      <c r="A94" s="9" t="s">
        <v>835</v>
      </c>
      <c r="B94" s="9">
        <v>70897</v>
      </c>
      <c r="C94" s="9">
        <v>2</v>
      </c>
      <c r="D94" t="s">
        <v>1314</v>
      </c>
      <c r="E94" s="7">
        <v>102</v>
      </c>
      <c r="F94" s="2" t="s">
        <v>59</v>
      </c>
      <c r="G94" s="2" t="s">
        <v>300</v>
      </c>
      <c r="H94" s="7">
        <v>102</v>
      </c>
      <c r="I94" s="2" t="s">
        <v>58</v>
      </c>
      <c r="J94" s="2"/>
      <c r="K94">
        <v>70</v>
      </c>
    </row>
    <row r="95" spans="1:11" x14ac:dyDescent="0.3">
      <c r="A95" s="9" t="s">
        <v>812</v>
      </c>
      <c r="B95" s="9">
        <v>70900</v>
      </c>
      <c r="C95" s="9">
        <v>2</v>
      </c>
      <c r="D95" t="s">
        <v>1168</v>
      </c>
      <c r="E95" s="7">
        <v>102</v>
      </c>
      <c r="F95" s="2" t="s">
        <v>59</v>
      </c>
      <c r="G95" s="2" t="s">
        <v>300</v>
      </c>
      <c r="H95" s="7">
        <v>102</v>
      </c>
      <c r="I95" s="2" t="s">
        <v>58</v>
      </c>
      <c r="J95" s="2"/>
      <c r="K95">
        <v>95</v>
      </c>
    </row>
    <row r="96" spans="1:11" x14ac:dyDescent="0.3">
      <c r="A96" s="9" t="s">
        <v>811</v>
      </c>
      <c r="B96" s="9">
        <v>73415</v>
      </c>
      <c r="C96" s="9">
        <v>0</v>
      </c>
      <c r="D96" t="s">
        <v>1165</v>
      </c>
      <c r="E96" s="7">
        <v>102</v>
      </c>
      <c r="F96" s="2" t="s">
        <v>59</v>
      </c>
      <c r="G96" s="2" t="s">
        <v>300</v>
      </c>
      <c r="H96" s="7">
        <v>102</v>
      </c>
      <c r="I96" s="2" t="s">
        <v>58</v>
      </c>
      <c r="J96" s="2"/>
      <c r="K96">
        <v>30</v>
      </c>
    </row>
    <row r="97" spans="1:11" x14ac:dyDescent="0.3">
      <c r="A97" s="9" t="s">
        <v>822</v>
      </c>
      <c r="B97" s="9">
        <v>73584</v>
      </c>
      <c r="C97" s="9">
        <v>0</v>
      </c>
      <c r="D97" t="s">
        <v>1249</v>
      </c>
      <c r="E97" s="7">
        <v>102</v>
      </c>
      <c r="F97" s="2" t="s">
        <v>59</v>
      </c>
      <c r="G97" s="2" t="s">
        <v>300</v>
      </c>
      <c r="H97" s="7">
        <v>102</v>
      </c>
      <c r="I97" s="2" t="s">
        <v>58</v>
      </c>
      <c r="J97" s="2"/>
      <c r="K97">
        <v>40</v>
      </c>
    </row>
    <row r="98" spans="1:11" x14ac:dyDescent="0.3">
      <c r="A98" s="9" t="s">
        <v>833</v>
      </c>
      <c r="B98" s="9">
        <v>70900</v>
      </c>
      <c r="C98" s="9">
        <v>3</v>
      </c>
      <c r="D98" t="s">
        <v>1296</v>
      </c>
      <c r="E98" s="7">
        <v>102</v>
      </c>
      <c r="F98" s="2" t="s">
        <v>59</v>
      </c>
      <c r="G98" s="2" t="s">
        <v>300</v>
      </c>
      <c r="H98" s="7">
        <v>102</v>
      </c>
      <c r="I98" s="2" t="s">
        <v>58</v>
      </c>
      <c r="J98" s="2"/>
      <c r="K98">
        <v>115</v>
      </c>
    </row>
    <row r="99" spans="1:11" x14ac:dyDescent="0.3">
      <c r="A99" s="9" t="s">
        <v>832</v>
      </c>
      <c r="B99" s="9">
        <v>70904</v>
      </c>
      <c r="C99" s="9">
        <v>0</v>
      </c>
      <c r="D99" t="s">
        <v>1294</v>
      </c>
      <c r="E99" s="7">
        <v>102</v>
      </c>
      <c r="F99" s="2" t="s">
        <v>59</v>
      </c>
      <c r="G99" s="2" t="s">
        <v>300</v>
      </c>
      <c r="H99" s="7">
        <v>102</v>
      </c>
      <c r="I99" s="2" t="s">
        <v>58</v>
      </c>
      <c r="J99" s="2"/>
      <c r="K99">
        <v>60</v>
      </c>
    </row>
    <row r="100" spans="1:11" x14ac:dyDescent="0.3">
      <c r="A100" s="9" t="s">
        <v>831</v>
      </c>
      <c r="B100" s="9">
        <v>70901</v>
      </c>
      <c r="C100" s="9">
        <v>0</v>
      </c>
      <c r="D100" t="s">
        <v>1292</v>
      </c>
      <c r="E100" s="7">
        <v>102</v>
      </c>
      <c r="F100" s="2" t="s">
        <v>59</v>
      </c>
      <c r="G100" s="2" t="s">
        <v>300</v>
      </c>
      <c r="H100" s="7">
        <v>102</v>
      </c>
      <c r="I100" s="2" t="s">
        <v>58</v>
      </c>
      <c r="J100" s="2"/>
      <c r="K100">
        <v>75</v>
      </c>
    </row>
    <row r="101" spans="1:11" x14ac:dyDescent="0.3">
      <c r="A101" s="9" t="s">
        <v>829</v>
      </c>
      <c r="B101" s="9">
        <v>70897</v>
      </c>
      <c r="C101" s="9">
        <v>0</v>
      </c>
      <c r="D101" t="s">
        <v>1286</v>
      </c>
      <c r="E101" s="7">
        <v>102</v>
      </c>
      <c r="F101" s="2" t="s">
        <v>59</v>
      </c>
      <c r="G101" s="2" t="s">
        <v>300</v>
      </c>
      <c r="H101" s="7">
        <v>102</v>
      </c>
      <c r="I101" s="2" t="s">
        <v>58</v>
      </c>
      <c r="J101" s="2"/>
      <c r="K101">
        <v>65</v>
      </c>
    </row>
    <row r="102" spans="1:11" x14ac:dyDescent="0.3">
      <c r="A102" s="9" t="s">
        <v>819</v>
      </c>
      <c r="B102" s="9">
        <v>73502</v>
      </c>
      <c r="C102" s="9">
        <v>0</v>
      </c>
      <c r="D102" t="s">
        <v>1204</v>
      </c>
      <c r="E102" s="7">
        <v>102</v>
      </c>
      <c r="F102" s="2" t="s">
        <v>59</v>
      </c>
      <c r="G102" s="2" t="s">
        <v>300</v>
      </c>
      <c r="H102" s="7">
        <v>102</v>
      </c>
      <c r="I102" s="2" t="s">
        <v>58</v>
      </c>
      <c r="J102" s="2"/>
      <c r="K102">
        <v>35</v>
      </c>
    </row>
    <row r="103" spans="1:11" x14ac:dyDescent="0.3">
      <c r="A103" s="9" t="s">
        <v>851</v>
      </c>
      <c r="B103" s="9">
        <v>73047</v>
      </c>
      <c r="C103" s="9">
        <v>0</v>
      </c>
      <c r="D103" t="s">
        <v>852</v>
      </c>
      <c r="E103" s="7">
        <v>102</v>
      </c>
      <c r="F103" s="2" t="s">
        <v>59</v>
      </c>
      <c r="G103" s="2" t="s">
        <v>300</v>
      </c>
      <c r="H103" s="7">
        <v>102</v>
      </c>
      <c r="I103" s="2" t="s">
        <v>53</v>
      </c>
      <c r="J103" s="2"/>
      <c r="K103">
        <v>5</v>
      </c>
    </row>
    <row r="104" spans="1:11" x14ac:dyDescent="0.3">
      <c r="A104" s="9" t="s">
        <v>694</v>
      </c>
      <c r="B104" s="9">
        <v>73577</v>
      </c>
      <c r="C104" s="9">
        <v>0</v>
      </c>
      <c r="D104" t="s">
        <v>695</v>
      </c>
      <c r="E104" s="7">
        <v>102</v>
      </c>
      <c r="F104" s="2" t="s">
        <v>59</v>
      </c>
      <c r="G104" s="2" t="s">
        <v>300</v>
      </c>
      <c r="H104" s="7">
        <v>102</v>
      </c>
      <c r="I104" s="2" t="s">
        <v>53</v>
      </c>
      <c r="J104" s="2"/>
      <c r="K104">
        <v>180</v>
      </c>
    </row>
    <row r="105" spans="1:11" x14ac:dyDescent="0.3">
      <c r="A105" s="9" t="s">
        <v>785</v>
      </c>
      <c r="B105" s="9">
        <v>70613</v>
      </c>
      <c r="C105" s="9">
        <v>3</v>
      </c>
      <c r="D105" t="s">
        <v>904</v>
      </c>
      <c r="E105" s="7">
        <v>102</v>
      </c>
      <c r="F105" s="2" t="s">
        <v>59</v>
      </c>
      <c r="G105" s="2" t="s">
        <v>297</v>
      </c>
      <c r="H105" s="7">
        <v>102</v>
      </c>
      <c r="I105" s="2" t="s">
        <v>53</v>
      </c>
      <c r="J105" s="2"/>
      <c r="K105">
        <v>190</v>
      </c>
    </row>
    <row r="106" spans="1:11" x14ac:dyDescent="0.3">
      <c r="A106" s="9" t="s">
        <v>855</v>
      </c>
      <c r="B106" s="9">
        <v>99161</v>
      </c>
      <c r="C106" s="9">
        <v>96</v>
      </c>
      <c r="D106" t="s">
        <v>856</v>
      </c>
      <c r="E106" s="7">
        <v>102</v>
      </c>
      <c r="F106" s="2" t="s">
        <v>60</v>
      </c>
      <c r="G106" s="2" t="s">
        <v>300</v>
      </c>
      <c r="H106" s="7">
        <v>102</v>
      </c>
      <c r="I106" s="2" t="s">
        <v>52</v>
      </c>
      <c r="J106" s="2"/>
      <c r="K106">
        <v>65</v>
      </c>
    </row>
    <row r="107" spans="1:11" x14ac:dyDescent="0.3">
      <c r="A107" s="9" t="s">
        <v>670</v>
      </c>
      <c r="B107" s="9">
        <v>73508</v>
      </c>
      <c r="C107" s="9">
        <v>0</v>
      </c>
      <c r="D107" t="s">
        <v>671</v>
      </c>
      <c r="E107" s="7">
        <v>102</v>
      </c>
      <c r="F107" s="2" t="s">
        <v>60</v>
      </c>
      <c r="G107" s="2" t="s">
        <v>300</v>
      </c>
      <c r="H107" s="7">
        <v>102</v>
      </c>
      <c r="I107" s="2" t="s">
        <v>52</v>
      </c>
      <c r="J107" s="2"/>
      <c r="K107">
        <v>5</v>
      </c>
    </row>
    <row r="108" spans="1:11" x14ac:dyDescent="0.3">
      <c r="A108" s="9" t="s">
        <v>857</v>
      </c>
      <c r="B108" s="9">
        <v>73588</v>
      </c>
      <c r="C108" s="9">
        <v>0</v>
      </c>
      <c r="D108" t="s">
        <v>858</v>
      </c>
      <c r="E108" s="7">
        <v>102</v>
      </c>
      <c r="F108" s="2" t="s">
        <v>60</v>
      </c>
      <c r="G108" s="2" t="s">
        <v>300</v>
      </c>
      <c r="H108" s="7">
        <v>102</v>
      </c>
      <c r="I108" s="2" t="s">
        <v>52</v>
      </c>
      <c r="J108" s="2"/>
      <c r="K108">
        <v>35</v>
      </c>
    </row>
    <row r="109" spans="1:11" x14ac:dyDescent="0.3">
      <c r="A109" s="9" t="s">
        <v>640</v>
      </c>
      <c r="B109" s="9">
        <v>71128</v>
      </c>
      <c r="C109" s="9">
        <v>0</v>
      </c>
      <c r="D109" t="s">
        <v>642</v>
      </c>
      <c r="E109" s="7">
        <v>102</v>
      </c>
      <c r="F109" s="2" t="s">
        <v>60</v>
      </c>
      <c r="G109" s="2" t="s">
        <v>300</v>
      </c>
      <c r="H109" s="7">
        <v>102</v>
      </c>
      <c r="I109" s="2" t="s">
        <v>52</v>
      </c>
      <c r="J109" s="2"/>
      <c r="K109">
        <v>15</v>
      </c>
    </row>
    <row r="110" spans="1:11" x14ac:dyDescent="0.3">
      <c r="A110" s="9" t="s">
        <v>853</v>
      </c>
      <c r="B110" s="9">
        <v>99152</v>
      </c>
      <c r="C110" s="9">
        <v>1</v>
      </c>
      <c r="D110" t="s">
        <v>854</v>
      </c>
      <c r="E110" s="7">
        <v>102</v>
      </c>
      <c r="F110" s="2" t="s">
        <v>60</v>
      </c>
      <c r="G110" s="2" t="s">
        <v>300</v>
      </c>
      <c r="H110" s="7">
        <v>102</v>
      </c>
      <c r="I110" s="2" t="s">
        <v>52</v>
      </c>
      <c r="J110" s="2"/>
      <c r="K110">
        <v>30</v>
      </c>
    </row>
    <row r="111" spans="1:11" x14ac:dyDescent="0.3">
      <c r="A111" s="9" t="s">
        <v>643</v>
      </c>
      <c r="B111" s="9">
        <v>71132</v>
      </c>
      <c r="C111" s="9">
        <v>0</v>
      </c>
      <c r="D111" t="s">
        <v>644</v>
      </c>
      <c r="E111" s="7">
        <v>102</v>
      </c>
      <c r="F111" s="2" t="s">
        <v>60</v>
      </c>
      <c r="G111" s="2" t="s">
        <v>300</v>
      </c>
      <c r="H111" s="7">
        <v>102</v>
      </c>
      <c r="I111" s="2" t="s">
        <v>52</v>
      </c>
      <c r="J111" s="2"/>
      <c r="K111">
        <v>80</v>
      </c>
    </row>
    <row r="112" spans="1:11" x14ac:dyDescent="0.3">
      <c r="A112" s="9" t="s">
        <v>738</v>
      </c>
      <c r="B112" s="9">
        <v>99062</v>
      </c>
      <c r="C112" s="9">
        <v>96</v>
      </c>
      <c r="D112" t="s">
        <v>739</v>
      </c>
      <c r="E112" s="7">
        <v>102</v>
      </c>
      <c r="F112" s="2" t="s">
        <v>60</v>
      </c>
      <c r="G112" s="2" t="s">
        <v>300</v>
      </c>
      <c r="H112" s="7">
        <v>102</v>
      </c>
      <c r="I112" s="2" t="s">
        <v>52</v>
      </c>
      <c r="J112" s="2"/>
      <c r="K112">
        <v>60</v>
      </c>
    </row>
    <row r="113" spans="1:11" x14ac:dyDescent="0.3">
      <c r="A113" s="9" t="s">
        <v>724</v>
      </c>
      <c r="B113" s="9">
        <v>99031</v>
      </c>
      <c r="C113" s="9">
        <v>180</v>
      </c>
      <c r="D113" t="s">
        <v>725</v>
      </c>
      <c r="E113" s="7">
        <v>102</v>
      </c>
      <c r="F113" s="2" t="s">
        <v>60</v>
      </c>
      <c r="G113" s="2" t="s">
        <v>300</v>
      </c>
      <c r="H113" s="7">
        <v>102</v>
      </c>
      <c r="I113" s="2" t="s">
        <v>52</v>
      </c>
      <c r="J113" s="2"/>
      <c r="K113">
        <v>50</v>
      </c>
    </row>
    <row r="114" spans="1:11" x14ac:dyDescent="0.3">
      <c r="A114" s="9" t="s">
        <v>722</v>
      </c>
      <c r="B114" s="9">
        <v>99031</v>
      </c>
      <c r="C114" s="9">
        <v>172</v>
      </c>
      <c r="D114" t="s">
        <v>723</v>
      </c>
      <c r="E114" s="7">
        <v>102</v>
      </c>
      <c r="F114" s="2" t="s">
        <v>60</v>
      </c>
      <c r="G114" s="2" t="s">
        <v>300</v>
      </c>
      <c r="H114" s="7">
        <v>102</v>
      </c>
      <c r="I114" s="2" t="s">
        <v>52</v>
      </c>
      <c r="J114" s="2"/>
      <c r="K114">
        <v>20</v>
      </c>
    </row>
    <row r="115" spans="1:11" x14ac:dyDescent="0.3">
      <c r="A115" s="9" t="s">
        <v>808</v>
      </c>
      <c r="B115" s="9">
        <v>99212</v>
      </c>
      <c r="C115" s="9">
        <v>3</v>
      </c>
      <c r="D115" t="s">
        <v>908</v>
      </c>
      <c r="E115" s="7">
        <v>102</v>
      </c>
      <c r="F115" s="2" t="s">
        <v>60</v>
      </c>
      <c r="G115" s="2" t="s">
        <v>323</v>
      </c>
      <c r="H115" s="7">
        <v>102</v>
      </c>
      <c r="I115" s="2" t="s">
        <v>52</v>
      </c>
      <c r="J115" s="2"/>
      <c r="K115">
        <v>55</v>
      </c>
    </row>
    <row r="116" spans="1:11" x14ac:dyDescent="0.3">
      <c r="A116" s="9" t="s">
        <v>672</v>
      </c>
      <c r="B116" s="9">
        <v>73516</v>
      </c>
      <c r="C116" s="9">
        <v>0</v>
      </c>
      <c r="D116" t="s">
        <v>673</v>
      </c>
      <c r="E116" s="7">
        <v>102</v>
      </c>
      <c r="F116" s="2" t="s">
        <v>60</v>
      </c>
      <c r="G116" s="2" t="s">
        <v>300</v>
      </c>
      <c r="H116" s="7">
        <v>102</v>
      </c>
      <c r="I116" s="2" t="s">
        <v>52</v>
      </c>
      <c r="J116" s="2"/>
      <c r="K116">
        <v>45</v>
      </c>
    </row>
  </sheetData>
  <phoneticPr fontId="1" type="noConversion"/>
  <conditionalFormatting sqref="H117:H1048576 H2:I116">
    <cfRule type="expression" dxfId="15" priority="2">
      <formula>H2&lt;&gt;E2</formula>
    </cfRule>
  </conditionalFormatting>
  <pageMargins left="0.7" right="0.7" top="0.75" bottom="0.75" header="0.3" footer="0.3"/>
  <pageSetup scale="81" orientation="landscape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07792-1B71-4F19-B312-61222DD31FC0}">
  <sheetPr codeName="Sheet18">
    <pageSetUpPr fitToPage="1"/>
  </sheetPr>
  <dimension ref="A1:L35"/>
  <sheetViews>
    <sheetView tabSelected="1" view="pageBreakPreview" zoomScale="60" zoomScaleNormal="100" workbookViewId="0">
      <selection activeCell="K10" sqref="K10"/>
    </sheetView>
  </sheetViews>
  <sheetFormatPr defaultRowHeight="14.4" x14ac:dyDescent="0.3"/>
  <cols>
    <col min="1" max="1" width="10.109375" style="9" bestFit="1" customWidth="1"/>
    <col min="2" max="2" width="10.33203125" style="3" bestFit="1" customWidth="1"/>
    <col min="3" max="3" width="11.44140625" style="3" bestFit="1" customWidth="1"/>
    <col min="4" max="4" width="32.88671875" bestFit="1" customWidth="1"/>
    <col min="5" max="5" width="12.5546875" style="7" customWidth="1"/>
    <col min="6" max="6" width="16.21875" style="7" customWidth="1"/>
    <col min="7" max="7" width="10.77734375" style="7" customWidth="1"/>
    <col min="8" max="8" width="12.109375" style="7" customWidth="1"/>
    <col min="9" max="9" width="17" style="7" customWidth="1"/>
    <col min="10" max="10" width="12.6640625" style="7" customWidth="1"/>
    <col min="11" max="12" width="11" style="7" customWidth="1"/>
    <col min="13" max="13" width="11.44140625" bestFit="1" customWidth="1"/>
    <col min="14" max="14" width="20.21875" bestFit="1" customWidth="1"/>
    <col min="15" max="15" width="18.5546875" bestFit="1" customWidth="1"/>
    <col min="16" max="16" width="17.33203125" bestFit="1" customWidth="1"/>
    <col min="17" max="17" width="19.5546875" bestFit="1" customWidth="1"/>
    <col min="18" max="18" width="20.21875" bestFit="1" customWidth="1"/>
    <col min="19" max="19" width="20.44140625" bestFit="1" customWidth="1"/>
    <col min="20" max="20" width="28.21875" bestFit="1" customWidth="1"/>
    <col min="21" max="21" width="22.44140625" bestFit="1" customWidth="1"/>
    <col min="22" max="22" width="23.6640625" bestFit="1" customWidth="1"/>
    <col min="23" max="23" width="22.88671875" bestFit="1" customWidth="1"/>
    <col min="24" max="24" width="17.33203125" bestFit="1" customWidth="1"/>
  </cols>
  <sheetData>
    <row r="1" spans="1:12" ht="27" customHeight="1" x14ac:dyDescent="0.3">
      <c r="A1" s="8" t="s">
        <v>270</v>
      </c>
      <c r="B1" s="8" t="s">
        <v>272</v>
      </c>
      <c r="C1" s="8" t="s">
        <v>273</v>
      </c>
      <c r="D1" s="4" t="s">
        <v>10</v>
      </c>
      <c r="E1" s="4" t="s">
        <v>276</v>
      </c>
      <c r="F1" s="4" t="s">
        <v>8</v>
      </c>
      <c r="G1" s="4" t="s">
        <v>13</v>
      </c>
      <c r="H1" s="4" t="s">
        <v>275</v>
      </c>
      <c r="I1" s="4" t="s">
        <v>5</v>
      </c>
      <c r="J1" s="4" t="s">
        <v>65</v>
      </c>
      <c r="K1" t="s">
        <v>9</v>
      </c>
      <c r="L1" s="4" t="s">
        <v>74</v>
      </c>
    </row>
    <row r="2" spans="1:12" x14ac:dyDescent="0.3">
      <c r="A2" s="9" t="s">
        <v>1209</v>
      </c>
      <c r="B2" s="9">
        <v>73521</v>
      </c>
      <c r="C2" s="9">
        <v>0</v>
      </c>
      <c r="D2" t="s">
        <v>1210</v>
      </c>
      <c r="E2" s="7">
        <v>102</v>
      </c>
      <c r="F2" s="2" t="s">
        <v>58</v>
      </c>
      <c r="G2" s="2" t="s">
        <v>303</v>
      </c>
      <c r="H2" s="7">
        <v>102</v>
      </c>
      <c r="I2" s="2" t="s">
        <v>53</v>
      </c>
      <c r="J2" s="2"/>
      <c r="K2">
        <v>165</v>
      </c>
    </row>
    <row r="3" spans="1:12" x14ac:dyDescent="0.3">
      <c r="A3" s="9" t="s">
        <v>1235</v>
      </c>
      <c r="B3" s="9">
        <v>233684</v>
      </c>
      <c r="C3" s="9">
        <v>0</v>
      </c>
      <c r="D3" t="s">
        <v>1236</v>
      </c>
      <c r="E3" s="7">
        <v>102</v>
      </c>
      <c r="F3" s="2" t="s">
        <v>58</v>
      </c>
      <c r="G3" s="2" t="s">
        <v>303</v>
      </c>
      <c r="H3" s="7">
        <v>102</v>
      </c>
      <c r="I3" s="2" t="s">
        <v>53</v>
      </c>
      <c r="J3" s="2"/>
      <c r="K3">
        <v>155</v>
      </c>
    </row>
    <row r="4" spans="1:12" x14ac:dyDescent="0.3">
      <c r="A4" s="9" t="s">
        <v>684</v>
      </c>
      <c r="B4" s="9">
        <v>73544</v>
      </c>
      <c r="C4" s="9">
        <v>0</v>
      </c>
      <c r="D4" t="s">
        <v>685</v>
      </c>
      <c r="E4" s="7">
        <v>102</v>
      </c>
      <c r="F4" s="2" t="s">
        <v>58</v>
      </c>
      <c r="G4" s="2" t="s">
        <v>303</v>
      </c>
      <c r="H4" s="7">
        <v>102</v>
      </c>
      <c r="I4" s="2" t="s">
        <v>53</v>
      </c>
      <c r="J4" s="2"/>
      <c r="K4">
        <v>160</v>
      </c>
    </row>
    <row r="5" spans="1:12" x14ac:dyDescent="0.3">
      <c r="A5" s="9" t="s">
        <v>799</v>
      </c>
      <c r="B5" s="9">
        <v>73568</v>
      </c>
      <c r="C5" s="9">
        <v>0</v>
      </c>
      <c r="D5" t="s">
        <v>861</v>
      </c>
      <c r="E5" s="7">
        <v>102</v>
      </c>
      <c r="F5" s="2" t="s">
        <v>58</v>
      </c>
      <c r="G5" s="2" t="s">
        <v>298</v>
      </c>
      <c r="H5" s="7">
        <v>102</v>
      </c>
      <c r="I5" s="2" t="s">
        <v>52</v>
      </c>
      <c r="J5" s="2"/>
      <c r="K5">
        <v>15</v>
      </c>
    </row>
    <row r="6" spans="1:12" x14ac:dyDescent="0.3">
      <c r="A6" s="9" t="s">
        <v>802</v>
      </c>
      <c r="B6" s="9">
        <v>71131</v>
      </c>
      <c r="C6" s="9">
        <v>0</v>
      </c>
      <c r="D6" t="s">
        <v>860</v>
      </c>
      <c r="E6" s="7">
        <v>102</v>
      </c>
      <c r="F6" s="2" t="s">
        <v>58</v>
      </c>
      <c r="G6" s="2" t="s">
        <v>302</v>
      </c>
      <c r="H6" s="7">
        <v>102</v>
      </c>
      <c r="I6" s="2" t="s">
        <v>52</v>
      </c>
      <c r="J6" s="2"/>
      <c r="K6">
        <v>10</v>
      </c>
    </row>
    <row r="7" spans="1:12" x14ac:dyDescent="0.3">
      <c r="A7" s="9" t="s">
        <v>764</v>
      </c>
      <c r="B7" s="9">
        <v>73499</v>
      </c>
      <c r="C7" s="9">
        <v>0</v>
      </c>
      <c r="D7" t="s">
        <v>519</v>
      </c>
      <c r="E7" s="7">
        <v>102</v>
      </c>
      <c r="F7" s="2" t="s">
        <v>58</v>
      </c>
      <c r="G7" s="2" t="s">
        <v>302</v>
      </c>
      <c r="H7" s="7">
        <v>102</v>
      </c>
      <c r="I7" s="2" t="s">
        <v>52</v>
      </c>
      <c r="J7" s="2"/>
      <c r="K7">
        <v>60</v>
      </c>
    </row>
    <row r="8" spans="1:12" x14ac:dyDescent="0.3">
      <c r="A8" s="9" t="s">
        <v>842</v>
      </c>
      <c r="B8" s="9">
        <v>99192</v>
      </c>
      <c r="C8" s="9">
        <v>3</v>
      </c>
      <c r="D8" t="s">
        <v>881</v>
      </c>
      <c r="E8" s="7">
        <v>102</v>
      </c>
      <c r="F8" s="2" t="s">
        <v>53</v>
      </c>
      <c r="G8" s="2" t="s">
        <v>299</v>
      </c>
      <c r="H8" s="7">
        <v>101</v>
      </c>
      <c r="I8" s="2" t="s">
        <v>53</v>
      </c>
      <c r="J8" s="2"/>
      <c r="K8">
        <v>10</v>
      </c>
    </row>
    <row r="9" spans="1:12" x14ac:dyDescent="0.3">
      <c r="A9" s="9" t="s">
        <v>800</v>
      </c>
      <c r="B9" s="9">
        <v>73611</v>
      </c>
      <c r="C9" s="9">
        <v>0</v>
      </c>
      <c r="D9" t="s">
        <v>864</v>
      </c>
      <c r="E9" s="7">
        <v>102</v>
      </c>
      <c r="F9" s="2" t="s">
        <v>53</v>
      </c>
      <c r="G9" s="2" t="s">
        <v>299</v>
      </c>
      <c r="H9" s="7">
        <v>102</v>
      </c>
      <c r="I9" s="2" t="s">
        <v>60</v>
      </c>
      <c r="J9" s="2"/>
      <c r="K9">
        <v>1</v>
      </c>
    </row>
    <row r="10" spans="1:12" x14ac:dyDescent="0.3">
      <c r="A10" s="9" t="s">
        <v>865</v>
      </c>
      <c r="B10" s="9">
        <v>73404</v>
      </c>
      <c r="C10" s="9">
        <v>2</v>
      </c>
      <c r="D10" t="s">
        <v>866</v>
      </c>
      <c r="E10" s="7">
        <v>102</v>
      </c>
      <c r="F10" s="2" t="s">
        <v>53</v>
      </c>
      <c r="G10" s="2" t="s">
        <v>303</v>
      </c>
      <c r="H10" s="7">
        <v>102</v>
      </c>
      <c r="I10" s="2" t="s">
        <v>60</v>
      </c>
      <c r="J10" s="2"/>
      <c r="K10">
        <v>110</v>
      </c>
    </row>
    <row r="11" spans="1:12" x14ac:dyDescent="0.3">
      <c r="A11" s="9" t="s">
        <v>839</v>
      </c>
      <c r="B11" s="9">
        <v>70618</v>
      </c>
      <c r="C11" s="9">
        <v>0</v>
      </c>
      <c r="D11" t="s">
        <v>873</v>
      </c>
      <c r="E11" s="7">
        <v>102</v>
      </c>
      <c r="F11" s="2" t="s">
        <v>53</v>
      </c>
      <c r="G11" s="2" t="s">
        <v>298</v>
      </c>
      <c r="H11" s="7">
        <v>102</v>
      </c>
      <c r="I11" s="2" t="s">
        <v>60</v>
      </c>
      <c r="J11" s="2"/>
      <c r="K11">
        <v>25</v>
      </c>
    </row>
    <row r="12" spans="1:12" x14ac:dyDescent="0.3">
      <c r="A12" s="9" t="s">
        <v>871</v>
      </c>
      <c r="B12" s="9">
        <v>71160</v>
      </c>
      <c r="C12" s="9">
        <v>0</v>
      </c>
      <c r="D12" t="s">
        <v>872</v>
      </c>
      <c r="E12" s="7">
        <v>102</v>
      </c>
      <c r="F12" s="2" t="s">
        <v>53</v>
      </c>
      <c r="G12" s="2" t="s">
        <v>303</v>
      </c>
      <c r="H12" s="7">
        <v>102</v>
      </c>
      <c r="I12" s="2" t="s">
        <v>60</v>
      </c>
      <c r="J12" s="2"/>
      <c r="K12">
        <v>60</v>
      </c>
    </row>
    <row r="13" spans="1:12" x14ac:dyDescent="0.3">
      <c r="A13" s="9" t="s">
        <v>836</v>
      </c>
      <c r="B13" s="9">
        <v>73535</v>
      </c>
      <c r="C13" s="9">
        <v>0</v>
      </c>
      <c r="D13" t="s">
        <v>880</v>
      </c>
      <c r="E13" s="7">
        <v>102</v>
      </c>
      <c r="F13" s="2" t="s">
        <v>53</v>
      </c>
      <c r="G13" s="2" t="s">
        <v>302</v>
      </c>
      <c r="H13" s="7">
        <v>102</v>
      </c>
      <c r="I13" s="2" t="s">
        <v>60</v>
      </c>
      <c r="J13" s="2"/>
      <c r="K13">
        <v>210</v>
      </c>
    </row>
    <row r="14" spans="1:12" x14ac:dyDescent="0.3">
      <c r="A14" s="9" t="s">
        <v>647</v>
      </c>
      <c r="B14" s="9">
        <v>71255</v>
      </c>
      <c r="C14" s="9">
        <v>0</v>
      </c>
      <c r="D14" t="s">
        <v>648</v>
      </c>
      <c r="E14" s="7">
        <v>102</v>
      </c>
      <c r="F14" s="2" t="s">
        <v>53</v>
      </c>
      <c r="G14" s="2" t="s">
        <v>298</v>
      </c>
      <c r="H14" s="7">
        <v>102</v>
      </c>
      <c r="I14" s="2" t="s">
        <v>60</v>
      </c>
      <c r="J14" s="2"/>
      <c r="K14">
        <v>190</v>
      </c>
    </row>
    <row r="15" spans="1:12" x14ac:dyDescent="0.3">
      <c r="A15" s="9" t="s">
        <v>680</v>
      </c>
      <c r="B15" s="9">
        <v>73540</v>
      </c>
      <c r="C15" s="9">
        <v>0</v>
      </c>
      <c r="D15" t="s">
        <v>681</v>
      </c>
      <c r="E15" s="7">
        <v>102</v>
      </c>
      <c r="F15" s="2" t="s">
        <v>53</v>
      </c>
      <c r="G15" s="2" t="s">
        <v>302</v>
      </c>
      <c r="H15" s="7">
        <v>102</v>
      </c>
      <c r="I15" s="2" t="s">
        <v>60</v>
      </c>
      <c r="J15" s="2"/>
      <c r="K15">
        <v>185</v>
      </c>
    </row>
    <row r="16" spans="1:12" x14ac:dyDescent="0.3">
      <c r="A16" s="9" t="s">
        <v>841</v>
      </c>
      <c r="B16" s="9">
        <v>99047</v>
      </c>
      <c r="C16" s="9">
        <v>9</v>
      </c>
      <c r="D16" t="s">
        <v>878</v>
      </c>
      <c r="E16" s="7">
        <v>102</v>
      </c>
      <c r="F16" s="2" t="s">
        <v>53</v>
      </c>
      <c r="G16" s="2" t="s">
        <v>302</v>
      </c>
      <c r="H16" s="7">
        <v>102</v>
      </c>
      <c r="I16" s="2" t="s">
        <v>60</v>
      </c>
      <c r="J16" s="2"/>
      <c r="K16">
        <v>175</v>
      </c>
    </row>
    <row r="17" spans="1:11" x14ac:dyDescent="0.3">
      <c r="A17" s="9" t="s">
        <v>686</v>
      </c>
      <c r="B17" s="9">
        <v>73549</v>
      </c>
      <c r="C17" s="9">
        <v>0</v>
      </c>
      <c r="D17" t="s">
        <v>687</v>
      </c>
      <c r="E17" s="7">
        <v>102</v>
      </c>
      <c r="F17" s="2" t="s">
        <v>53</v>
      </c>
      <c r="G17" s="2" t="s">
        <v>303</v>
      </c>
      <c r="H17" s="7">
        <v>102</v>
      </c>
      <c r="I17" s="2" t="s">
        <v>60</v>
      </c>
      <c r="J17" s="2"/>
      <c r="K17">
        <v>205</v>
      </c>
    </row>
    <row r="18" spans="1:11" x14ac:dyDescent="0.3">
      <c r="A18" s="9" t="s">
        <v>876</v>
      </c>
      <c r="B18" s="9">
        <v>71251</v>
      </c>
      <c r="C18" s="9">
        <v>0</v>
      </c>
      <c r="D18" t="s">
        <v>877</v>
      </c>
      <c r="E18" s="7">
        <v>102</v>
      </c>
      <c r="F18" s="2" t="s">
        <v>53</v>
      </c>
      <c r="G18" s="2" t="s">
        <v>303</v>
      </c>
      <c r="H18" s="7">
        <v>102</v>
      </c>
      <c r="I18" s="2" t="s">
        <v>60</v>
      </c>
      <c r="J18" s="2"/>
      <c r="K18">
        <v>195</v>
      </c>
    </row>
    <row r="19" spans="1:11" x14ac:dyDescent="0.3">
      <c r="A19" s="9" t="s">
        <v>837</v>
      </c>
      <c r="B19" s="9">
        <v>73558</v>
      </c>
      <c r="C19" s="9">
        <v>0</v>
      </c>
      <c r="D19" t="s">
        <v>879</v>
      </c>
      <c r="E19" s="7">
        <v>102</v>
      </c>
      <c r="F19" s="2" t="s">
        <v>53</v>
      </c>
      <c r="G19" s="2" t="s">
        <v>298</v>
      </c>
      <c r="H19" s="7">
        <v>102</v>
      </c>
      <c r="I19" s="2" t="s">
        <v>60</v>
      </c>
      <c r="J19" s="2"/>
      <c r="K19">
        <v>40</v>
      </c>
    </row>
    <row r="20" spans="1:11" x14ac:dyDescent="0.3">
      <c r="A20" s="9" t="s">
        <v>874</v>
      </c>
      <c r="B20" s="9">
        <v>99052</v>
      </c>
      <c r="C20" s="9">
        <v>9</v>
      </c>
      <c r="D20" t="s">
        <v>875</v>
      </c>
      <c r="E20" s="7">
        <v>102</v>
      </c>
      <c r="F20" s="2" t="s">
        <v>53</v>
      </c>
      <c r="G20" s="2" t="s">
        <v>303</v>
      </c>
      <c r="H20" s="7">
        <v>102</v>
      </c>
      <c r="I20" s="2" t="s">
        <v>60</v>
      </c>
      <c r="J20" s="2"/>
      <c r="K20">
        <v>35</v>
      </c>
    </row>
    <row r="21" spans="1:11" x14ac:dyDescent="0.3">
      <c r="A21" s="9" t="s">
        <v>659</v>
      </c>
      <c r="B21" s="9">
        <v>73394</v>
      </c>
      <c r="C21" s="9">
        <v>0</v>
      </c>
      <c r="D21" t="s">
        <v>660</v>
      </c>
      <c r="E21" s="7">
        <v>102</v>
      </c>
      <c r="F21" s="2" t="s">
        <v>52</v>
      </c>
      <c r="G21" s="2" t="s">
        <v>298</v>
      </c>
      <c r="H21" s="7">
        <v>102</v>
      </c>
      <c r="I21" s="2" t="s">
        <v>58</v>
      </c>
      <c r="J21" s="2"/>
      <c r="K21">
        <v>95</v>
      </c>
    </row>
    <row r="22" spans="1:11" x14ac:dyDescent="0.3">
      <c r="A22" s="9" t="s">
        <v>649</v>
      </c>
      <c r="B22" s="9">
        <v>71366</v>
      </c>
      <c r="C22" s="9">
        <v>0</v>
      </c>
      <c r="D22" t="s">
        <v>650</v>
      </c>
      <c r="E22" s="7">
        <v>102</v>
      </c>
      <c r="F22" s="2" t="s">
        <v>52</v>
      </c>
      <c r="G22" s="2" t="s">
        <v>303</v>
      </c>
      <c r="H22" s="7">
        <v>102</v>
      </c>
      <c r="I22" s="2" t="s">
        <v>58</v>
      </c>
      <c r="J22" s="2"/>
      <c r="K22">
        <v>70</v>
      </c>
    </row>
    <row r="23" spans="1:11" x14ac:dyDescent="0.3">
      <c r="A23" s="9" t="s">
        <v>897</v>
      </c>
      <c r="B23" s="9">
        <v>73591</v>
      </c>
      <c r="C23" s="9">
        <v>0</v>
      </c>
      <c r="D23" t="s">
        <v>898</v>
      </c>
      <c r="E23" s="7">
        <v>102</v>
      </c>
      <c r="F23" s="2" t="s">
        <v>52</v>
      </c>
      <c r="G23" s="2" t="s">
        <v>303</v>
      </c>
      <c r="H23" s="7">
        <v>102</v>
      </c>
      <c r="I23" s="2" t="s">
        <v>53</v>
      </c>
      <c r="J23" s="2"/>
      <c r="K23">
        <v>35</v>
      </c>
    </row>
    <row r="24" spans="1:11" x14ac:dyDescent="0.3">
      <c r="A24" s="9" t="s">
        <v>783</v>
      </c>
      <c r="B24" s="9">
        <v>73561</v>
      </c>
      <c r="C24" s="9">
        <v>0</v>
      </c>
      <c r="D24" t="s">
        <v>902</v>
      </c>
      <c r="E24" s="7">
        <v>102</v>
      </c>
      <c r="F24" s="2" t="s">
        <v>52</v>
      </c>
      <c r="G24" s="2" t="s">
        <v>299</v>
      </c>
      <c r="H24" s="7">
        <v>102</v>
      </c>
      <c r="I24" s="2" t="s">
        <v>53</v>
      </c>
      <c r="J24" s="2"/>
      <c r="K24">
        <v>180</v>
      </c>
    </row>
    <row r="25" spans="1:11" x14ac:dyDescent="0.3">
      <c r="A25" s="9" t="s">
        <v>784</v>
      </c>
      <c r="B25" s="9">
        <v>73575</v>
      </c>
      <c r="C25" s="9">
        <v>0</v>
      </c>
      <c r="D25" t="s">
        <v>901</v>
      </c>
      <c r="E25" s="7">
        <v>102</v>
      </c>
      <c r="F25" s="2" t="s">
        <v>52</v>
      </c>
      <c r="G25" s="2" t="s">
        <v>299</v>
      </c>
      <c r="H25" s="7">
        <v>102</v>
      </c>
      <c r="I25" s="2" t="s">
        <v>53</v>
      </c>
      <c r="J25" s="2"/>
      <c r="K25">
        <v>155</v>
      </c>
    </row>
    <row r="26" spans="1:11" x14ac:dyDescent="0.3">
      <c r="A26" s="9" t="s">
        <v>792</v>
      </c>
      <c r="B26" s="9">
        <v>99120</v>
      </c>
      <c r="C26" s="9">
        <v>3</v>
      </c>
      <c r="D26" t="s">
        <v>888</v>
      </c>
      <c r="E26" s="7">
        <v>102</v>
      </c>
      <c r="F26" s="2" t="s">
        <v>52</v>
      </c>
      <c r="G26" s="2" t="s">
        <v>302</v>
      </c>
      <c r="H26" s="7">
        <v>102</v>
      </c>
      <c r="I26" s="2" t="s">
        <v>53</v>
      </c>
      <c r="J26" s="2"/>
      <c r="K26">
        <v>165</v>
      </c>
    </row>
    <row r="27" spans="1:11" x14ac:dyDescent="0.3">
      <c r="A27" s="9" t="s">
        <v>790</v>
      </c>
      <c r="B27" s="9">
        <v>70876</v>
      </c>
      <c r="C27" s="9">
        <v>0</v>
      </c>
      <c r="D27" t="s">
        <v>886</v>
      </c>
      <c r="E27" s="7">
        <v>102</v>
      </c>
      <c r="F27" s="2" t="s">
        <v>52</v>
      </c>
      <c r="G27" s="2" t="s">
        <v>302</v>
      </c>
      <c r="H27" s="7">
        <v>102</v>
      </c>
      <c r="I27" s="2" t="s">
        <v>53</v>
      </c>
      <c r="J27" s="2"/>
      <c r="K27">
        <v>5</v>
      </c>
    </row>
    <row r="28" spans="1:11" x14ac:dyDescent="0.3">
      <c r="A28" s="9" t="s">
        <v>788</v>
      </c>
      <c r="B28" s="9">
        <v>99047</v>
      </c>
      <c r="C28" s="9">
        <v>7</v>
      </c>
      <c r="D28" t="s">
        <v>889</v>
      </c>
      <c r="E28" s="7">
        <v>102</v>
      </c>
      <c r="F28" s="2" t="s">
        <v>52</v>
      </c>
      <c r="G28" s="2" t="s">
        <v>302</v>
      </c>
      <c r="H28" s="7">
        <v>102</v>
      </c>
      <c r="I28" s="2" t="s">
        <v>53</v>
      </c>
      <c r="J28" s="2"/>
      <c r="K28">
        <v>190</v>
      </c>
    </row>
    <row r="29" spans="1:11" x14ac:dyDescent="0.3">
      <c r="A29" s="9" t="s">
        <v>1199</v>
      </c>
      <c r="B29" s="9">
        <v>73596</v>
      </c>
      <c r="C29" s="9">
        <v>0</v>
      </c>
      <c r="D29" t="s">
        <v>1200</v>
      </c>
      <c r="E29" s="7">
        <v>102</v>
      </c>
      <c r="F29" s="2" t="s">
        <v>59</v>
      </c>
      <c r="G29" s="2" t="s">
        <v>303</v>
      </c>
      <c r="H29" s="7">
        <v>102</v>
      </c>
      <c r="I29" s="2" t="s">
        <v>58</v>
      </c>
      <c r="J29" s="2"/>
      <c r="K29">
        <v>50</v>
      </c>
    </row>
    <row r="30" spans="1:11" x14ac:dyDescent="0.3">
      <c r="A30" s="9" t="s">
        <v>801</v>
      </c>
      <c r="B30" s="9">
        <v>70324</v>
      </c>
      <c r="C30" s="9">
        <v>0</v>
      </c>
      <c r="D30" t="s">
        <v>913</v>
      </c>
      <c r="E30" s="7">
        <v>102</v>
      </c>
      <c r="F30" s="2" t="s">
        <v>60</v>
      </c>
      <c r="G30" s="2" t="s">
        <v>299</v>
      </c>
      <c r="H30" s="7">
        <v>102</v>
      </c>
      <c r="I30" s="2" t="s">
        <v>52</v>
      </c>
      <c r="J30" s="2"/>
      <c r="K30">
        <v>40</v>
      </c>
    </row>
    <row r="31" spans="1:11" x14ac:dyDescent="0.3">
      <c r="A31" s="9" t="s">
        <v>914</v>
      </c>
      <c r="B31" s="9">
        <v>73404</v>
      </c>
      <c r="C31" s="9">
        <v>3</v>
      </c>
      <c r="D31" t="s">
        <v>915</v>
      </c>
      <c r="E31" s="7">
        <v>102</v>
      </c>
      <c r="F31" s="2" t="s">
        <v>60</v>
      </c>
      <c r="G31" s="2" t="s">
        <v>303</v>
      </c>
      <c r="H31" s="7">
        <v>102</v>
      </c>
      <c r="I31" s="2" t="s">
        <v>52</v>
      </c>
      <c r="J31" s="2"/>
      <c r="K31">
        <v>90</v>
      </c>
    </row>
    <row r="32" spans="1:11" x14ac:dyDescent="0.3">
      <c r="A32" s="9" t="s">
        <v>911</v>
      </c>
      <c r="B32" s="9">
        <v>70021</v>
      </c>
      <c r="C32" s="9">
        <v>0</v>
      </c>
      <c r="D32" t="s">
        <v>912</v>
      </c>
      <c r="E32" s="7">
        <v>102</v>
      </c>
      <c r="F32" s="2" t="s">
        <v>60</v>
      </c>
      <c r="G32" s="2" t="s">
        <v>303</v>
      </c>
      <c r="H32" s="7">
        <v>102</v>
      </c>
      <c r="I32" s="2" t="s">
        <v>52</v>
      </c>
      <c r="J32" s="2"/>
      <c r="K32">
        <v>70</v>
      </c>
    </row>
    <row r="33" spans="1:11" x14ac:dyDescent="0.3">
      <c r="A33" s="9" t="s">
        <v>909</v>
      </c>
      <c r="B33" s="9">
        <v>73524</v>
      </c>
      <c r="C33" s="9">
        <v>0</v>
      </c>
      <c r="D33" t="s">
        <v>910</v>
      </c>
      <c r="E33" s="7">
        <v>102</v>
      </c>
      <c r="F33" s="2" t="s">
        <v>60</v>
      </c>
      <c r="G33" s="2" t="s">
        <v>303</v>
      </c>
      <c r="H33" s="7">
        <v>102</v>
      </c>
      <c r="I33" s="2" t="s">
        <v>52</v>
      </c>
      <c r="J33" s="2"/>
      <c r="K33">
        <v>10</v>
      </c>
    </row>
    <row r="34" spans="1:11" x14ac:dyDescent="0.3">
      <c r="A34" s="9" t="s">
        <v>803</v>
      </c>
      <c r="B34" s="9">
        <v>71136</v>
      </c>
      <c r="C34" s="9">
        <v>0</v>
      </c>
      <c r="D34" t="s">
        <v>916</v>
      </c>
      <c r="E34" s="7">
        <v>102</v>
      </c>
      <c r="F34" s="2" t="s">
        <v>60</v>
      </c>
      <c r="G34" s="2" t="s">
        <v>302</v>
      </c>
      <c r="H34" s="7">
        <v>102</v>
      </c>
      <c r="I34" s="2" t="s">
        <v>52</v>
      </c>
      <c r="J34" s="2"/>
      <c r="K34">
        <v>75</v>
      </c>
    </row>
    <row r="35" spans="1:11" x14ac:dyDescent="0.3">
      <c r="A35" s="9" t="s">
        <v>906</v>
      </c>
      <c r="B35" s="9">
        <v>73404</v>
      </c>
      <c r="C35" s="9">
        <v>1</v>
      </c>
      <c r="D35" t="s">
        <v>907</v>
      </c>
      <c r="E35" s="7">
        <v>102</v>
      </c>
      <c r="F35" s="2" t="s">
        <v>60</v>
      </c>
      <c r="G35" s="2" t="s">
        <v>303</v>
      </c>
      <c r="H35" s="7">
        <v>102</v>
      </c>
      <c r="I35" s="2" t="s">
        <v>52</v>
      </c>
      <c r="J35" s="2"/>
      <c r="K35">
        <v>25</v>
      </c>
    </row>
  </sheetData>
  <phoneticPr fontId="1" type="noConversion"/>
  <conditionalFormatting sqref="H2:H35">
    <cfRule type="expression" dxfId="14" priority="2">
      <formula>H2&lt;&gt; E2</formula>
    </cfRule>
  </conditionalFormatting>
  <conditionalFormatting sqref="I2:I35">
    <cfRule type="expression" dxfId="13" priority="1">
      <formula>I2&lt;&gt;F2</formula>
    </cfRule>
  </conditionalFormatting>
  <pageMargins left="0.7" right="0.7" top="0.75" bottom="0.75" header="0.3" footer="0.3"/>
  <pageSetup scale="91" fitToHeight="0" orientation="landscape" r:id="rId1"/>
  <colBreaks count="1" manualBreakCount="1">
    <brk id="9" max="1048575" man="1"/>
  </colBreaks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93B7E-09BD-40CF-B625-DDBBDEC8E935}">
  <sheetPr codeName="Sheet22"/>
  <dimension ref="A4:J251"/>
  <sheetViews>
    <sheetView topLeftCell="A15" zoomScaleNormal="100" workbookViewId="0">
      <selection activeCell="F1" sqref="F1"/>
    </sheetView>
  </sheetViews>
  <sheetFormatPr defaultRowHeight="14.4" x14ac:dyDescent="0.3"/>
  <cols>
    <col min="1" max="1" width="9.33203125" style="9" customWidth="1"/>
    <col min="2" max="2" width="9" style="9" customWidth="1"/>
    <col min="3" max="3" width="8.5546875" style="7" customWidth="1"/>
    <col min="4" max="4" width="10.88671875" style="7" customWidth="1"/>
    <col min="5" max="5" width="33.88671875" style="7" customWidth="1"/>
    <col min="6" max="6" width="10.88671875" customWidth="1"/>
    <col min="7" max="7" width="10.33203125" style="7" customWidth="1"/>
    <col min="8" max="8" width="11" style="7" customWidth="1"/>
    <col min="9" max="9" width="16" style="7" customWidth="1"/>
    <col min="10" max="10" width="15.5546875" style="7" customWidth="1"/>
  </cols>
  <sheetData>
    <row r="4" spans="1:10" ht="43.8" customHeight="1" x14ac:dyDescent="0.3">
      <c r="A4" s="4" t="s">
        <v>272</v>
      </c>
      <c r="B4" s="4" t="s">
        <v>273</v>
      </c>
      <c r="C4" s="4" t="s">
        <v>379</v>
      </c>
      <c r="D4" s="4" t="s">
        <v>380</v>
      </c>
      <c r="E4" s="4" t="s">
        <v>10</v>
      </c>
      <c r="F4" s="4" t="s">
        <v>13</v>
      </c>
      <c r="G4" s="4" t="s">
        <v>32</v>
      </c>
      <c r="H4" s="4" t="s">
        <v>277</v>
      </c>
      <c r="I4" s="4" t="s">
        <v>279</v>
      </c>
      <c r="J4"/>
    </row>
    <row r="5" spans="1:10" x14ac:dyDescent="0.3">
      <c r="A5" s="9">
        <v>99031</v>
      </c>
      <c r="B5" s="9">
        <v>61</v>
      </c>
      <c r="C5" s="7" t="s">
        <v>664</v>
      </c>
      <c r="D5" s="7" t="s">
        <v>664</v>
      </c>
      <c r="E5" t="s">
        <v>707</v>
      </c>
      <c r="F5" s="7" t="s">
        <v>300</v>
      </c>
      <c r="G5" s="7">
        <v>8</v>
      </c>
      <c r="J5"/>
    </row>
    <row r="6" spans="1:10" x14ac:dyDescent="0.3">
      <c r="A6" s="9">
        <v>99189</v>
      </c>
      <c r="B6" s="9">
        <v>2</v>
      </c>
      <c r="C6" s="7" t="s">
        <v>664</v>
      </c>
      <c r="D6" s="7" t="s">
        <v>664</v>
      </c>
      <c r="E6" t="s">
        <v>751</v>
      </c>
      <c r="F6" s="7" t="s">
        <v>323</v>
      </c>
      <c r="G6" s="7">
        <v>2</v>
      </c>
      <c r="J6"/>
    </row>
    <row r="7" spans="1:10" x14ac:dyDescent="0.3">
      <c r="A7" s="9">
        <v>99062</v>
      </c>
      <c r="B7" s="9">
        <v>37</v>
      </c>
      <c r="C7" s="7" t="s">
        <v>664</v>
      </c>
      <c r="D7" s="7" t="s">
        <v>664</v>
      </c>
      <c r="E7" t="s">
        <v>737</v>
      </c>
      <c r="F7" s="7" t="s">
        <v>300</v>
      </c>
      <c r="G7" s="7">
        <v>77</v>
      </c>
      <c r="H7" s="7">
        <v>10</v>
      </c>
      <c r="I7" s="7">
        <v>9</v>
      </c>
      <c r="J7"/>
    </row>
    <row r="8" spans="1:10" x14ac:dyDescent="0.3">
      <c r="A8" s="9">
        <v>73470</v>
      </c>
      <c r="B8" s="9">
        <v>3</v>
      </c>
      <c r="C8" s="7" t="s">
        <v>664</v>
      </c>
      <c r="D8" s="7" t="s">
        <v>664</v>
      </c>
      <c r="E8" t="s">
        <v>665</v>
      </c>
      <c r="F8" s="7" t="s">
        <v>300</v>
      </c>
      <c r="G8" s="7">
        <v>2</v>
      </c>
      <c r="J8"/>
    </row>
    <row r="9" spans="1:10" x14ac:dyDescent="0.3">
      <c r="A9" s="9">
        <v>73578</v>
      </c>
      <c r="B9" s="9">
        <v>0</v>
      </c>
      <c r="C9" s="7" t="s">
        <v>664</v>
      </c>
      <c r="D9" s="7" t="s">
        <v>664</v>
      </c>
      <c r="E9" t="s">
        <v>697</v>
      </c>
      <c r="F9" s="7" t="s">
        <v>300</v>
      </c>
      <c r="G9" s="7">
        <v>4</v>
      </c>
      <c r="J9"/>
    </row>
    <row r="10" spans="1:10" x14ac:dyDescent="0.3">
      <c r="A10" s="9">
        <v>73517</v>
      </c>
      <c r="B10" s="9">
        <v>0</v>
      </c>
      <c r="C10" s="7" t="s">
        <v>664</v>
      </c>
      <c r="D10" s="7" t="s">
        <v>664</v>
      </c>
      <c r="E10" t="s">
        <v>675</v>
      </c>
      <c r="F10" s="7" t="s">
        <v>300</v>
      </c>
      <c r="G10" s="7">
        <v>4</v>
      </c>
      <c r="J10"/>
    </row>
    <row r="11" spans="1:10" x14ac:dyDescent="0.3">
      <c r="A11" s="9">
        <v>73544</v>
      </c>
      <c r="B11" s="9">
        <v>0</v>
      </c>
      <c r="C11" s="7" t="s">
        <v>664</v>
      </c>
      <c r="D11" s="7" t="s">
        <v>664</v>
      </c>
      <c r="E11" t="s">
        <v>685</v>
      </c>
      <c r="F11" s="7" t="s">
        <v>303</v>
      </c>
      <c r="G11" s="7">
        <v>4</v>
      </c>
      <c r="J11"/>
    </row>
    <row r="12" spans="1:10" x14ac:dyDescent="0.3">
      <c r="A12" s="9">
        <v>99189</v>
      </c>
      <c r="B12" s="9">
        <v>3</v>
      </c>
      <c r="C12" s="7" t="s">
        <v>664</v>
      </c>
      <c r="D12" s="7" t="s">
        <v>664</v>
      </c>
      <c r="E12" t="s">
        <v>753</v>
      </c>
      <c r="F12" s="7" t="s">
        <v>323</v>
      </c>
      <c r="G12" s="7">
        <v>2</v>
      </c>
      <c r="J12"/>
    </row>
    <row r="13" spans="1:10" x14ac:dyDescent="0.3">
      <c r="A13" s="9">
        <v>99031</v>
      </c>
      <c r="B13" s="9">
        <v>89</v>
      </c>
      <c r="C13" s="7" t="s">
        <v>664</v>
      </c>
      <c r="D13" s="7" t="s">
        <v>664</v>
      </c>
      <c r="E13" t="s">
        <v>709</v>
      </c>
      <c r="F13" s="7" t="s">
        <v>300</v>
      </c>
      <c r="G13" s="7">
        <v>4</v>
      </c>
      <c r="J13"/>
    </row>
    <row r="14" spans="1:10" x14ac:dyDescent="0.3">
      <c r="A14" s="9">
        <v>73595</v>
      </c>
      <c r="B14" s="9">
        <v>0</v>
      </c>
      <c r="C14" s="7" t="s">
        <v>664</v>
      </c>
      <c r="D14" s="7" t="s">
        <v>664</v>
      </c>
      <c r="E14" t="s">
        <v>703</v>
      </c>
      <c r="F14" s="7" t="s">
        <v>300</v>
      </c>
      <c r="G14" s="7">
        <v>2</v>
      </c>
      <c r="J14"/>
    </row>
    <row r="15" spans="1:10" x14ac:dyDescent="0.3">
      <c r="A15" s="9">
        <v>99031</v>
      </c>
      <c r="B15" s="9">
        <v>181</v>
      </c>
      <c r="C15" s="7" t="s">
        <v>664</v>
      </c>
      <c r="D15" s="7" t="s">
        <v>664</v>
      </c>
      <c r="E15" t="s">
        <v>727</v>
      </c>
      <c r="F15" s="7" t="s">
        <v>300</v>
      </c>
      <c r="G15" s="7">
        <v>8</v>
      </c>
      <c r="J15"/>
    </row>
    <row r="16" spans="1:10" x14ac:dyDescent="0.3">
      <c r="A16" s="9">
        <v>99031</v>
      </c>
      <c r="B16" s="9">
        <v>90</v>
      </c>
      <c r="C16" s="7" t="s">
        <v>664</v>
      </c>
      <c r="D16" s="7" t="s">
        <v>664</v>
      </c>
      <c r="E16" t="s">
        <v>711</v>
      </c>
      <c r="F16" s="7" t="s">
        <v>300</v>
      </c>
      <c r="G16" s="7">
        <v>6</v>
      </c>
      <c r="J16"/>
    </row>
    <row r="17" spans="1:10" x14ac:dyDescent="0.3">
      <c r="A17" s="9">
        <v>99031</v>
      </c>
      <c r="B17" s="9">
        <v>190</v>
      </c>
      <c r="C17" s="7" t="s">
        <v>664</v>
      </c>
      <c r="D17" s="7" t="s">
        <v>664</v>
      </c>
      <c r="E17" t="s">
        <v>729</v>
      </c>
      <c r="F17" s="7" t="s">
        <v>300</v>
      </c>
      <c r="G17" s="7">
        <v>38</v>
      </c>
      <c r="H17" s="7">
        <v>1</v>
      </c>
      <c r="I17" s="7">
        <v>8</v>
      </c>
      <c r="J17"/>
    </row>
    <row r="18" spans="1:10" x14ac:dyDescent="0.3">
      <c r="A18" s="9">
        <v>99189</v>
      </c>
      <c r="B18" s="9">
        <v>1</v>
      </c>
      <c r="C18" s="7" t="s">
        <v>664</v>
      </c>
      <c r="D18" s="7" t="s">
        <v>664</v>
      </c>
      <c r="E18" t="s">
        <v>749</v>
      </c>
      <c r="F18" s="7" t="s">
        <v>300</v>
      </c>
      <c r="G18" s="7">
        <v>2</v>
      </c>
      <c r="H18" s="7">
        <v>2</v>
      </c>
      <c r="I18" s="7">
        <v>8</v>
      </c>
      <c r="J18"/>
    </row>
    <row r="19" spans="1:10" x14ac:dyDescent="0.3">
      <c r="A19" s="9">
        <v>99031</v>
      </c>
      <c r="B19" s="9">
        <v>97</v>
      </c>
      <c r="C19" s="7" t="s">
        <v>664</v>
      </c>
      <c r="D19" s="7" t="s">
        <v>664</v>
      </c>
      <c r="E19" t="s">
        <v>719</v>
      </c>
      <c r="F19" s="7" t="s">
        <v>300</v>
      </c>
      <c r="G19" s="7">
        <v>2</v>
      </c>
      <c r="J19"/>
    </row>
    <row r="20" spans="1:10" x14ac:dyDescent="0.3">
      <c r="A20" s="9">
        <v>99031</v>
      </c>
      <c r="B20" s="9">
        <v>189</v>
      </c>
      <c r="C20" s="7" t="s">
        <v>630</v>
      </c>
      <c r="D20" s="7" t="s">
        <v>664</v>
      </c>
      <c r="E20" t="s">
        <v>612</v>
      </c>
      <c r="F20" s="7" t="s">
        <v>300</v>
      </c>
      <c r="G20" s="7">
        <v>4</v>
      </c>
      <c r="J20"/>
    </row>
    <row r="21" spans="1:10" x14ac:dyDescent="0.3">
      <c r="A21" s="9">
        <v>73577</v>
      </c>
      <c r="B21" s="9">
        <v>0</v>
      </c>
      <c r="C21" s="7" t="s">
        <v>630</v>
      </c>
      <c r="D21" s="7" t="s">
        <v>632</v>
      </c>
      <c r="E21" t="s">
        <v>695</v>
      </c>
      <c r="F21" s="7" t="s">
        <v>300</v>
      </c>
      <c r="G21" s="7">
        <v>8</v>
      </c>
      <c r="J21"/>
    </row>
    <row r="22" spans="1:10" x14ac:dyDescent="0.3">
      <c r="A22" s="9">
        <v>73610</v>
      </c>
      <c r="B22" s="9">
        <v>0</v>
      </c>
      <c r="C22" s="7" t="s">
        <v>630</v>
      </c>
      <c r="D22" s="7" t="s">
        <v>632</v>
      </c>
      <c r="E22" t="s">
        <v>705</v>
      </c>
      <c r="F22" s="7" t="s">
        <v>300</v>
      </c>
      <c r="G22" s="7">
        <v>2258</v>
      </c>
      <c r="H22" s="7">
        <v>18</v>
      </c>
      <c r="I22" s="7">
        <v>290</v>
      </c>
      <c r="J22"/>
    </row>
    <row r="23" spans="1:10" x14ac:dyDescent="0.3">
      <c r="A23" s="9">
        <v>73565</v>
      </c>
      <c r="B23" s="9">
        <v>0</v>
      </c>
      <c r="C23" s="7" t="s">
        <v>630</v>
      </c>
      <c r="D23" s="7" t="s">
        <v>629</v>
      </c>
      <c r="E23" t="s">
        <v>691</v>
      </c>
      <c r="F23" s="7" t="s">
        <v>300</v>
      </c>
      <c r="G23" s="7">
        <v>2</v>
      </c>
      <c r="J23"/>
    </row>
    <row r="24" spans="1:10" x14ac:dyDescent="0.3">
      <c r="A24" s="9">
        <v>73557</v>
      </c>
      <c r="B24" s="9">
        <v>0</v>
      </c>
      <c r="C24" s="7" t="s">
        <v>630</v>
      </c>
      <c r="D24" s="7" t="s">
        <v>629</v>
      </c>
      <c r="E24" t="s">
        <v>689</v>
      </c>
      <c r="F24" s="7" t="s">
        <v>300</v>
      </c>
      <c r="G24" s="7">
        <v>12</v>
      </c>
      <c r="J24"/>
    </row>
    <row r="25" spans="1:10" x14ac:dyDescent="0.3">
      <c r="A25" s="9">
        <v>99031</v>
      </c>
      <c r="B25" s="9">
        <v>191</v>
      </c>
      <c r="C25" s="7" t="s">
        <v>630</v>
      </c>
      <c r="D25" s="7" t="s">
        <v>629</v>
      </c>
      <c r="E25" t="s">
        <v>731</v>
      </c>
      <c r="F25" s="7" t="s">
        <v>300</v>
      </c>
      <c r="G25" s="7">
        <v>8</v>
      </c>
      <c r="I25" s="7">
        <v>1</v>
      </c>
      <c r="J25"/>
    </row>
    <row r="26" spans="1:10" x14ac:dyDescent="0.3">
      <c r="A26" s="9">
        <v>70897</v>
      </c>
      <c r="B26" s="9">
        <v>4</v>
      </c>
      <c r="C26" s="7" t="s">
        <v>630</v>
      </c>
      <c r="D26" s="7" t="s">
        <v>629</v>
      </c>
      <c r="E26" t="s">
        <v>639</v>
      </c>
      <c r="F26" s="7" t="s">
        <v>300</v>
      </c>
      <c r="G26" s="7">
        <v>2</v>
      </c>
      <c r="J26"/>
    </row>
    <row r="27" spans="1:10" x14ac:dyDescent="0.3">
      <c r="A27" s="9">
        <v>71366</v>
      </c>
      <c r="B27" s="9">
        <v>0</v>
      </c>
      <c r="C27" s="7" t="s">
        <v>630</v>
      </c>
      <c r="D27" s="7" t="s">
        <v>629</v>
      </c>
      <c r="E27" t="s">
        <v>650</v>
      </c>
      <c r="F27" s="7" t="s">
        <v>303</v>
      </c>
      <c r="G27" s="7">
        <v>2</v>
      </c>
      <c r="J27"/>
    </row>
    <row r="28" spans="1:10" x14ac:dyDescent="0.3">
      <c r="A28" s="9">
        <v>99061</v>
      </c>
      <c r="B28" s="9">
        <v>106</v>
      </c>
      <c r="C28" s="7" t="s">
        <v>630</v>
      </c>
      <c r="D28" s="7" t="s">
        <v>629</v>
      </c>
      <c r="E28" t="s">
        <v>733</v>
      </c>
      <c r="F28" s="7" t="s">
        <v>300</v>
      </c>
      <c r="G28" s="7">
        <v>41</v>
      </c>
      <c r="H28" s="7">
        <v>3</v>
      </c>
      <c r="I28" s="7">
        <v>6</v>
      </c>
      <c r="J28"/>
    </row>
    <row r="29" spans="1:10" x14ac:dyDescent="0.3">
      <c r="A29" s="9">
        <v>73522</v>
      </c>
      <c r="B29" s="9">
        <v>0</v>
      </c>
      <c r="C29" s="7" t="s">
        <v>630</v>
      </c>
      <c r="D29" s="7" t="s">
        <v>632</v>
      </c>
      <c r="E29" t="s">
        <v>677</v>
      </c>
      <c r="F29" s="7" t="s">
        <v>300</v>
      </c>
      <c r="G29" s="7">
        <v>12</v>
      </c>
      <c r="J29"/>
    </row>
    <row r="30" spans="1:10" x14ac:dyDescent="0.3">
      <c r="A30" s="9">
        <v>71145</v>
      </c>
      <c r="B30" s="9">
        <v>0</v>
      </c>
      <c r="C30" s="7" t="s">
        <v>630</v>
      </c>
      <c r="D30" s="7" t="s">
        <v>629</v>
      </c>
      <c r="E30" t="s">
        <v>646</v>
      </c>
      <c r="F30" s="7" t="s">
        <v>300</v>
      </c>
      <c r="G30" s="7">
        <v>44</v>
      </c>
      <c r="H30" s="7">
        <v>2</v>
      </c>
      <c r="I30" s="7">
        <v>21</v>
      </c>
      <c r="J30"/>
    </row>
    <row r="31" spans="1:10" x14ac:dyDescent="0.3">
      <c r="A31" s="9">
        <v>99138</v>
      </c>
      <c r="B31" s="9">
        <v>4</v>
      </c>
      <c r="C31" s="7" t="s">
        <v>630</v>
      </c>
      <c r="D31" s="7" t="s">
        <v>629</v>
      </c>
      <c r="E31" t="s">
        <v>747</v>
      </c>
      <c r="F31" s="7" t="s">
        <v>300</v>
      </c>
      <c r="G31" s="7">
        <v>8</v>
      </c>
      <c r="J31"/>
    </row>
    <row r="32" spans="1:10" x14ac:dyDescent="0.3">
      <c r="A32" s="9">
        <v>73425</v>
      </c>
      <c r="B32" s="9">
        <v>0</v>
      </c>
      <c r="C32" s="7" t="s">
        <v>630</v>
      </c>
      <c r="D32" s="7" t="s">
        <v>629</v>
      </c>
      <c r="E32" t="s">
        <v>662</v>
      </c>
      <c r="F32" s="7" t="s">
        <v>300</v>
      </c>
      <c r="G32" s="7">
        <v>8</v>
      </c>
      <c r="J32"/>
    </row>
    <row r="33" spans="1:10" x14ac:dyDescent="0.3">
      <c r="A33" s="9">
        <v>73262</v>
      </c>
      <c r="B33" s="9">
        <v>0</v>
      </c>
      <c r="C33" s="7" t="s">
        <v>630</v>
      </c>
      <c r="D33" s="7" t="s">
        <v>629</v>
      </c>
      <c r="E33" t="s">
        <v>656</v>
      </c>
      <c r="F33" s="7" t="s">
        <v>300</v>
      </c>
      <c r="G33" s="7">
        <v>15</v>
      </c>
      <c r="H33" s="7">
        <v>1</v>
      </c>
      <c r="I33" s="7">
        <v>7</v>
      </c>
      <c r="J33"/>
    </row>
    <row r="34" spans="1:10" x14ac:dyDescent="0.3">
      <c r="A34" s="9">
        <v>73539</v>
      </c>
      <c r="B34" s="9">
        <v>0</v>
      </c>
      <c r="C34" s="7" t="s">
        <v>630</v>
      </c>
      <c r="D34" s="7" t="s">
        <v>632</v>
      </c>
      <c r="E34" t="s">
        <v>679</v>
      </c>
      <c r="F34" s="7" t="s">
        <v>303</v>
      </c>
      <c r="G34" s="7">
        <v>18</v>
      </c>
      <c r="J34"/>
    </row>
    <row r="35" spans="1:10" x14ac:dyDescent="0.3">
      <c r="A35" s="9">
        <v>99031</v>
      </c>
      <c r="B35" s="9">
        <v>91</v>
      </c>
      <c r="C35" s="7" t="s">
        <v>630</v>
      </c>
      <c r="D35" s="7" t="s">
        <v>629</v>
      </c>
      <c r="E35" t="s">
        <v>713</v>
      </c>
      <c r="F35" s="7" t="s">
        <v>300</v>
      </c>
      <c r="G35" s="7">
        <v>2</v>
      </c>
      <c r="J35"/>
    </row>
    <row r="36" spans="1:10" x14ac:dyDescent="0.3">
      <c r="A36" s="9">
        <v>71128</v>
      </c>
      <c r="B36" s="9">
        <v>0</v>
      </c>
      <c r="C36" s="7" t="s">
        <v>629</v>
      </c>
      <c r="D36" s="7" t="s">
        <v>641</v>
      </c>
      <c r="E36" t="s">
        <v>642</v>
      </c>
      <c r="F36" s="7" t="s">
        <v>300</v>
      </c>
      <c r="G36" s="7">
        <v>78</v>
      </c>
      <c r="H36" s="7">
        <v>4</v>
      </c>
      <c r="I36" s="7">
        <v>30</v>
      </c>
      <c r="J36"/>
    </row>
    <row r="37" spans="1:10" x14ac:dyDescent="0.3">
      <c r="A37" s="9">
        <v>71132</v>
      </c>
      <c r="B37" s="9">
        <v>0</v>
      </c>
      <c r="C37" s="7" t="s">
        <v>629</v>
      </c>
      <c r="D37" s="7" t="s">
        <v>641</v>
      </c>
      <c r="E37" t="s">
        <v>644</v>
      </c>
      <c r="F37" s="7" t="s">
        <v>300</v>
      </c>
      <c r="G37" s="7">
        <v>8</v>
      </c>
      <c r="J37"/>
    </row>
    <row r="38" spans="1:10" x14ac:dyDescent="0.3">
      <c r="A38" s="9">
        <v>99062</v>
      </c>
      <c r="B38" s="9">
        <v>96</v>
      </c>
      <c r="C38" s="7" t="s">
        <v>629</v>
      </c>
      <c r="D38" s="7" t="s">
        <v>641</v>
      </c>
      <c r="E38" t="s">
        <v>739</v>
      </c>
      <c r="F38" s="7" t="s">
        <v>300</v>
      </c>
      <c r="G38" s="7">
        <v>52</v>
      </c>
      <c r="H38" s="7">
        <v>3</v>
      </c>
      <c r="I38" s="7">
        <v>14</v>
      </c>
      <c r="J38"/>
    </row>
    <row r="39" spans="1:10" x14ac:dyDescent="0.3">
      <c r="A39" s="9">
        <v>71146</v>
      </c>
      <c r="B39" s="9">
        <v>0</v>
      </c>
      <c r="C39" s="7" t="s">
        <v>629</v>
      </c>
      <c r="D39" s="7" t="s">
        <v>630</v>
      </c>
      <c r="E39" t="s">
        <v>618</v>
      </c>
      <c r="F39" s="7" t="s">
        <v>300</v>
      </c>
      <c r="G39" s="7">
        <v>35</v>
      </c>
      <c r="H39" s="7">
        <v>3</v>
      </c>
      <c r="I39" s="7">
        <v>1</v>
      </c>
      <c r="J39"/>
    </row>
    <row r="40" spans="1:10" x14ac:dyDescent="0.3">
      <c r="A40" s="9">
        <v>99061</v>
      </c>
      <c r="B40" s="9">
        <v>112</v>
      </c>
      <c r="C40" s="7" t="s">
        <v>629</v>
      </c>
      <c r="D40" s="7" t="s">
        <v>630</v>
      </c>
      <c r="E40" t="s">
        <v>620</v>
      </c>
      <c r="F40" s="7" t="s">
        <v>300</v>
      </c>
      <c r="G40" s="7">
        <v>29</v>
      </c>
      <c r="H40" s="7">
        <v>3</v>
      </c>
      <c r="I40" s="7">
        <v>1</v>
      </c>
      <c r="J40"/>
    </row>
    <row r="41" spans="1:10" x14ac:dyDescent="0.3">
      <c r="A41" s="9">
        <v>71159</v>
      </c>
      <c r="B41" s="9">
        <v>0</v>
      </c>
      <c r="C41" s="7" t="s">
        <v>629</v>
      </c>
      <c r="D41" s="7" t="s">
        <v>630</v>
      </c>
      <c r="E41" t="s">
        <v>622</v>
      </c>
      <c r="F41" s="7" t="s">
        <v>300</v>
      </c>
      <c r="G41" s="7">
        <v>122</v>
      </c>
      <c r="H41" s="7">
        <v>6</v>
      </c>
      <c r="I41" s="7">
        <v>21</v>
      </c>
      <c r="J41"/>
    </row>
    <row r="42" spans="1:10" x14ac:dyDescent="0.3">
      <c r="A42" s="9">
        <v>71161</v>
      </c>
      <c r="B42" s="9">
        <v>0</v>
      </c>
      <c r="C42" s="7" t="s">
        <v>629</v>
      </c>
      <c r="D42" s="7" t="s">
        <v>630</v>
      </c>
      <c r="E42" t="s">
        <v>624</v>
      </c>
      <c r="F42" s="7" t="s">
        <v>300</v>
      </c>
      <c r="G42" s="7">
        <v>2</v>
      </c>
      <c r="J42"/>
    </row>
    <row r="43" spans="1:10" x14ac:dyDescent="0.3">
      <c r="A43" s="9">
        <v>71163</v>
      </c>
      <c r="B43" s="9">
        <v>0</v>
      </c>
      <c r="C43" s="7" t="s">
        <v>629</v>
      </c>
      <c r="D43" s="7" t="s">
        <v>630</v>
      </c>
      <c r="E43" t="s">
        <v>626</v>
      </c>
      <c r="F43" s="7" t="s">
        <v>300</v>
      </c>
      <c r="G43" s="7">
        <v>22</v>
      </c>
      <c r="H43" s="7">
        <v>1</v>
      </c>
      <c r="I43" s="7">
        <v>11</v>
      </c>
      <c r="J43"/>
    </row>
    <row r="44" spans="1:10" x14ac:dyDescent="0.3">
      <c r="A44" s="9">
        <v>73590</v>
      </c>
      <c r="B44" s="9">
        <v>0</v>
      </c>
      <c r="C44" s="7" t="s">
        <v>629</v>
      </c>
      <c r="D44" s="7" t="s">
        <v>630</v>
      </c>
      <c r="E44" t="s">
        <v>614</v>
      </c>
      <c r="F44" s="7" t="s">
        <v>300</v>
      </c>
      <c r="G44" s="7">
        <v>12</v>
      </c>
      <c r="J44"/>
    </row>
    <row r="45" spans="1:10" x14ac:dyDescent="0.3">
      <c r="A45" s="9">
        <v>99031</v>
      </c>
      <c r="B45" s="9">
        <v>180</v>
      </c>
      <c r="C45" s="7" t="s">
        <v>629</v>
      </c>
      <c r="D45" s="7" t="s">
        <v>641</v>
      </c>
      <c r="E45" t="s">
        <v>725</v>
      </c>
      <c r="F45" s="7" t="s">
        <v>300</v>
      </c>
      <c r="G45" s="7">
        <v>6</v>
      </c>
      <c r="J45"/>
    </row>
    <row r="46" spans="1:10" x14ac:dyDescent="0.3">
      <c r="A46" s="9">
        <v>99031</v>
      </c>
      <c r="B46" s="9">
        <v>172</v>
      </c>
      <c r="C46" s="7" t="s">
        <v>629</v>
      </c>
      <c r="D46" s="7" t="s">
        <v>641</v>
      </c>
      <c r="E46" t="s">
        <v>723</v>
      </c>
      <c r="F46" s="7" t="s">
        <v>300</v>
      </c>
      <c r="G46" s="7">
        <v>4</v>
      </c>
      <c r="J46"/>
    </row>
    <row r="47" spans="1:10" x14ac:dyDescent="0.3">
      <c r="A47" s="9">
        <v>99031</v>
      </c>
      <c r="B47" s="9">
        <v>92</v>
      </c>
      <c r="C47" s="7" t="s">
        <v>629</v>
      </c>
      <c r="D47" s="7" t="s">
        <v>630</v>
      </c>
      <c r="E47" t="s">
        <v>628</v>
      </c>
      <c r="F47" s="7" t="s">
        <v>300</v>
      </c>
      <c r="G47" s="7">
        <v>4</v>
      </c>
      <c r="J47"/>
    </row>
    <row r="48" spans="1:10" x14ac:dyDescent="0.3">
      <c r="A48" s="9">
        <v>73444</v>
      </c>
      <c r="B48" s="9">
        <v>0</v>
      </c>
      <c r="C48" s="7" t="s">
        <v>629</v>
      </c>
      <c r="D48" s="7" t="s">
        <v>630</v>
      </c>
      <c r="E48" t="s">
        <v>616</v>
      </c>
      <c r="F48" s="7" t="s">
        <v>300</v>
      </c>
      <c r="G48" s="7">
        <v>44</v>
      </c>
      <c r="H48" s="7">
        <v>2</v>
      </c>
      <c r="I48" s="7">
        <v>19</v>
      </c>
      <c r="J48"/>
    </row>
    <row r="49" spans="1:10" x14ac:dyDescent="0.3">
      <c r="A49" s="9">
        <v>73508</v>
      </c>
      <c r="B49" s="9">
        <v>0</v>
      </c>
      <c r="C49" s="7" t="s">
        <v>629</v>
      </c>
      <c r="D49" s="7" t="s">
        <v>641</v>
      </c>
      <c r="E49" t="s">
        <v>671</v>
      </c>
      <c r="F49" s="7" t="s">
        <v>300</v>
      </c>
      <c r="G49" s="7">
        <v>88</v>
      </c>
      <c r="H49" s="7">
        <v>4</v>
      </c>
      <c r="I49" s="7">
        <v>39</v>
      </c>
      <c r="J49"/>
    </row>
    <row r="50" spans="1:10" x14ac:dyDescent="0.3">
      <c r="A50" s="9">
        <v>73516</v>
      </c>
      <c r="B50" s="9">
        <v>0</v>
      </c>
      <c r="C50" s="7" t="s">
        <v>629</v>
      </c>
      <c r="D50" s="7" t="s">
        <v>641</v>
      </c>
      <c r="E50" t="s">
        <v>673</v>
      </c>
      <c r="F50" s="7" t="s">
        <v>300</v>
      </c>
      <c r="G50" s="7">
        <v>4</v>
      </c>
      <c r="J50"/>
    </row>
    <row r="51" spans="1:10" x14ac:dyDescent="0.3">
      <c r="A51" s="9">
        <v>99137</v>
      </c>
      <c r="B51" s="9">
        <v>2</v>
      </c>
      <c r="C51" s="7" t="s">
        <v>629</v>
      </c>
      <c r="D51" s="7" t="s">
        <v>664</v>
      </c>
      <c r="E51" t="s">
        <v>745</v>
      </c>
      <c r="F51" s="7" t="s">
        <v>323</v>
      </c>
      <c r="G51" s="7">
        <v>4</v>
      </c>
      <c r="J51"/>
    </row>
    <row r="52" spans="1:10" x14ac:dyDescent="0.3">
      <c r="A52" s="9">
        <v>99137</v>
      </c>
      <c r="B52" s="9">
        <v>0</v>
      </c>
      <c r="C52" s="7" t="s">
        <v>629</v>
      </c>
      <c r="D52" s="7" t="s">
        <v>630</v>
      </c>
      <c r="E52" t="s">
        <v>741</v>
      </c>
      <c r="F52" s="7" t="s">
        <v>323</v>
      </c>
      <c r="G52" s="7">
        <v>4</v>
      </c>
      <c r="J52"/>
    </row>
    <row r="53" spans="1:10" x14ac:dyDescent="0.3">
      <c r="A53" s="9">
        <v>99137</v>
      </c>
      <c r="B53" s="9">
        <v>1</v>
      </c>
      <c r="C53" s="7" t="s">
        <v>629</v>
      </c>
      <c r="D53" s="7" t="s">
        <v>630</v>
      </c>
      <c r="E53" t="s">
        <v>743</v>
      </c>
      <c r="F53" s="7" t="s">
        <v>323</v>
      </c>
      <c r="G53" s="7">
        <v>4</v>
      </c>
      <c r="J53"/>
    </row>
    <row r="54" spans="1:10" x14ac:dyDescent="0.3">
      <c r="A54" s="9">
        <v>73394</v>
      </c>
      <c r="B54" s="9">
        <v>0</v>
      </c>
      <c r="C54" s="7" t="s">
        <v>632</v>
      </c>
      <c r="D54" s="7" t="s">
        <v>629</v>
      </c>
      <c r="E54" t="s">
        <v>660</v>
      </c>
      <c r="F54" s="7" t="s">
        <v>298</v>
      </c>
      <c r="G54" s="7">
        <v>12</v>
      </c>
      <c r="J54"/>
    </row>
    <row r="55" spans="1:10" x14ac:dyDescent="0.3">
      <c r="A55" s="9">
        <v>99031</v>
      </c>
      <c r="B55" s="9">
        <v>148</v>
      </c>
      <c r="C55" s="7" t="s">
        <v>632</v>
      </c>
      <c r="D55" s="7" t="s">
        <v>632</v>
      </c>
      <c r="E55" t="s">
        <v>721</v>
      </c>
      <c r="F55" s="7" t="s">
        <v>300</v>
      </c>
      <c r="G55" s="7">
        <v>6</v>
      </c>
      <c r="J55"/>
    </row>
    <row r="56" spans="1:10" x14ac:dyDescent="0.3">
      <c r="A56" s="9">
        <v>73476</v>
      </c>
      <c r="B56" s="9">
        <v>0</v>
      </c>
      <c r="C56" s="7" t="s">
        <v>632</v>
      </c>
      <c r="D56" s="7" t="s">
        <v>632</v>
      </c>
      <c r="E56" t="s">
        <v>667</v>
      </c>
      <c r="F56" s="7" t="s">
        <v>303</v>
      </c>
      <c r="G56" s="7">
        <v>4</v>
      </c>
      <c r="J56"/>
    </row>
    <row r="57" spans="1:10" x14ac:dyDescent="0.3">
      <c r="A57" s="9">
        <v>73519</v>
      </c>
      <c r="B57" s="9">
        <v>0</v>
      </c>
      <c r="C57" s="7" t="s">
        <v>632</v>
      </c>
      <c r="D57" s="7" t="s">
        <v>629</v>
      </c>
      <c r="E57" t="s">
        <v>606</v>
      </c>
      <c r="F57" s="7" t="s">
        <v>300</v>
      </c>
      <c r="G57" s="7">
        <v>2</v>
      </c>
      <c r="J57"/>
    </row>
    <row r="58" spans="1:10" x14ac:dyDescent="0.3">
      <c r="A58" s="9">
        <v>70897</v>
      </c>
      <c r="B58" s="9">
        <v>3</v>
      </c>
      <c r="C58" s="7" t="s">
        <v>632</v>
      </c>
      <c r="D58" s="7" t="s">
        <v>632</v>
      </c>
      <c r="E58" t="s">
        <v>637</v>
      </c>
      <c r="F58" s="7" t="s">
        <v>300</v>
      </c>
      <c r="G58" s="7">
        <v>2</v>
      </c>
      <c r="J58"/>
    </row>
    <row r="59" spans="1:10" x14ac:dyDescent="0.3">
      <c r="A59" s="9">
        <v>70895</v>
      </c>
      <c r="B59" s="9">
        <v>0</v>
      </c>
      <c r="C59" s="7" t="s">
        <v>632</v>
      </c>
      <c r="D59" s="7" t="s">
        <v>632</v>
      </c>
      <c r="E59" t="s">
        <v>635</v>
      </c>
      <c r="F59" s="7" t="s">
        <v>300</v>
      </c>
      <c r="G59" s="7">
        <v>4</v>
      </c>
      <c r="J59"/>
    </row>
    <row r="60" spans="1:10" x14ac:dyDescent="0.3">
      <c r="A60" s="9">
        <v>70894</v>
      </c>
      <c r="B60" s="9">
        <v>0</v>
      </c>
      <c r="C60" s="7" t="s">
        <v>632</v>
      </c>
      <c r="D60" s="7" t="s">
        <v>632</v>
      </c>
      <c r="E60" t="s">
        <v>633</v>
      </c>
      <c r="F60" s="7" t="s">
        <v>300</v>
      </c>
      <c r="G60" s="7">
        <v>44</v>
      </c>
      <c r="H60" s="7">
        <v>2</v>
      </c>
      <c r="I60" s="7">
        <v>5</v>
      </c>
      <c r="J60"/>
    </row>
    <row r="61" spans="1:10" x14ac:dyDescent="0.3">
      <c r="A61" s="9">
        <v>99031</v>
      </c>
      <c r="B61" s="9">
        <v>94</v>
      </c>
      <c r="C61" s="7" t="s">
        <v>632</v>
      </c>
      <c r="D61" s="7" t="s">
        <v>632</v>
      </c>
      <c r="E61" t="s">
        <v>717</v>
      </c>
      <c r="F61" s="7" t="s">
        <v>300</v>
      </c>
      <c r="G61" s="7">
        <v>4</v>
      </c>
      <c r="J61"/>
    </row>
    <row r="62" spans="1:10" x14ac:dyDescent="0.3">
      <c r="A62" s="9">
        <v>73543</v>
      </c>
      <c r="B62" s="9">
        <v>0</v>
      </c>
      <c r="C62" s="7" t="s">
        <v>632</v>
      </c>
      <c r="D62" s="7" t="s">
        <v>632</v>
      </c>
      <c r="E62" t="s">
        <v>683</v>
      </c>
      <c r="F62" s="7" t="s">
        <v>300</v>
      </c>
      <c r="G62" s="7">
        <v>8</v>
      </c>
      <c r="J62"/>
    </row>
    <row r="63" spans="1:10" x14ac:dyDescent="0.3">
      <c r="A63" s="9">
        <v>99031</v>
      </c>
      <c r="B63" s="9">
        <v>93</v>
      </c>
      <c r="C63" s="7" t="s">
        <v>632</v>
      </c>
      <c r="D63" s="7" t="s">
        <v>632</v>
      </c>
      <c r="E63" t="s">
        <v>715</v>
      </c>
      <c r="F63" s="7" t="s">
        <v>300</v>
      </c>
      <c r="G63" s="7">
        <v>4</v>
      </c>
      <c r="J63"/>
    </row>
    <row r="64" spans="1:10" x14ac:dyDescent="0.3">
      <c r="A64" s="9">
        <v>70013</v>
      </c>
      <c r="B64" s="9">
        <v>0</v>
      </c>
      <c r="C64" s="7" t="s">
        <v>632</v>
      </c>
      <c r="D64" s="7" t="s">
        <v>629</v>
      </c>
      <c r="E64" t="s">
        <v>600</v>
      </c>
      <c r="F64" s="7" t="s">
        <v>300</v>
      </c>
      <c r="G64" s="7">
        <v>30</v>
      </c>
      <c r="H64" s="7">
        <v>1</v>
      </c>
      <c r="I64" s="7">
        <v>15</v>
      </c>
      <c r="J64"/>
    </row>
    <row r="65" spans="1:10" x14ac:dyDescent="0.3">
      <c r="A65" s="9">
        <v>70011</v>
      </c>
      <c r="B65" s="9">
        <v>0</v>
      </c>
      <c r="C65" s="7" t="s">
        <v>632</v>
      </c>
      <c r="D65" s="7" t="s">
        <v>629</v>
      </c>
      <c r="E65" t="s">
        <v>598</v>
      </c>
      <c r="F65" s="7" t="s">
        <v>300</v>
      </c>
      <c r="G65" s="7">
        <v>2</v>
      </c>
      <c r="J65"/>
    </row>
    <row r="66" spans="1:10" x14ac:dyDescent="0.3">
      <c r="A66" s="9">
        <v>73566</v>
      </c>
      <c r="B66" s="9">
        <v>0</v>
      </c>
      <c r="C66" s="7" t="s">
        <v>632</v>
      </c>
      <c r="D66" s="7" t="s">
        <v>632</v>
      </c>
      <c r="E66" t="s">
        <v>693</v>
      </c>
      <c r="F66" s="7" t="s">
        <v>300</v>
      </c>
      <c r="G66" s="7">
        <v>4</v>
      </c>
      <c r="J66"/>
    </row>
    <row r="67" spans="1:10" x14ac:dyDescent="0.3">
      <c r="A67" s="9">
        <v>73580</v>
      </c>
      <c r="B67" s="9">
        <v>0</v>
      </c>
      <c r="C67" s="7" t="s">
        <v>632</v>
      </c>
      <c r="D67" s="7" t="s">
        <v>632</v>
      </c>
      <c r="E67" t="s">
        <v>699</v>
      </c>
      <c r="F67" s="7" t="s">
        <v>303</v>
      </c>
      <c r="G67" s="7">
        <v>8</v>
      </c>
      <c r="J67"/>
    </row>
    <row r="68" spans="1:10" x14ac:dyDescent="0.3">
      <c r="A68" s="9">
        <v>99061</v>
      </c>
      <c r="B68" s="9">
        <v>107</v>
      </c>
      <c r="C68" s="7" t="s">
        <v>632</v>
      </c>
      <c r="D68" s="7" t="s">
        <v>632</v>
      </c>
      <c r="E68" t="s">
        <v>735</v>
      </c>
      <c r="F68" s="7" t="s">
        <v>300</v>
      </c>
      <c r="G68" s="7">
        <v>52</v>
      </c>
      <c r="H68" s="7">
        <v>3</v>
      </c>
      <c r="I68" s="7">
        <v>10</v>
      </c>
      <c r="J68"/>
    </row>
    <row r="69" spans="1:10" x14ac:dyDescent="0.3">
      <c r="A69" s="9">
        <v>99031</v>
      </c>
      <c r="B69" s="9">
        <v>182</v>
      </c>
      <c r="C69" s="7" t="s">
        <v>632</v>
      </c>
      <c r="D69" s="7" t="s">
        <v>629</v>
      </c>
      <c r="E69" t="s">
        <v>608</v>
      </c>
      <c r="F69" s="7" t="s">
        <v>300</v>
      </c>
      <c r="G69" s="7">
        <v>2</v>
      </c>
      <c r="J69"/>
    </row>
    <row r="70" spans="1:10" x14ac:dyDescent="0.3">
      <c r="A70" s="9">
        <v>73107</v>
      </c>
      <c r="B70" s="9">
        <v>0</v>
      </c>
      <c r="C70" s="7" t="s">
        <v>641</v>
      </c>
      <c r="D70" s="7" t="s">
        <v>641</v>
      </c>
      <c r="E70" t="s">
        <v>654</v>
      </c>
      <c r="F70" s="7" t="s">
        <v>300</v>
      </c>
      <c r="G70" s="7">
        <v>22</v>
      </c>
      <c r="H70" s="7">
        <v>2</v>
      </c>
      <c r="I70" s="7">
        <v>0</v>
      </c>
      <c r="J70"/>
    </row>
    <row r="71" spans="1:10" x14ac:dyDescent="0.3">
      <c r="A71" s="9">
        <v>73368</v>
      </c>
      <c r="B71" s="9">
        <v>0</v>
      </c>
      <c r="C71" s="7" t="s">
        <v>641</v>
      </c>
      <c r="D71" s="7" t="s">
        <v>632</v>
      </c>
      <c r="E71" t="s">
        <v>658</v>
      </c>
      <c r="F71" s="7" t="s">
        <v>303</v>
      </c>
      <c r="G71" s="7">
        <v>4</v>
      </c>
      <c r="J71"/>
    </row>
    <row r="72" spans="1:10" x14ac:dyDescent="0.3">
      <c r="A72" s="9">
        <v>71255</v>
      </c>
      <c r="B72" s="9">
        <v>0</v>
      </c>
      <c r="C72" s="7" t="s">
        <v>641</v>
      </c>
      <c r="D72" s="7" t="s">
        <v>630</v>
      </c>
      <c r="E72" t="s">
        <v>648</v>
      </c>
      <c r="F72" s="7" t="s">
        <v>298</v>
      </c>
      <c r="G72" s="7">
        <v>2</v>
      </c>
      <c r="J72"/>
    </row>
    <row r="73" spans="1:10" x14ac:dyDescent="0.3">
      <c r="A73" s="9">
        <v>70537</v>
      </c>
      <c r="B73" s="9">
        <v>0</v>
      </c>
      <c r="C73" s="7" t="s">
        <v>641</v>
      </c>
      <c r="D73" s="7" t="s">
        <v>630</v>
      </c>
      <c r="E73" t="s">
        <v>592</v>
      </c>
      <c r="F73" s="7" t="s">
        <v>300</v>
      </c>
      <c r="G73" s="7">
        <v>2</v>
      </c>
      <c r="J73"/>
    </row>
    <row r="74" spans="1:10" x14ac:dyDescent="0.3">
      <c r="A74" s="9">
        <v>70024</v>
      </c>
      <c r="B74" s="9">
        <v>0</v>
      </c>
      <c r="C74" s="7" t="s">
        <v>641</v>
      </c>
      <c r="D74" s="7" t="s">
        <v>630</v>
      </c>
      <c r="E74" t="s">
        <v>594</v>
      </c>
      <c r="F74" s="7" t="s">
        <v>300</v>
      </c>
      <c r="G74" s="7">
        <v>110</v>
      </c>
      <c r="H74" s="7">
        <v>5</v>
      </c>
      <c r="I74" s="7">
        <v>41</v>
      </c>
      <c r="J74"/>
    </row>
    <row r="75" spans="1:10" x14ac:dyDescent="0.3">
      <c r="A75" s="9">
        <v>73289</v>
      </c>
      <c r="B75" s="9">
        <v>0</v>
      </c>
      <c r="C75" s="7" t="s">
        <v>641</v>
      </c>
      <c r="D75" s="7" t="s">
        <v>630</v>
      </c>
      <c r="E75" t="s">
        <v>596</v>
      </c>
      <c r="F75" s="7" t="s">
        <v>300</v>
      </c>
      <c r="G75" s="7">
        <v>25</v>
      </c>
      <c r="H75" s="7">
        <v>1</v>
      </c>
      <c r="I75" s="7">
        <v>12</v>
      </c>
      <c r="J75"/>
    </row>
    <row r="76" spans="1:10" x14ac:dyDescent="0.3">
      <c r="A76" s="9">
        <v>73586</v>
      </c>
      <c r="B76" s="9">
        <v>0</v>
      </c>
      <c r="C76" s="7" t="s">
        <v>641</v>
      </c>
      <c r="D76" s="7" t="s">
        <v>641</v>
      </c>
      <c r="E76" t="s">
        <v>701</v>
      </c>
      <c r="F76" s="7" t="s">
        <v>300</v>
      </c>
      <c r="G76" s="7">
        <v>11</v>
      </c>
      <c r="H76" s="7">
        <v>1</v>
      </c>
      <c r="I76" s="7">
        <v>2</v>
      </c>
      <c r="J76"/>
    </row>
    <row r="77" spans="1:10" x14ac:dyDescent="0.3">
      <c r="A77" s="9">
        <v>73569</v>
      </c>
      <c r="B77" s="9">
        <v>0</v>
      </c>
      <c r="C77" s="7" t="s">
        <v>641</v>
      </c>
      <c r="D77" s="7" t="s">
        <v>630</v>
      </c>
      <c r="E77" t="s">
        <v>602</v>
      </c>
      <c r="F77" s="7" t="s">
        <v>300</v>
      </c>
      <c r="G77" s="7">
        <v>55</v>
      </c>
      <c r="H77" s="7">
        <v>3</v>
      </c>
      <c r="I77" s="7">
        <v>24</v>
      </c>
      <c r="J77"/>
    </row>
    <row r="78" spans="1:10" x14ac:dyDescent="0.3">
      <c r="A78" s="9">
        <v>73549</v>
      </c>
      <c r="B78" s="9">
        <v>0</v>
      </c>
      <c r="C78" s="7" t="s">
        <v>641</v>
      </c>
      <c r="D78" s="7" t="s">
        <v>630</v>
      </c>
      <c r="E78" t="s">
        <v>687</v>
      </c>
      <c r="F78" s="7" t="s">
        <v>303</v>
      </c>
      <c r="G78" s="7">
        <v>4</v>
      </c>
      <c r="J78"/>
    </row>
    <row r="79" spans="1:10" x14ac:dyDescent="0.3">
      <c r="A79" s="9">
        <v>73540</v>
      </c>
      <c r="B79" s="9">
        <v>0</v>
      </c>
      <c r="C79" s="7" t="s">
        <v>641</v>
      </c>
      <c r="D79" s="7" t="s">
        <v>630</v>
      </c>
      <c r="E79" t="s">
        <v>681</v>
      </c>
      <c r="F79" s="7" t="s">
        <v>302</v>
      </c>
      <c r="G79" s="7">
        <v>12</v>
      </c>
      <c r="J79"/>
    </row>
    <row r="80" spans="1:10" x14ac:dyDescent="0.3">
      <c r="A80" s="9">
        <v>73495</v>
      </c>
      <c r="B80" s="9">
        <v>0</v>
      </c>
      <c r="C80" s="7" t="s">
        <v>641</v>
      </c>
      <c r="D80" s="7" t="s">
        <v>641</v>
      </c>
      <c r="E80" t="s">
        <v>669</v>
      </c>
      <c r="F80" s="7" t="s">
        <v>300</v>
      </c>
      <c r="G80" s="7">
        <v>6</v>
      </c>
      <c r="H80" s="7">
        <v>2</v>
      </c>
      <c r="I80" s="7">
        <v>0</v>
      </c>
      <c r="J80"/>
    </row>
    <row r="81" spans="1:10" x14ac:dyDescent="0.3">
      <c r="A81" s="9">
        <v>73413</v>
      </c>
      <c r="B81" s="9">
        <v>0</v>
      </c>
      <c r="C81" s="7" t="s">
        <v>641</v>
      </c>
      <c r="D81" s="7" t="s">
        <v>630</v>
      </c>
      <c r="E81" t="s">
        <v>590</v>
      </c>
      <c r="F81" s="7" t="s">
        <v>300</v>
      </c>
      <c r="G81" s="7">
        <v>443</v>
      </c>
      <c r="H81" s="7">
        <v>23</v>
      </c>
      <c r="I81" s="7">
        <v>114</v>
      </c>
      <c r="J81"/>
    </row>
    <row r="82" spans="1:10" x14ac:dyDescent="0.3">
      <c r="A82" s="9">
        <v>71415</v>
      </c>
      <c r="B82" s="9">
        <v>0</v>
      </c>
      <c r="C82" s="7" t="s">
        <v>641</v>
      </c>
      <c r="D82" s="7" t="s">
        <v>630</v>
      </c>
      <c r="E82" t="s">
        <v>652</v>
      </c>
      <c r="F82" s="7" t="s">
        <v>303</v>
      </c>
      <c r="G82" s="7">
        <v>8</v>
      </c>
      <c r="J82"/>
    </row>
    <row r="83" spans="1:10" x14ac:dyDescent="0.3">
      <c r="A83" s="9">
        <v>99031</v>
      </c>
      <c r="B83" s="9">
        <v>104</v>
      </c>
      <c r="C83" s="7" t="s">
        <v>641</v>
      </c>
      <c r="D83" s="7" t="s">
        <v>630</v>
      </c>
      <c r="E83" t="s">
        <v>610</v>
      </c>
      <c r="F83" s="7" t="s">
        <v>300</v>
      </c>
      <c r="G83" s="7">
        <v>2</v>
      </c>
      <c r="J83"/>
    </row>
    <row r="84" spans="1:10" x14ac:dyDescent="0.3">
      <c r="J84"/>
    </row>
    <row r="85" spans="1:10" x14ac:dyDescent="0.3">
      <c r="J85"/>
    </row>
    <row r="86" spans="1:10" x14ac:dyDescent="0.3">
      <c r="J86"/>
    </row>
    <row r="87" spans="1:10" x14ac:dyDescent="0.3">
      <c r="J87"/>
    </row>
    <row r="88" spans="1:10" x14ac:dyDescent="0.3">
      <c r="J88"/>
    </row>
    <row r="89" spans="1:10" x14ac:dyDescent="0.3">
      <c r="J89"/>
    </row>
    <row r="90" spans="1:10" x14ac:dyDescent="0.3">
      <c r="J90"/>
    </row>
    <row r="91" spans="1:10" x14ac:dyDescent="0.3">
      <c r="J91"/>
    </row>
    <row r="92" spans="1:10" x14ac:dyDescent="0.3">
      <c r="J92"/>
    </row>
    <row r="93" spans="1:10" x14ac:dyDescent="0.3">
      <c r="J93"/>
    </row>
    <row r="94" spans="1:10" x14ac:dyDescent="0.3">
      <c r="J94"/>
    </row>
    <row r="95" spans="1:10" x14ac:dyDescent="0.3">
      <c r="J95"/>
    </row>
    <row r="96" spans="1:10" x14ac:dyDescent="0.3">
      <c r="J96"/>
    </row>
    <row r="97" spans="10:10" x14ac:dyDescent="0.3">
      <c r="J97"/>
    </row>
    <row r="98" spans="10:10" x14ac:dyDescent="0.3">
      <c r="J98"/>
    </row>
    <row r="99" spans="10:10" x14ac:dyDescent="0.3">
      <c r="J99"/>
    </row>
    <row r="100" spans="10:10" x14ac:dyDescent="0.3">
      <c r="J100"/>
    </row>
    <row r="101" spans="10:10" x14ac:dyDescent="0.3">
      <c r="J101"/>
    </row>
    <row r="102" spans="10:10" x14ac:dyDescent="0.3">
      <c r="J102"/>
    </row>
    <row r="103" spans="10:10" x14ac:dyDescent="0.3">
      <c r="J103"/>
    </row>
    <row r="104" spans="10:10" x14ac:dyDescent="0.3">
      <c r="J104"/>
    </row>
    <row r="105" spans="10:10" x14ac:dyDescent="0.3">
      <c r="J105"/>
    </row>
    <row r="106" spans="10:10" x14ac:dyDescent="0.3">
      <c r="J106"/>
    </row>
    <row r="107" spans="10:10" x14ac:dyDescent="0.3">
      <c r="J107"/>
    </row>
    <row r="108" spans="10:10" x14ac:dyDescent="0.3">
      <c r="J108"/>
    </row>
    <row r="109" spans="10:10" x14ac:dyDescent="0.3">
      <c r="J109"/>
    </row>
    <row r="110" spans="10:10" x14ac:dyDescent="0.3">
      <c r="J110"/>
    </row>
    <row r="111" spans="10:10" x14ac:dyDescent="0.3">
      <c r="J111"/>
    </row>
    <row r="112" spans="10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0" x14ac:dyDescent="0.3">
      <c r="J129"/>
    </row>
    <row r="130" spans="10:10" x14ac:dyDescent="0.3">
      <c r="J130"/>
    </row>
    <row r="131" spans="10:10" x14ac:dyDescent="0.3">
      <c r="J131"/>
    </row>
    <row r="132" spans="10:10" x14ac:dyDescent="0.3">
      <c r="J132"/>
    </row>
    <row r="133" spans="10:10" x14ac:dyDescent="0.3">
      <c r="J133"/>
    </row>
    <row r="134" spans="10:10" x14ac:dyDescent="0.3">
      <c r="J134"/>
    </row>
    <row r="135" spans="10:10" x14ac:dyDescent="0.3">
      <c r="J135"/>
    </row>
    <row r="136" spans="10:10" x14ac:dyDescent="0.3">
      <c r="J136"/>
    </row>
    <row r="137" spans="10:10" x14ac:dyDescent="0.3">
      <c r="J137"/>
    </row>
    <row r="138" spans="10:10" x14ac:dyDescent="0.3">
      <c r="J138"/>
    </row>
    <row r="139" spans="10:10" x14ac:dyDescent="0.3">
      <c r="J139"/>
    </row>
    <row r="140" spans="10:10" x14ac:dyDescent="0.3">
      <c r="J140"/>
    </row>
    <row r="141" spans="10:10" x14ac:dyDescent="0.3">
      <c r="J141"/>
    </row>
    <row r="142" spans="10:10" x14ac:dyDescent="0.3">
      <c r="J142"/>
    </row>
    <row r="143" spans="10:10" x14ac:dyDescent="0.3">
      <c r="J143"/>
    </row>
    <row r="144" spans="10:10" x14ac:dyDescent="0.3">
      <c r="J144"/>
    </row>
    <row r="145" spans="10:10" x14ac:dyDescent="0.3">
      <c r="J145"/>
    </row>
    <row r="146" spans="10:10" x14ac:dyDescent="0.3">
      <c r="J146"/>
    </row>
    <row r="147" spans="10:10" x14ac:dyDescent="0.3">
      <c r="J147"/>
    </row>
    <row r="148" spans="10:10" x14ac:dyDescent="0.3">
      <c r="J148"/>
    </row>
    <row r="149" spans="10:10" x14ac:dyDescent="0.3">
      <c r="J149"/>
    </row>
    <row r="150" spans="10:10" x14ac:dyDescent="0.3">
      <c r="J150"/>
    </row>
    <row r="151" spans="10:10" x14ac:dyDescent="0.3">
      <c r="J151"/>
    </row>
    <row r="152" spans="10:10" x14ac:dyDescent="0.3">
      <c r="J152"/>
    </row>
    <row r="153" spans="10:10" x14ac:dyDescent="0.3">
      <c r="J153"/>
    </row>
    <row r="154" spans="10:10" x14ac:dyDescent="0.3">
      <c r="J154"/>
    </row>
    <row r="155" spans="10:10" x14ac:dyDescent="0.3">
      <c r="J155"/>
    </row>
    <row r="156" spans="10:10" x14ac:dyDescent="0.3">
      <c r="J156"/>
    </row>
    <row r="157" spans="10:10" x14ac:dyDescent="0.3">
      <c r="J157"/>
    </row>
    <row r="158" spans="10:10" x14ac:dyDescent="0.3">
      <c r="J158"/>
    </row>
    <row r="159" spans="10:10" x14ac:dyDescent="0.3">
      <c r="J159"/>
    </row>
    <row r="160" spans="10:10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0:10" x14ac:dyDescent="0.3">
      <c r="J177"/>
    </row>
    <row r="178" spans="10:10" x14ac:dyDescent="0.3">
      <c r="J178"/>
    </row>
    <row r="179" spans="10:10" x14ac:dyDescent="0.3">
      <c r="J179"/>
    </row>
    <row r="180" spans="10:10" x14ac:dyDescent="0.3">
      <c r="J180"/>
    </row>
    <row r="181" spans="10:10" x14ac:dyDescent="0.3">
      <c r="J181"/>
    </row>
    <row r="182" spans="10:10" x14ac:dyDescent="0.3">
      <c r="J182"/>
    </row>
    <row r="183" spans="10:10" x14ac:dyDescent="0.3">
      <c r="J183"/>
    </row>
    <row r="184" spans="10:10" x14ac:dyDescent="0.3">
      <c r="J184"/>
    </row>
    <row r="185" spans="10:10" x14ac:dyDescent="0.3">
      <c r="J185"/>
    </row>
    <row r="186" spans="10:10" x14ac:dyDescent="0.3">
      <c r="J186"/>
    </row>
    <row r="187" spans="10:10" x14ac:dyDescent="0.3">
      <c r="J187"/>
    </row>
    <row r="188" spans="10:10" x14ac:dyDescent="0.3">
      <c r="J188"/>
    </row>
    <row r="189" spans="10:10" x14ac:dyDescent="0.3">
      <c r="J189"/>
    </row>
    <row r="190" spans="10:10" x14ac:dyDescent="0.3">
      <c r="J190"/>
    </row>
    <row r="191" spans="10:10" x14ac:dyDescent="0.3">
      <c r="J191"/>
    </row>
    <row r="192" spans="10:10" x14ac:dyDescent="0.3">
      <c r="J192"/>
    </row>
    <row r="193" spans="10:10" x14ac:dyDescent="0.3">
      <c r="J193"/>
    </row>
    <row r="194" spans="10:10" x14ac:dyDescent="0.3">
      <c r="J194"/>
    </row>
    <row r="195" spans="10:10" x14ac:dyDescent="0.3">
      <c r="J195"/>
    </row>
    <row r="196" spans="10:10" x14ac:dyDescent="0.3">
      <c r="J196"/>
    </row>
    <row r="197" spans="10:10" x14ac:dyDescent="0.3">
      <c r="J197"/>
    </row>
    <row r="198" spans="10:10" x14ac:dyDescent="0.3">
      <c r="J198"/>
    </row>
    <row r="199" spans="10:10" x14ac:dyDescent="0.3">
      <c r="J199"/>
    </row>
    <row r="200" spans="10:10" x14ac:dyDescent="0.3">
      <c r="J200"/>
    </row>
    <row r="201" spans="10:10" x14ac:dyDescent="0.3">
      <c r="J201"/>
    </row>
    <row r="202" spans="10:10" x14ac:dyDescent="0.3">
      <c r="J202"/>
    </row>
    <row r="203" spans="10:10" x14ac:dyDescent="0.3">
      <c r="J203"/>
    </row>
    <row r="204" spans="10:10" x14ac:dyDescent="0.3">
      <c r="J204"/>
    </row>
    <row r="205" spans="10:10" x14ac:dyDescent="0.3">
      <c r="J205"/>
    </row>
    <row r="206" spans="10:10" x14ac:dyDescent="0.3">
      <c r="J206"/>
    </row>
    <row r="207" spans="10:10" x14ac:dyDescent="0.3">
      <c r="J207"/>
    </row>
    <row r="208" spans="10:10" x14ac:dyDescent="0.3">
      <c r="J208"/>
    </row>
    <row r="209" spans="10:10" x14ac:dyDescent="0.3">
      <c r="J209"/>
    </row>
    <row r="210" spans="10:10" x14ac:dyDescent="0.3">
      <c r="J210"/>
    </row>
    <row r="211" spans="10:10" x14ac:dyDescent="0.3">
      <c r="J211"/>
    </row>
    <row r="212" spans="10:10" x14ac:dyDescent="0.3">
      <c r="J212"/>
    </row>
    <row r="213" spans="10:10" x14ac:dyDescent="0.3">
      <c r="J213"/>
    </row>
    <row r="214" spans="10:10" x14ac:dyDescent="0.3">
      <c r="J214"/>
    </row>
    <row r="215" spans="10:10" x14ac:dyDescent="0.3">
      <c r="J215"/>
    </row>
    <row r="216" spans="10:10" x14ac:dyDescent="0.3">
      <c r="J216"/>
    </row>
    <row r="217" spans="10:10" x14ac:dyDescent="0.3">
      <c r="J217"/>
    </row>
    <row r="218" spans="10:10" x14ac:dyDescent="0.3">
      <c r="J218"/>
    </row>
    <row r="219" spans="10:10" x14ac:dyDescent="0.3">
      <c r="J219"/>
    </row>
    <row r="220" spans="10:10" x14ac:dyDescent="0.3">
      <c r="J220"/>
    </row>
    <row r="221" spans="10:10" x14ac:dyDescent="0.3">
      <c r="J221"/>
    </row>
    <row r="222" spans="10:10" x14ac:dyDescent="0.3">
      <c r="J222"/>
    </row>
    <row r="223" spans="10:10" x14ac:dyDescent="0.3">
      <c r="J223"/>
    </row>
    <row r="224" spans="10:10" x14ac:dyDescent="0.3">
      <c r="J224"/>
    </row>
    <row r="225" spans="10:10" x14ac:dyDescent="0.3">
      <c r="J225"/>
    </row>
    <row r="226" spans="10:10" x14ac:dyDescent="0.3">
      <c r="J226"/>
    </row>
    <row r="227" spans="10:10" x14ac:dyDescent="0.3">
      <c r="J227"/>
    </row>
    <row r="228" spans="10:10" x14ac:dyDescent="0.3">
      <c r="J228"/>
    </row>
    <row r="229" spans="10:10" x14ac:dyDescent="0.3">
      <c r="J229"/>
    </row>
    <row r="230" spans="10:10" x14ac:dyDescent="0.3">
      <c r="J230"/>
    </row>
    <row r="231" spans="10:10" x14ac:dyDescent="0.3">
      <c r="J231"/>
    </row>
    <row r="232" spans="10:10" x14ac:dyDescent="0.3">
      <c r="J232"/>
    </row>
    <row r="233" spans="10:10" x14ac:dyDescent="0.3">
      <c r="J233"/>
    </row>
    <row r="234" spans="10:10" x14ac:dyDescent="0.3">
      <c r="J234"/>
    </row>
    <row r="235" spans="10:10" x14ac:dyDescent="0.3">
      <c r="J235"/>
    </row>
    <row r="236" spans="10:10" x14ac:dyDescent="0.3">
      <c r="J236"/>
    </row>
    <row r="237" spans="10:10" x14ac:dyDescent="0.3">
      <c r="J237"/>
    </row>
    <row r="238" spans="10:10" x14ac:dyDescent="0.3">
      <c r="J238"/>
    </row>
    <row r="239" spans="10:10" x14ac:dyDescent="0.3">
      <c r="J239"/>
    </row>
    <row r="240" spans="10:10" x14ac:dyDescent="0.3">
      <c r="J240"/>
    </row>
    <row r="241" spans="10:10" x14ac:dyDescent="0.3">
      <c r="J241"/>
    </row>
    <row r="242" spans="10:10" x14ac:dyDescent="0.3">
      <c r="J242"/>
    </row>
    <row r="243" spans="10:10" x14ac:dyDescent="0.3">
      <c r="J243"/>
    </row>
    <row r="244" spans="10:10" x14ac:dyDescent="0.3">
      <c r="J244"/>
    </row>
    <row r="245" spans="10:10" x14ac:dyDescent="0.3">
      <c r="J245"/>
    </row>
    <row r="246" spans="10:10" x14ac:dyDescent="0.3">
      <c r="J246"/>
    </row>
    <row r="247" spans="10:10" x14ac:dyDescent="0.3">
      <c r="J247"/>
    </row>
    <row r="248" spans="10:10" x14ac:dyDescent="0.3">
      <c r="J248"/>
    </row>
    <row r="249" spans="10:10" x14ac:dyDescent="0.3">
      <c r="J249"/>
    </row>
    <row r="250" spans="10:10" x14ac:dyDescent="0.3">
      <c r="J250"/>
    </row>
    <row r="251" spans="10:10" x14ac:dyDescent="0.3">
      <c r="J251"/>
    </row>
  </sheetData>
  <printOptions horizontalCentered="1"/>
  <pageMargins left="0.2" right="0.2" top="0.5" bottom="0.25" header="0.3" footer="0.3"/>
  <pageSetup orientation="landscape" r:id="rId1"/>
  <headerFooter>
    <oddHeader>&amp;LGarment Listing by New Day&amp;C&amp;D&amp;RPage &amp;P</oddHeader>
  </headerFooter>
  <rowBreaks count="18" manualBreakCount="18">
    <brk id="8" max="8" man="1"/>
    <brk id="15" max="8" man="1"/>
    <brk id="18" max="8" man="1"/>
    <brk id="22" max="8" man="1"/>
    <brk id="24" max="8" man="1"/>
    <brk id="26" max="8" man="1"/>
    <brk id="28" max="8" man="1"/>
    <brk id="32" max="8" man="1"/>
    <brk id="34" max="8" man="1"/>
    <brk id="35" max="8" man="1"/>
    <brk id="39" max="8" man="1"/>
    <brk id="44" max="8" man="1"/>
    <brk id="47" max="8" man="1"/>
    <brk id="51" max="8" man="1"/>
    <brk id="58" max="8" man="1"/>
    <brk id="67" max="8" man="1"/>
    <brk id="75" max="8" man="1"/>
    <brk id="81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erviceGarments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411480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3513B-7615-4EF3-AF67-2F1B00E1208A}">
  <sheetPr codeName="Sheet10"/>
  <dimension ref="A4:J54"/>
  <sheetViews>
    <sheetView zoomScaleNormal="100" workbookViewId="0">
      <selection activeCell="I17" sqref="I17"/>
    </sheetView>
  </sheetViews>
  <sheetFormatPr defaultRowHeight="14.4" x14ac:dyDescent="0.3"/>
  <cols>
    <col min="1" max="1" width="7.77734375" style="7" customWidth="1"/>
    <col min="2" max="2" width="10.21875" style="9" bestFit="1" customWidth="1"/>
    <col min="3" max="3" width="11.33203125" style="9" bestFit="1" customWidth="1"/>
    <col min="4" max="4" width="6.88671875" style="2" customWidth="1"/>
    <col min="5" max="5" width="30.5546875" bestFit="1" customWidth="1"/>
    <col min="6" max="6" width="9.77734375" style="7" customWidth="1"/>
    <col min="7" max="7" width="10.88671875" style="7" customWidth="1"/>
    <col min="8" max="8" width="14.6640625" style="7" customWidth="1"/>
    <col min="9" max="9" width="15.33203125" style="7" customWidth="1"/>
    <col min="10" max="10" width="11.44140625" style="7" customWidth="1"/>
  </cols>
  <sheetData>
    <row r="4" spans="1:10" ht="42.6" customHeight="1" x14ac:dyDescent="0.3">
      <c r="A4" s="4" t="s">
        <v>380</v>
      </c>
      <c r="B4" s="4" t="s">
        <v>272</v>
      </c>
      <c r="C4" s="4" t="s">
        <v>273</v>
      </c>
      <c r="D4" s="4" t="s">
        <v>379</v>
      </c>
      <c r="E4" s="4" t="s">
        <v>10</v>
      </c>
      <c r="F4" s="4" t="s">
        <v>13</v>
      </c>
      <c r="G4" s="4" t="s">
        <v>71</v>
      </c>
      <c r="H4" s="4" t="s">
        <v>206</v>
      </c>
      <c r="I4" s="4" t="s">
        <v>207</v>
      </c>
      <c r="J4" s="4" t="s">
        <v>208</v>
      </c>
    </row>
    <row r="5" spans="1:10" x14ac:dyDescent="0.3">
      <c r="A5" s="7" t="s">
        <v>664</v>
      </c>
      <c r="B5" s="9">
        <v>99031</v>
      </c>
      <c r="C5" s="9">
        <v>189</v>
      </c>
      <c r="D5" s="2" t="s">
        <v>630</v>
      </c>
      <c r="E5" t="s">
        <v>612</v>
      </c>
      <c r="F5" s="7" t="s">
        <v>300</v>
      </c>
      <c r="G5" s="7">
        <v>4</v>
      </c>
      <c r="H5" s="7" t="s">
        <v>434</v>
      </c>
      <c r="I5" s="7" t="s">
        <v>303</v>
      </c>
      <c r="J5" s="7" t="s">
        <v>59</v>
      </c>
    </row>
    <row r="6" spans="1:10" x14ac:dyDescent="0.3">
      <c r="A6" s="7" t="s">
        <v>664</v>
      </c>
      <c r="B6" s="9">
        <v>99137</v>
      </c>
      <c r="C6" s="9">
        <v>2</v>
      </c>
      <c r="D6" s="2" t="s">
        <v>629</v>
      </c>
      <c r="E6" t="s">
        <v>745</v>
      </c>
      <c r="F6" s="7" t="s">
        <v>323</v>
      </c>
      <c r="G6" s="7">
        <v>4</v>
      </c>
    </row>
    <row r="7" spans="1:10" x14ac:dyDescent="0.3">
      <c r="A7" s="7" t="s">
        <v>630</v>
      </c>
      <c r="B7" s="9">
        <v>99031</v>
      </c>
      <c r="C7" s="9">
        <v>104</v>
      </c>
      <c r="D7" s="2" t="s">
        <v>641</v>
      </c>
      <c r="E7" t="s">
        <v>610</v>
      </c>
      <c r="F7" s="7" t="s">
        <v>300</v>
      </c>
      <c r="G7" s="7">
        <v>2</v>
      </c>
      <c r="H7" s="7" t="s">
        <v>435</v>
      </c>
      <c r="I7" s="7" t="s">
        <v>301</v>
      </c>
      <c r="J7" s="7" t="s">
        <v>58</v>
      </c>
    </row>
    <row r="8" spans="1:10" x14ac:dyDescent="0.3">
      <c r="A8" s="7" t="s">
        <v>630</v>
      </c>
      <c r="B8" s="9">
        <v>73590</v>
      </c>
      <c r="C8" s="9">
        <v>0</v>
      </c>
      <c r="D8" s="2" t="s">
        <v>629</v>
      </c>
      <c r="E8" t="s">
        <v>614</v>
      </c>
      <c r="F8" s="7" t="s">
        <v>300</v>
      </c>
      <c r="G8" s="7">
        <v>12</v>
      </c>
      <c r="H8" s="7" t="s">
        <v>434</v>
      </c>
      <c r="I8" s="7" t="s">
        <v>303</v>
      </c>
      <c r="J8" s="7" t="s">
        <v>60</v>
      </c>
    </row>
    <row r="9" spans="1:10" x14ac:dyDescent="0.3">
      <c r="A9" s="7" t="s">
        <v>630</v>
      </c>
      <c r="B9" s="9">
        <v>73289</v>
      </c>
      <c r="C9" s="9">
        <v>0</v>
      </c>
      <c r="D9" s="2" t="s">
        <v>641</v>
      </c>
      <c r="E9" t="s">
        <v>596</v>
      </c>
      <c r="F9" s="7" t="s">
        <v>300</v>
      </c>
      <c r="G9" s="7">
        <v>25</v>
      </c>
      <c r="H9" s="7" t="s">
        <v>435</v>
      </c>
      <c r="I9" s="7" t="s">
        <v>301</v>
      </c>
      <c r="J9" s="7" t="s">
        <v>58</v>
      </c>
    </row>
    <row r="10" spans="1:10" x14ac:dyDescent="0.3">
      <c r="A10" s="7" t="s">
        <v>630</v>
      </c>
      <c r="B10" s="9">
        <v>70537</v>
      </c>
      <c r="C10" s="9">
        <v>0</v>
      </c>
      <c r="D10" s="2" t="s">
        <v>641</v>
      </c>
      <c r="E10" t="s">
        <v>592</v>
      </c>
      <c r="F10" s="7" t="s">
        <v>300</v>
      </c>
      <c r="G10" s="7">
        <v>2</v>
      </c>
      <c r="H10" s="7" t="s">
        <v>435</v>
      </c>
      <c r="I10" s="7" t="s">
        <v>301</v>
      </c>
      <c r="J10" s="7" t="s">
        <v>58</v>
      </c>
    </row>
    <row r="11" spans="1:10" x14ac:dyDescent="0.3">
      <c r="A11" s="7" t="s">
        <v>630</v>
      </c>
      <c r="B11" s="9">
        <v>71146</v>
      </c>
      <c r="C11" s="9">
        <v>0</v>
      </c>
      <c r="D11" s="2" t="s">
        <v>629</v>
      </c>
      <c r="E11" t="s">
        <v>618</v>
      </c>
      <c r="F11" s="7" t="s">
        <v>300</v>
      </c>
      <c r="G11" s="7">
        <v>35</v>
      </c>
      <c r="H11" s="7" t="s">
        <v>434</v>
      </c>
      <c r="I11" s="7" t="s">
        <v>303</v>
      </c>
      <c r="J11" s="7" t="s">
        <v>60</v>
      </c>
    </row>
    <row r="12" spans="1:10" x14ac:dyDescent="0.3">
      <c r="A12" s="7" t="s">
        <v>630</v>
      </c>
      <c r="B12" s="9">
        <v>73569</v>
      </c>
      <c r="C12" s="9">
        <v>0</v>
      </c>
      <c r="D12" s="2" t="s">
        <v>641</v>
      </c>
      <c r="E12" t="s">
        <v>602</v>
      </c>
      <c r="F12" s="7" t="s">
        <v>300</v>
      </c>
      <c r="G12" s="7">
        <v>55</v>
      </c>
      <c r="H12" s="7" t="s">
        <v>435</v>
      </c>
      <c r="I12" s="7" t="s">
        <v>301</v>
      </c>
      <c r="J12" s="7" t="s">
        <v>58</v>
      </c>
    </row>
    <row r="13" spans="1:10" x14ac:dyDescent="0.3">
      <c r="A13" s="7" t="s">
        <v>630</v>
      </c>
      <c r="B13" s="9">
        <v>99061</v>
      </c>
      <c r="C13" s="9">
        <v>112</v>
      </c>
      <c r="D13" s="2" t="s">
        <v>629</v>
      </c>
      <c r="E13" t="s">
        <v>620</v>
      </c>
      <c r="F13" s="7" t="s">
        <v>300</v>
      </c>
      <c r="G13" s="7">
        <v>29</v>
      </c>
      <c r="H13" s="7" t="s">
        <v>434</v>
      </c>
      <c r="I13" s="7" t="s">
        <v>303</v>
      </c>
      <c r="J13" s="7" t="s">
        <v>60</v>
      </c>
    </row>
    <row r="14" spans="1:10" x14ac:dyDescent="0.3">
      <c r="A14" s="7" t="s">
        <v>630</v>
      </c>
      <c r="B14" s="9">
        <v>71159</v>
      </c>
      <c r="C14" s="9">
        <v>0</v>
      </c>
      <c r="D14" s="2" t="s">
        <v>629</v>
      </c>
      <c r="E14" t="s">
        <v>622</v>
      </c>
      <c r="F14" s="7" t="s">
        <v>300</v>
      </c>
      <c r="G14" s="7">
        <v>122</v>
      </c>
      <c r="H14" s="7" t="s">
        <v>434</v>
      </c>
      <c r="I14" s="7" t="s">
        <v>303</v>
      </c>
      <c r="J14" s="7" t="s">
        <v>60</v>
      </c>
    </row>
    <row r="15" spans="1:10" x14ac:dyDescent="0.3">
      <c r="A15" s="7" t="s">
        <v>630</v>
      </c>
      <c r="B15" s="9">
        <v>73549</v>
      </c>
      <c r="C15" s="9">
        <v>0</v>
      </c>
      <c r="D15" s="2" t="s">
        <v>641</v>
      </c>
      <c r="E15" t="s">
        <v>687</v>
      </c>
      <c r="F15" s="7" t="s">
        <v>303</v>
      </c>
      <c r="G15" s="7">
        <v>4</v>
      </c>
    </row>
    <row r="16" spans="1:10" x14ac:dyDescent="0.3">
      <c r="A16" s="7" t="s">
        <v>630</v>
      </c>
      <c r="B16" s="9">
        <v>73540</v>
      </c>
      <c r="C16" s="9">
        <v>0</v>
      </c>
      <c r="D16" s="2" t="s">
        <v>641</v>
      </c>
      <c r="E16" t="s">
        <v>681</v>
      </c>
      <c r="F16" s="7" t="s">
        <v>302</v>
      </c>
      <c r="G16" s="7">
        <v>12</v>
      </c>
    </row>
    <row r="17" spans="1:10" x14ac:dyDescent="0.3">
      <c r="A17" s="7" t="s">
        <v>630</v>
      </c>
      <c r="B17" s="9">
        <v>70024</v>
      </c>
      <c r="C17" s="9">
        <v>0</v>
      </c>
      <c r="D17" s="2" t="s">
        <v>641</v>
      </c>
      <c r="E17" t="s">
        <v>594</v>
      </c>
      <c r="F17" s="7" t="s">
        <v>300</v>
      </c>
      <c r="G17" s="7">
        <v>110</v>
      </c>
      <c r="H17" s="7" t="s">
        <v>435</v>
      </c>
      <c r="I17" s="7" t="s">
        <v>301</v>
      </c>
      <c r="J17" s="7" t="s">
        <v>58</v>
      </c>
    </row>
    <row r="18" spans="1:10" x14ac:dyDescent="0.3">
      <c r="A18" s="7" t="s">
        <v>630</v>
      </c>
      <c r="B18" s="9">
        <v>71161</v>
      </c>
      <c r="C18" s="9">
        <v>0</v>
      </c>
      <c r="D18" s="2" t="s">
        <v>629</v>
      </c>
      <c r="E18" t="s">
        <v>624</v>
      </c>
      <c r="F18" s="7" t="s">
        <v>300</v>
      </c>
      <c r="G18" s="7">
        <v>2</v>
      </c>
      <c r="H18" s="7" t="s">
        <v>434</v>
      </c>
      <c r="I18" s="7" t="s">
        <v>303</v>
      </c>
      <c r="J18" s="7" t="s">
        <v>60</v>
      </c>
    </row>
    <row r="19" spans="1:10" x14ac:dyDescent="0.3">
      <c r="A19" s="7" t="s">
        <v>630</v>
      </c>
      <c r="B19" s="9">
        <v>99137</v>
      </c>
      <c r="C19" s="9">
        <v>0</v>
      </c>
      <c r="D19" s="2" t="s">
        <v>629</v>
      </c>
      <c r="E19" t="s">
        <v>741</v>
      </c>
      <c r="F19" s="7" t="s">
        <v>323</v>
      </c>
      <c r="G19" s="7">
        <v>4</v>
      </c>
    </row>
    <row r="20" spans="1:10" x14ac:dyDescent="0.3">
      <c r="A20" s="7" t="s">
        <v>630</v>
      </c>
      <c r="B20" s="9">
        <v>71163</v>
      </c>
      <c r="C20" s="9">
        <v>0</v>
      </c>
      <c r="D20" s="2" t="s">
        <v>629</v>
      </c>
      <c r="E20" t="s">
        <v>626</v>
      </c>
      <c r="F20" s="7" t="s">
        <v>300</v>
      </c>
      <c r="G20" s="7">
        <v>22</v>
      </c>
      <c r="H20" s="7" t="s">
        <v>434</v>
      </c>
      <c r="I20" s="7" t="s">
        <v>303</v>
      </c>
      <c r="J20" s="7" t="s">
        <v>60</v>
      </c>
    </row>
    <row r="21" spans="1:10" x14ac:dyDescent="0.3">
      <c r="A21" s="7" t="s">
        <v>630</v>
      </c>
      <c r="B21" s="9">
        <v>71255</v>
      </c>
      <c r="C21" s="9">
        <v>0</v>
      </c>
      <c r="D21" s="2" t="s">
        <v>641</v>
      </c>
      <c r="E21" t="s">
        <v>648</v>
      </c>
      <c r="F21" s="7" t="s">
        <v>298</v>
      </c>
      <c r="G21" s="7">
        <v>2</v>
      </c>
    </row>
    <row r="22" spans="1:10" x14ac:dyDescent="0.3">
      <c r="A22" s="7" t="s">
        <v>630</v>
      </c>
      <c r="B22" s="9">
        <v>71415</v>
      </c>
      <c r="C22" s="9">
        <v>0</v>
      </c>
      <c r="D22" s="2" t="s">
        <v>641</v>
      </c>
      <c r="E22" t="s">
        <v>652</v>
      </c>
      <c r="F22" s="7" t="s">
        <v>303</v>
      </c>
      <c r="G22" s="7">
        <v>8</v>
      </c>
    </row>
    <row r="23" spans="1:10" x14ac:dyDescent="0.3">
      <c r="A23" s="7" t="s">
        <v>630</v>
      </c>
      <c r="B23" s="9">
        <v>73444</v>
      </c>
      <c r="C23" s="9">
        <v>0</v>
      </c>
      <c r="D23" s="2" t="s">
        <v>629</v>
      </c>
      <c r="E23" t="s">
        <v>616</v>
      </c>
      <c r="F23" s="7" t="s">
        <v>300</v>
      </c>
      <c r="G23" s="7">
        <v>44</v>
      </c>
      <c r="H23" s="7" t="s">
        <v>434</v>
      </c>
      <c r="I23" s="7" t="s">
        <v>303</v>
      </c>
      <c r="J23" s="7" t="s">
        <v>60</v>
      </c>
    </row>
    <row r="24" spans="1:10" x14ac:dyDescent="0.3">
      <c r="A24" s="7" t="s">
        <v>630</v>
      </c>
      <c r="B24" s="9">
        <v>73413</v>
      </c>
      <c r="C24" s="9">
        <v>0</v>
      </c>
      <c r="D24" s="2" t="s">
        <v>641</v>
      </c>
      <c r="E24" t="s">
        <v>590</v>
      </c>
      <c r="F24" s="7" t="s">
        <v>300</v>
      </c>
      <c r="G24" s="7">
        <v>443</v>
      </c>
      <c r="H24" s="7" t="s">
        <v>435</v>
      </c>
      <c r="I24" s="7" t="s">
        <v>301</v>
      </c>
      <c r="J24" s="7" t="s">
        <v>58</v>
      </c>
    </row>
    <row r="25" spans="1:10" x14ac:dyDescent="0.3">
      <c r="A25" s="7" t="s">
        <v>630</v>
      </c>
      <c r="B25" s="9">
        <v>99031</v>
      </c>
      <c r="C25" s="9">
        <v>92</v>
      </c>
      <c r="D25" s="2" t="s">
        <v>629</v>
      </c>
      <c r="E25" t="s">
        <v>628</v>
      </c>
      <c r="F25" s="7" t="s">
        <v>300</v>
      </c>
      <c r="G25" s="7">
        <v>4</v>
      </c>
      <c r="H25" s="7" t="s">
        <v>434</v>
      </c>
      <c r="I25" s="7" t="s">
        <v>303</v>
      </c>
      <c r="J25" s="7" t="s">
        <v>60</v>
      </c>
    </row>
    <row r="26" spans="1:10" x14ac:dyDescent="0.3">
      <c r="A26" s="7" t="s">
        <v>630</v>
      </c>
      <c r="B26" s="9">
        <v>99137</v>
      </c>
      <c r="C26" s="9">
        <v>1</v>
      </c>
      <c r="D26" s="2" t="s">
        <v>629</v>
      </c>
      <c r="E26" t="s">
        <v>743</v>
      </c>
      <c r="F26" s="7" t="s">
        <v>323</v>
      </c>
      <c r="G26" s="7">
        <v>4</v>
      </c>
    </row>
    <row r="27" spans="1:10" x14ac:dyDescent="0.3">
      <c r="A27" s="7" t="s">
        <v>629</v>
      </c>
      <c r="B27" s="9">
        <v>71366</v>
      </c>
      <c r="C27" s="9">
        <v>0</v>
      </c>
      <c r="D27" s="2" t="s">
        <v>630</v>
      </c>
      <c r="E27" t="s">
        <v>650</v>
      </c>
      <c r="F27" s="7" t="s">
        <v>303</v>
      </c>
      <c r="G27" s="7">
        <v>2</v>
      </c>
    </row>
    <row r="28" spans="1:10" x14ac:dyDescent="0.3">
      <c r="A28" s="7" t="s">
        <v>629</v>
      </c>
      <c r="B28" s="9">
        <v>71145</v>
      </c>
      <c r="C28" s="9">
        <v>0</v>
      </c>
      <c r="D28" s="2" t="s">
        <v>630</v>
      </c>
      <c r="E28" t="s">
        <v>646</v>
      </c>
      <c r="F28" s="7" t="s">
        <v>300</v>
      </c>
      <c r="G28" s="7">
        <v>44</v>
      </c>
      <c r="H28" s="7" t="s">
        <v>212</v>
      </c>
      <c r="I28" s="7" t="s">
        <v>299</v>
      </c>
    </row>
    <row r="29" spans="1:10" x14ac:dyDescent="0.3">
      <c r="A29" s="7" t="s">
        <v>629</v>
      </c>
      <c r="B29" s="9">
        <v>99061</v>
      </c>
      <c r="C29" s="9">
        <v>106</v>
      </c>
      <c r="D29" s="2" t="s">
        <v>630</v>
      </c>
      <c r="E29" t="s">
        <v>733</v>
      </c>
      <c r="F29" s="7" t="s">
        <v>300</v>
      </c>
      <c r="G29" s="7">
        <v>41</v>
      </c>
      <c r="H29" s="7" t="s">
        <v>212</v>
      </c>
      <c r="I29" s="7" t="s">
        <v>299</v>
      </c>
    </row>
    <row r="30" spans="1:10" x14ac:dyDescent="0.3">
      <c r="A30" s="7" t="s">
        <v>629</v>
      </c>
      <c r="B30" s="9">
        <v>99031</v>
      </c>
      <c r="C30" s="9">
        <v>91</v>
      </c>
      <c r="D30" s="2" t="s">
        <v>630</v>
      </c>
      <c r="E30" t="s">
        <v>713</v>
      </c>
      <c r="F30" s="7" t="s">
        <v>300</v>
      </c>
      <c r="G30" s="7">
        <v>2</v>
      </c>
      <c r="H30" s="7" t="s">
        <v>212</v>
      </c>
      <c r="I30" s="7" t="s">
        <v>299</v>
      </c>
    </row>
    <row r="31" spans="1:10" x14ac:dyDescent="0.3">
      <c r="A31" s="7" t="s">
        <v>629</v>
      </c>
      <c r="B31" s="9">
        <v>73262</v>
      </c>
      <c r="C31" s="9">
        <v>0</v>
      </c>
      <c r="D31" s="2" t="s">
        <v>630</v>
      </c>
      <c r="E31" t="s">
        <v>656</v>
      </c>
      <c r="F31" s="7" t="s">
        <v>300</v>
      </c>
      <c r="G31" s="7">
        <v>15</v>
      </c>
      <c r="H31" s="7" t="s">
        <v>212</v>
      </c>
      <c r="I31" s="7" t="s">
        <v>299</v>
      </c>
    </row>
    <row r="32" spans="1:10" x14ac:dyDescent="0.3">
      <c r="A32" s="7" t="s">
        <v>629</v>
      </c>
      <c r="B32" s="9">
        <v>70013</v>
      </c>
      <c r="C32" s="9">
        <v>0</v>
      </c>
      <c r="D32" s="2" t="s">
        <v>632</v>
      </c>
      <c r="E32" t="s">
        <v>600</v>
      </c>
      <c r="F32" s="7" t="s">
        <v>300</v>
      </c>
      <c r="G32" s="7">
        <v>30</v>
      </c>
      <c r="H32" s="7" t="s">
        <v>434</v>
      </c>
      <c r="I32" s="7" t="s">
        <v>303</v>
      </c>
      <c r="J32" s="7" t="s">
        <v>58</v>
      </c>
    </row>
    <row r="33" spans="1:10" x14ac:dyDescent="0.3">
      <c r="A33" s="7" t="s">
        <v>629</v>
      </c>
      <c r="B33" s="9">
        <v>99031</v>
      </c>
      <c r="C33" s="9">
        <v>191</v>
      </c>
      <c r="D33" s="2" t="s">
        <v>630</v>
      </c>
      <c r="E33" t="s">
        <v>731</v>
      </c>
      <c r="F33" s="7" t="s">
        <v>300</v>
      </c>
      <c r="G33" s="7">
        <v>8</v>
      </c>
      <c r="H33" s="7" t="s">
        <v>212</v>
      </c>
      <c r="I33" s="7" t="s">
        <v>299</v>
      </c>
    </row>
    <row r="34" spans="1:10" x14ac:dyDescent="0.3">
      <c r="A34" s="7" t="s">
        <v>629</v>
      </c>
      <c r="B34" s="9">
        <v>73557</v>
      </c>
      <c r="C34" s="9">
        <v>0</v>
      </c>
      <c r="D34" s="2" t="s">
        <v>630</v>
      </c>
      <c r="E34" t="s">
        <v>689</v>
      </c>
      <c r="F34" s="7" t="s">
        <v>300</v>
      </c>
      <c r="G34" s="7">
        <v>12</v>
      </c>
      <c r="H34" s="7" t="s">
        <v>212</v>
      </c>
      <c r="I34" s="7" t="s">
        <v>299</v>
      </c>
    </row>
    <row r="35" spans="1:10" x14ac:dyDescent="0.3">
      <c r="A35" s="7" t="s">
        <v>629</v>
      </c>
      <c r="B35" s="9">
        <v>70897</v>
      </c>
      <c r="C35" s="9">
        <v>4</v>
      </c>
      <c r="D35" s="2" t="s">
        <v>630</v>
      </c>
      <c r="E35" t="s">
        <v>639</v>
      </c>
      <c r="F35" s="7" t="s">
        <v>300</v>
      </c>
      <c r="G35" s="7">
        <v>2</v>
      </c>
      <c r="H35" s="7" t="s">
        <v>212</v>
      </c>
      <c r="I35" s="7" t="s">
        <v>299</v>
      </c>
    </row>
    <row r="36" spans="1:10" x14ac:dyDescent="0.3">
      <c r="A36" s="7" t="s">
        <v>629</v>
      </c>
      <c r="B36" s="9">
        <v>99031</v>
      </c>
      <c r="C36" s="9">
        <v>182</v>
      </c>
      <c r="D36" s="2" t="s">
        <v>632</v>
      </c>
      <c r="E36" t="s">
        <v>608</v>
      </c>
      <c r="F36" s="7" t="s">
        <v>300</v>
      </c>
      <c r="G36" s="7">
        <v>2</v>
      </c>
      <c r="H36" s="7" t="s">
        <v>434</v>
      </c>
      <c r="I36" s="7" t="s">
        <v>303</v>
      </c>
      <c r="J36" s="7" t="s">
        <v>58</v>
      </c>
    </row>
    <row r="37" spans="1:10" x14ac:dyDescent="0.3">
      <c r="A37" s="7" t="s">
        <v>629</v>
      </c>
      <c r="B37" s="9">
        <v>73394</v>
      </c>
      <c r="C37" s="9">
        <v>0</v>
      </c>
      <c r="D37" s="2" t="s">
        <v>632</v>
      </c>
      <c r="E37" t="s">
        <v>660</v>
      </c>
      <c r="F37" s="7" t="s">
        <v>298</v>
      </c>
      <c r="G37" s="7">
        <v>12</v>
      </c>
    </row>
    <row r="38" spans="1:10" x14ac:dyDescent="0.3">
      <c r="A38" s="7" t="s">
        <v>629</v>
      </c>
      <c r="B38" s="9">
        <v>73425</v>
      </c>
      <c r="C38" s="9">
        <v>0</v>
      </c>
      <c r="D38" s="2" t="s">
        <v>630</v>
      </c>
      <c r="E38" t="s">
        <v>662</v>
      </c>
      <c r="F38" s="7" t="s">
        <v>300</v>
      </c>
      <c r="G38" s="7">
        <v>8</v>
      </c>
      <c r="H38" s="7" t="s">
        <v>212</v>
      </c>
      <c r="I38" s="7" t="s">
        <v>299</v>
      </c>
    </row>
    <row r="39" spans="1:10" x14ac:dyDescent="0.3">
      <c r="A39" s="7" t="s">
        <v>629</v>
      </c>
      <c r="B39" s="9">
        <v>99138</v>
      </c>
      <c r="C39" s="9">
        <v>4</v>
      </c>
      <c r="D39" s="2" t="s">
        <v>630</v>
      </c>
      <c r="E39" t="s">
        <v>747</v>
      </c>
      <c r="F39" s="7" t="s">
        <v>300</v>
      </c>
      <c r="G39" s="7">
        <v>8</v>
      </c>
      <c r="H39" s="7" t="s">
        <v>212</v>
      </c>
      <c r="I39" s="7" t="s">
        <v>299</v>
      </c>
    </row>
    <row r="40" spans="1:10" x14ac:dyDescent="0.3">
      <c r="A40" s="7" t="s">
        <v>629</v>
      </c>
      <c r="B40" s="9">
        <v>73519</v>
      </c>
      <c r="C40" s="9">
        <v>0</v>
      </c>
      <c r="D40" s="2" t="s">
        <v>632</v>
      </c>
      <c r="E40" t="s">
        <v>606</v>
      </c>
      <c r="F40" s="7" t="s">
        <v>300</v>
      </c>
      <c r="G40" s="7">
        <v>2</v>
      </c>
      <c r="H40" s="7" t="s">
        <v>434</v>
      </c>
      <c r="I40" s="7" t="s">
        <v>303</v>
      </c>
      <c r="J40" s="7" t="s">
        <v>58</v>
      </c>
    </row>
    <row r="41" spans="1:10" x14ac:dyDescent="0.3">
      <c r="A41" s="7" t="s">
        <v>629</v>
      </c>
      <c r="B41" s="9">
        <v>73565</v>
      </c>
      <c r="C41" s="9">
        <v>0</v>
      </c>
      <c r="D41" s="2" t="s">
        <v>630</v>
      </c>
      <c r="E41" t="s">
        <v>691</v>
      </c>
      <c r="F41" s="7" t="s">
        <v>300</v>
      </c>
      <c r="G41" s="7">
        <v>2</v>
      </c>
      <c r="H41" s="7" t="s">
        <v>212</v>
      </c>
      <c r="I41" s="7" t="s">
        <v>299</v>
      </c>
    </row>
    <row r="42" spans="1:10" x14ac:dyDescent="0.3">
      <c r="A42" s="7" t="s">
        <v>629</v>
      </c>
      <c r="B42" s="9">
        <v>70011</v>
      </c>
      <c r="C42" s="9">
        <v>0</v>
      </c>
      <c r="D42" s="2" t="s">
        <v>632</v>
      </c>
      <c r="E42" t="s">
        <v>598</v>
      </c>
      <c r="F42" s="7" t="s">
        <v>300</v>
      </c>
      <c r="G42" s="7">
        <v>2</v>
      </c>
      <c r="H42" s="7" t="s">
        <v>434</v>
      </c>
      <c r="I42" s="7" t="s">
        <v>303</v>
      </c>
      <c r="J42" s="7" t="s">
        <v>58</v>
      </c>
    </row>
    <row r="43" spans="1:10" x14ac:dyDescent="0.3">
      <c r="A43" s="7" t="s">
        <v>632</v>
      </c>
      <c r="B43" s="9">
        <v>73522</v>
      </c>
      <c r="C43" s="9">
        <v>0</v>
      </c>
      <c r="D43" s="2" t="s">
        <v>630</v>
      </c>
      <c r="E43" t="s">
        <v>677</v>
      </c>
      <c r="F43" s="7" t="s">
        <v>300</v>
      </c>
      <c r="G43" s="7">
        <v>12</v>
      </c>
      <c r="H43" s="7" t="s">
        <v>432</v>
      </c>
      <c r="I43" s="7" t="s">
        <v>298</v>
      </c>
    </row>
    <row r="44" spans="1:10" x14ac:dyDescent="0.3">
      <c r="A44" s="7" t="s">
        <v>632</v>
      </c>
      <c r="B44" s="9">
        <v>73539</v>
      </c>
      <c r="C44" s="9">
        <v>0</v>
      </c>
      <c r="D44" s="2" t="s">
        <v>630</v>
      </c>
      <c r="E44" t="s">
        <v>679</v>
      </c>
      <c r="F44" s="7" t="s">
        <v>303</v>
      </c>
      <c r="G44" s="7">
        <v>18</v>
      </c>
    </row>
    <row r="45" spans="1:10" x14ac:dyDescent="0.3">
      <c r="A45" s="7" t="s">
        <v>632</v>
      </c>
      <c r="B45" s="9">
        <v>73610</v>
      </c>
      <c r="C45" s="9">
        <v>0</v>
      </c>
      <c r="D45" s="2" t="s">
        <v>630</v>
      </c>
      <c r="E45" t="s">
        <v>705</v>
      </c>
      <c r="F45" s="7" t="s">
        <v>300</v>
      </c>
      <c r="G45" s="7">
        <v>2258</v>
      </c>
      <c r="H45" s="7" t="s">
        <v>432</v>
      </c>
      <c r="I45" s="7" t="s">
        <v>298</v>
      </c>
    </row>
    <row r="46" spans="1:10" x14ac:dyDescent="0.3">
      <c r="A46" s="7" t="s">
        <v>632</v>
      </c>
      <c r="B46" s="9">
        <v>73577</v>
      </c>
      <c r="C46" s="9">
        <v>0</v>
      </c>
      <c r="D46" s="2" t="s">
        <v>630</v>
      </c>
      <c r="E46" t="s">
        <v>695</v>
      </c>
      <c r="F46" s="7" t="s">
        <v>300</v>
      </c>
      <c r="G46" s="7">
        <v>8</v>
      </c>
      <c r="H46" s="7" t="s">
        <v>432</v>
      </c>
      <c r="I46" s="7" t="s">
        <v>298</v>
      </c>
    </row>
    <row r="47" spans="1:10" x14ac:dyDescent="0.3">
      <c r="A47" s="7" t="s">
        <v>632</v>
      </c>
      <c r="B47" s="9">
        <v>73368</v>
      </c>
      <c r="C47" s="9">
        <v>0</v>
      </c>
      <c r="D47" s="2" t="s">
        <v>641</v>
      </c>
      <c r="E47" t="s">
        <v>658</v>
      </c>
      <c r="F47" s="7" t="s">
        <v>303</v>
      </c>
      <c r="G47" s="7">
        <v>4</v>
      </c>
    </row>
    <row r="48" spans="1:10" x14ac:dyDescent="0.3">
      <c r="A48" s="7" t="s">
        <v>641</v>
      </c>
      <c r="B48" s="9">
        <v>99031</v>
      </c>
      <c r="C48" s="9">
        <v>172</v>
      </c>
      <c r="D48" s="2" t="s">
        <v>629</v>
      </c>
      <c r="E48" t="s">
        <v>723</v>
      </c>
      <c r="F48" s="7" t="s">
        <v>300</v>
      </c>
      <c r="G48" s="7">
        <v>4</v>
      </c>
      <c r="H48" s="7" t="s">
        <v>432</v>
      </c>
      <c r="I48" s="7" t="s">
        <v>298</v>
      </c>
    </row>
    <row r="49" spans="1:9" x14ac:dyDescent="0.3">
      <c r="A49" s="7" t="s">
        <v>641</v>
      </c>
      <c r="B49" s="9">
        <v>99062</v>
      </c>
      <c r="C49" s="9">
        <v>96</v>
      </c>
      <c r="D49" s="2" t="s">
        <v>629</v>
      </c>
      <c r="E49" t="s">
        <v>739</v>
      </c>
      <c r="F49" s="7" t="s">
        <v>300</v>
      </c>
      <c r="G49" s="7">
        <v>52</v>
      </c>
      <c r="H49" s="7" t="s">
        <v>432</v>
      </c>
      <c r="I49" s="7" t="s">
        <v>298</v>
      </c>
    </row>
    <row r="50" spans="1:9" x14ac:dyDescent="0.3">
      <c r="A50" s="7" t="s">
        <v>641</v>
      </c>
      <c r="B50" s="9">
        <v>73516</v>
      </c>
      <c r="C50" s="9">
        <v>0</v>
      </c>
      <c r="D50" s="2" t="s">
        <v>629</v>
      </c>
      <c r="E50" t="s">
        <v>673</v>
      </c>
      <c r="F50" s="7" t="s">
        <v>300</v>
      </c>
      <c r="G50" s="7">
        <v>4</v>
      </c>
      <c r="H50" s="7" t="s">
        <v>432</v>
      </c>
      <c r="I50" s="7" t="s">
        <v>298</v>
      </c>
    </row>
    <row r="51" spans="1:9" x14ac:dyDescent="0.3">
      <c r="A51" s="7" t="s">
        <v>641</v>
      </c>
      <c r="B51" s="9">
        <v>73508</v>
      </c>
      <c r="C51" s="9">
        <v>0</v>
      </c>
      <c r="D51" s="2" t="s">
        <v>629</v>
      </c>
      <c r="E51" t="s">
        <v>671</v>
      </c>
      <c r="F51" s="7" t="s">
        <v>300</v>
      </c>
      <c r="G51" s="7">
        <v>88</v>
      </c>
      <c r="H51" s="7" t="s">
        <v>432</v>
      </c>
      <c r="I51" s="7" t="s">
        <v>298</v>
      </c>
    </row>
    <row r="52" spans="1:9" x14ac:dyDescent="0.3">
      <c r="A52" s="7" t="s">
        <v>641</v>
      </c>
      <c r="B52" s="9">
        <v>71132</v>
      </c>
      <c r="C52" s="9">
        <v>0</v>
      </c>
      <c r="D52" s="2" t="s">
        <v>629</v>
      </c>
      <c r="E52" t="s">
        <v>644</v>
      </c>
      <c r="F52" s="7" t="s">
        <v>300</v>
      </c>
      <c r="G52" s="7">
        <v>8</v>
      </c>
      <c r="H52" s="7" t="s">
        <v>432</v>
      </c>
      <c r="I52" s="7" t="s">
        <v>298</v>
      </c>
    </row>
    <row r="53" spans="1:9" x14ac:dyDescent="0.3">
      <c r="A53" s="7" t="s">
        <v>641</v>
      </c>
      <c r="B53" s="9">
        <v>71128</v>
      </c>
      <c r="C53" s="9">
        <v>0</v>
      </c>
      <c r="D53" s="2" t="s">
        <v>629</v>
      </c>
      <c r="E53" t="s">
        <v>642</v>
      </c>
      <c r="F53" s="7" t="s">
        <v>300</v>
      </c>
      <c r="G53" s="7">
        <v>78</v>
      </c>
      <c r="H53" s="7" t="s">
        <v>432</v>
      </c>
      <c r="I53" s="7" t="s">
        <v>298</v>
      </c>
    </row>
    <row r="54" spans="1:9" x14ac:dyDescent="0.3">
      <c r="A54" s="7" t="s">
        <v>641</v>
      </c>
      <c r="B54" s="9">
        <v>99031</v>
      </c>
      <c r="C54" s="9">
        <v>180</v>
      </c>
      <c r="D54" s="2" t="s">
        <v>629</v>
      </c>
      <c r="E54" t="s">
        <v>725</v>
      </c>
      <c r="F54" s="7" t="s">
        <v>300</v>
      </c>
      <c r="G54" s="7">
        <v>6</v>
      </c>
      <c r="H54" s="7" t="s">
        <v>432</v>
      </c>
      <c r="I54" s="7" t="s">
        <v>298</v>
      </c>
    </row>
  </sheetData>
  <printOptions horizontalCentered="1"/>
  <pageMargins left="0.2" right="0.2" top="0.5" bottom="0.25" header="0.3" footer="0.3"/>
  <pageSetup orientation="landscape" r:id="rId1"/>
  <headerFooter>
    <oddHeader>&amp;L&amp;A&amp;C&amp;D&amp;RPage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ServiceRetapes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434340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B8949-A2E9-4648-8E5F-DCCDFF8B6704}">
  <sheetPr codeName="Sheet19">
    <pageSetUpPr fitToPage="1"/>
  </sheetPr>
  <dimension ref="A1:Q106"/>
  <sheetViews>
    <sheetView topLeftCell="A36" zoomScaleNormal="100" workbookViewId="0">
      <selection activeCell="E8" sqref="E8"/>
    </sheetView>
  </sheetViews>
  <sheetFormatPr defaultRowHeight="14.4" x14ac:dyDescent="0.3"/>
  <cols>
    <col min="1" max="1" width="7.33203125" customWidth="1"/>
    <col min="2" max="2" width="7" style="2" customWidth="1"/>
    <col min="3" max="3" width="9.5546875" style="2" customWidth="1"/>
    <col min="4" max="5" width="9.109375" style="5" customWidth="1"/>
    <col min="6" max="6" width="9.109375" style="2" customWidth="1"/>
    <col min="7" max="7" width="8.88671875" style="2" customWidth="1"/>
    <col min="8" max="8" width="34" bestFit="1" customWidth="1"/>
    <col min="9" max="10" width="10.109375" style="2" customWidth="1"/>
    <col min="11" max="12" width="15.109375" style="2" customWidth="1"/>
    <col min="13" max="13" width="13.33203125" style="2" customWidth="1"/>
    <col min="14" max="14" width="12.109375" style="2" customWidth="1"/>
    <col min="15" max="15" width="14.33203125" style="2" customWidth="1"/>
    <col min="16" max="16" width="16.33203125" style="2" customWidth="1"/>
    <col min="17" max="17" width="13.77734375" style="2" customWidth="1"/>
    <col min="18" max="18" width="20.6640625" bestFit="1" customWidth="1"/>
    <col min="19" max="19" width="28.44140625" bestFit="1" customWidth="1"/>
    <col min="20" max="20" width="14.88671875" bestFit="1" customWidth="1"/>
    <col min="21" max="21" width="15.88671875" bestFit="1" customWidth="1"/>
  </cols>
  <sheetData>
    <row r="1" spans="1:17" s="4" customFormat="1" ht="43.2" customHeight="1" x14ac:dyDescent="0.3">
      <c r="A1" s="4" t="s">
        <v>270</v>
      </c>
      <c r="B1" s="4" t="s">
        <v>276</v>
      </c>
      <c r="C1" s="4" t="s">
        <v>8</v>
      </c>
      <c r="D1" s="4" t="s">
        <v>272</v>
      </c>
      <c r="E1" s="4" t="s">
        <v>273</v>
      </c>
      <c r="F1" s="4" t="s">
        <v>275</v>
      </c>
      <c r="G1" s="4" t="s">
        <v>5</v>
      </c>
      <c r="H1" s="4" t="s">
        <v>10</v>
      </c>
      <c r="I1" s="4" t="s">
        <v>13</v>
      </c>
      <c r="J1" s="4" t="s">
        <v>71</v>
      </c>
      <c r="K1" s="4" t="s">
        <v>206</v>
      </c>
      <c r="L1" s="4" t="s">
        <v>207</v>
      </c>
      <c r="M1" s="4" t="s">
        <v>208</v>
      </c>
    </row>
    <row r="2" spans="1:17" x14ac:dyDescent="0.3">
      <c r="A2" t="s">
        <v>702</v>
      </c>
      <c r="B2" s="7">
        <v>102</v>
      </c>
      <c r="C2" s="2" t="s">
        <v>58</v>
      </c>
      <c r="D2" s="9">
        <v>73595</v>
      </c>
      <c r="E2" s="9">
        <v>0</v>
      </c>
      <c r="F2" s="7">
        <v>102</v>
      </c>
      <c r="G2" s="2" t="s">
        <v>53</v>
      </c>
      <c r="H2" t="s">
        <v>703</v>
      </c>
      <c r="I2" s="2" t="s">
        <v>300</v>
      </c>
      <c r="J2" s="2">
        <v>2</v>
      </c>
      <c r="K2" s="2" t="s">
        <v>434</v>
      </c>
      <c r="L2" s="2" t="s">
        <v>303</v>
      </c>
      <c r="M2" s="2" t="s">
        <v>59</v>
      </c>
      <c r="N2"/>
      <c r="O2"/>
      <c r="P2"/>
      <c r="Q2"/>
    </row>
    <row r="3" spans="1:17" x14ac:dyDescent="0.3">
      <c r="A3" t="s">
        <v>696</v>
      </c>
      <c r="B3" s="7">
        <v>102</v>
      </c>
      <c r="C3" s="2" t="s">
        <v>58</v>
      </c>
      <c r="D3" s="9">
        <v>73578</v>
      </c>
      <c r="E3" s="9">
        <v>0</v>
      </c>
      <c r="F3" s="7">
        <v>102</v>
      </c>
      <c r="G3" s="2" t="s">
        <v>53</v>
      </c>
      <c r="H3" t="s">
        <v>697</v>
      </c>
      <c r="I3" s="2" t="s">
        <v>300</v>
      </c>
      <c r="J3" s="2">
        <v>4</v>
      </c>
      <c r="K3" s="2" t="s">
        <v>434</v>
      </c>
      <c r="L3" s="2" t="s">
        <v>303</v>
      </c>
      <c r="M3" s="2" t="s">
        <v>59</v>
      </c>
      <c r="N3"/>
      <c r="O3"/>
      <c r="P3"/>
      <c r="Q3"/>
    </row>
    <row r="4" spans="1:17" x14ac:dyDescent="0.3">
      <c r="A4" t="s">
        <v>718</v>
      </c>
      <c r="B4" s="7">
        <v>102</v>
      </c>
      <c r="C4" s="2" t="s">
        <v>58</v>
      </c>
      <c r="D4" s="9">
        <v>99031</v>
      </c>
      <c r="E4" s="9">
        <v>97</v>
      </c>
      <c r="F4" s="7">
        <v>102</v>
      </c>
      <c r="G4" s="2" t="s">
        <v>53</v>
      </c>
      <c r="H4" t="s">
        <v>719</v>
      </c>
      <c r="I4" s="2" t="s">
        <v>300</v>
      </c>
      <c r="J4" s="2">
        <v>2</v>
      </c>
      <c r="K4" s="2" t="s">
        <v>434</v>
      </c>
      <c r="L4" s="2" t="s">
        <v>303</v>
      </c>
      <c r="M4" s="2" t="s">
        <v>59</v>
      </c>
      <c r="N4"/>
      <c r="O4"/>
      <c r="P4"/>
      <c r="Q4"/>
    </row>
    <row r="5" spans="1:17" x14ac:dyDescent="0.3">
      <c r="A5" t="s">
        <v>611</v>
      </c>
      <c r="B5" s="7">
        <v>102</v>
      </c>
      <c r="C5" s="2" t="s">
        <v>58</v>
      </c>
      <c r="D5" s="9">
        <v>99031</v>
      </c>
      <c r="E5" s="9">
        <v>189</v>
      </c>
      <c r="F5" s="7">
        <v>102</v>
      </c>
      <c r="G5" s="2" t="s">
        <v>53</v>
      </c>
      <c r="H5" t="s">
        <v>612</v>
      </c>
      <c r="I5" s="2" t="s">
        <v>300</v>
      </c>
      <c r="J5" s="2">
        <v>4</v>
      </c>
      <c r="K5" s="2" t="s">
        <v>434</v>
      </c>
      <c r="L5" s="2" t="s">
        <v>303</v>
      </c>
      <c r="M5" s="2" t="s">
        <v>59</v>
      </c>
      <c r="N5"/>
      <c r="O5"/>
      <c r="P5"/>
      <c r="Q5"/>
    </row>
    <row r="6" spans="1:17" x14ac:dyDescent="0.3">
      <c r="A6" t="s">
        <v>728</v>
      </c>
      <c r="B6" s="7">
        <v>102</v>
      </c>
      <c r="C6" s="2" t="s">
        <v>58</v>
      </c>
      <c r="D6" s="9">
        <v>99031</v>
      </c>
      <c r="E6" s="9">
        <v>190</v>
      </c>
      <c r="F6" s="7">
        <v>102</v>
      </c>
      <c r="G6" s="2" t="s">
        <v>53</v>
      </c>
      <c r="H6" t="s">
        <v>729</v>
      </c>
      <c r="I6" s="2" t="s">
        <v>300</v>
      </c>
      <c r="J6" s="2">
        <v>38</v>
      </c>
      <c r="K6" s="2" t="s">
        <v>434</v>
      </c>
      <c r="L6" s="2" t="s">
        <v>303</v>
      </c>
      <c r="M6" s="2" t="s">
        <v>59</v>
      </c>
      <c r="N6"/>
      <c r="O6"/>
      <c r="P6"/>
      <c r="Q6"/>
    </row>
    <row r="7" spans="1:17" x14ac:dyDescent="0.3">
      <c r="A7" t="s">
        <v>684</v>
      </c>
      <c r="B7" s="7">
        <v>102</v>
      </c>
      <c r="C7" s="2" t="s">
        <v>58</v>
      </c>
      <c r="D7" s="9">
        <v>73544</v>
      </c>
      <c r="E7" s="9">
        <v>0</v>
      </c>
      <c r="F7" s="7">
        <v>102</v>
      </c>
      <c r="G7" s="2" t="s">
        <v>53</v>
      </c>
      <c r="H7" t="s">
        <v>685</v>
      </c>
      <c r="I7" s="2" t="s">
        <v>303</v>
      </c>
      <c r="J7" s="2">
        <v>4</v>
      </c>
      <c r="N7"/>
      <c r="O7"/>
      <c r="P7"/>
      <c r="Q7"/>
    </row>
    <row r="8" spans="1:17" x14ac:dyDescent="0.3">
      <c r="A8" t="s">
        <v>706</v>
      </c>
      <c r="B8" s="7">
        <v>102</v>
      </c>
      <c r="C8" s="2" t="s">
        <v>58</v>
      </c>
      <c r="D8" s="9">
        <v>99031</v>
      </c>
      <c r="E8" s="9">
        <v>61</v>
      </c>
      <c r="F8" s="7">
        <v>102</v>
      </c>
      <c r="G8" s="2" t="s">
        <v>53</v>
      </c>
      <c r="H8" t="s">
        <v>707</v>
      </c>
      <c r="I8" s="2" t="s">
        <v>300</v>
      </c>
      <c r="J8" s="2">
        <v>8</v>
      </c>
      <c r="K8" s="2" t="s">
        <v>434</v>
      </c>
      <c r="L8" s="2" t="s">
        <v>303</v>
      </c>
      <c r="M8" s="2" t="s">
        <v>59</v>
      </c>
      <c r="N8"/>
      <c r="O8"/>
      <c r="P8"/>
      <c r="Q8"/>
    </row>
    <row r="9" spans="1:17" x14ac:dyDescent="0.3">
      <c r="A9" t="s">
        <v>663</v>
      </c>
      <c r="B9" s="7">
        <v>102</v>
      </c>
      <c r="C9" s="2" t="s">
        <v>58</v>
      </c>
      <c r="D9" s="9">
        <v>73470</v>
      </c>
      <c r="E9" s="9">
        <v>3</v>
      </c>
      <c r="F9" s="7">
        <v>102</v>
      </c>
      <c r="G9" s="2" t="s">
        <v>52</v>
      </c>
      <c r="H9" t="s">
        <v>665</v>
      </c>
      <c r="I9" s="2" t="s">
        <v>300</v>
      </c>
      <c r="J9" s="2">
        <v>2</v>
      </c>
      <c r="K9" s="2" t="s">
        <v>3805</v>
      </c>
      <c r="L9" s="2" t="s">
        <v>300</v>
      </c>
      <c r="M9" s="2" t="s">
        <v>60</v>
      </c>
      <c r="N9"/>
      <c r="O9"/>
      <c r="P9"/>
      <c r="Q9"/>
    </row>
    <row r="10" spans="1:17" x14ac:dyDescent="0.3">
      <c r="A10" t="s">
        <v>748</v>
      </c>
      <c r="B10" s="7">
        <v>102</v>
      </c>
      <c r="C10" s="2" t="s">
        <v>58</v>
      </c>
      <c r="D10" s="9">
        <v>99189</v>
      </c>
      <c r="E10" s="9">
        <v>1</v>
      </c>
      <c r="F10" s="7">
        <v>102</v>
      </c>
      <c r="G10" s="2" t="s">
        <v>52</v>
      </c>
      <c r="H10" t="s">
        <v>749</v>
      </c>
      <c r="I10" s="2" t="s">
        <v>300</v>
      </c>
      <c r="J10" s="2">
        <v>2</v>
      </c>
      <c r="K10" s="2" t="s">
        <v>3805</v>
      </c>
      <c r="L10" s="2" t="s">
        <v>300</v>
      </c>
      <c r="M10" s="2" t="s">
        <v>60</v>
      </c>
      <c r="N10"/>
      <c r="O10"/>
      <c r="P10"/>
      <c r="Q10"/>
    </row>
    <row r="11" spans="1:17" x14ac:dyDescent="0.3">
      <c r="A11" t="s">
        <v>750</v>
      </c>
      <c r="B11" s="7">
        <v>102</v>
      </c>
      <c r="C11" s="2" t="s">
        <v>58</v>
      </c>
      <c r="D11" s="9">
        <v>99189</v>
      </c>
      <c r="E11" s="9">
        <v>2</v>
      </c>
      <c r="F11" s="7">
        <v>102</v>
      </c>
      <c r="G11" s="2" t="s">
        <v>52</v>
      </c>
      <c r="H11" t="s">
        <v>751</v>
      </c>
      <c r="I11" s="2" t="s">
        <v>323</v>
      </c>
      <c r="J11" s="2">
        <v>2</v>
      </c>
      <c r="N11"/>
      <c r="O11"/>
      <c r="P11"/>
      <c r="Q11"/>
    </row>
    <row r="12" spans="1:17" x14ac:dyDescent="0.3">
      <c r="A12" t="s">
        <v>744</v>
      </c>
      <c r="B12" s="7">
        <v>102</v>
      </c>
      <c r="C12" s="2" t="s">
        <v>58</v>
      </c>
      <c r="D12" s="9">
        <v>99137</v>
      </c>
      <c r="E12" s="9">
        <v>2</v>
      </c>
      <c r="F12" s="7">
        <v>102</v>
      </c>
      <c r="G12" s="2" t="s">
        <v>52</v>
      </c>
      <c r="H12" t="s">
        <v>745</v>
      </c>
      <c r="I12" s="2" t="s">
        <v>323</v>
      </c>
      <c r="J12" s="2">
        <v>4</v>
      </c>
      <c r="N12"/>
      <c r="O12"/>
      <c r="P12"/>
      <c r="Q12"/>
    </row>
    <row r="13" spans="1:17" x14ac:dyDescent="0.3">
      <c r="A13" t="s">
        <v>726</v>
      </c>
      <c r="B13" s="7">
        <v>102</v>
      </c>
      <c r="C13" s="2" t="s">
        <v>58</v>
      </c>
      <c r="D13" s="9">
        <v>99031</v>
      </c>
      <c r="E13" s="9">
        <v>181</v>
      </c>
      <c r="F13" s="7">
        <v>102</v>
      </c>
      <c r="G13" s="2" t="s">
        <v>52</v>
      </c>
      <c r="H13" t="s">
        <v>727</v>
      </c>
      <c r="I13" s="2" t="s">
        <v>300</v>
      </c>
      <c r="J13" s="2">
        <v>8</v>
      </c>
      <c r="K13" s="2" t="s">
        <v>3805</v>
      </c>
      <c r="L13" s="2" t="s">
        <v>300</v>
      </c>
      <c r="M13" s="2" t="s">
        <v>60</v>
      </c>
      <c r="N13"/>
      <c r="O13"/>
      <c r="P13"/>
      <c r="Q13"/>
    </row>
    <row r="14" spans="1:17" x14ac:dyDescent="0.3">
      <c r="A14" t="s">
        <v>674</v>
      </c>
      <c r="B14" s="7">
        <v>102</v>
      </c>
      <c r="C14" s="2" t="s">
        <v>58</v>
      </c>
      <c r="D14" s="9">
        <v>73517</v>
      </c>
      <c r="E14" s="9">
        <v>0</v>
      </c>
      <c r="F14" s="7">
        <v>102</v>
      </c>
      <c r="G14" s="2" t="s">
        <v>52</v>
      </c>
      <c r="H14" t="s">
        <v>675</v>
      </c>
      <c r="I14" s="2" t="s">
        <v>300</v>
      </c>
      <c r="J14" s="2">
        <v>4</v>
      </c>
      <c r="K14" s="2" t="s">
        <v>3805</v>
      </c>
      <c r="L14" s="2" t="s">
        <v>300</v>
      </c>
      <c r="M14" s="2" t="s">
        <v>60</v>
      </c>
      <c r="N14"/>
      <c r="O14"/>
      <c r="P14"/>
      <c r="Q14"/>
    </row>
    <row r="15" spans="1:17" x14ac:dyDescent="0.3">
      <c r="A15" t="s">
        <v>708</v>
      </c>
      <c r="B15" s="7">
        <v>102</v>
      </c>
      <c r="C15" s="2" t="s">
        <v>58</v>
      </c>
      <c r="D15" s="9">
        <v>99031</v>
      </c>
      <c r="E15" s="9">
        <v>89</v>
      </c>
      <c r="F15" s="7">
        <v>102</v>
      </c>
      <c r="G15" s="2" t="s">
        <v>52</v>
      </c>
      <c r="H15" t="s">
        <v>709</v>
      </c>
      <c r="I15" s="2" t="s">
        <v>300</v>
      </c>
      <c r="J15" s="2">
        <v>4</v>
      </c>
      <c r="K15" s="2" t="s">
        <v>3805</v>
      </c>
      <c r="L15" s="2" t="s">
        <v>300</v>
      </c>
      <c r="M15" s="2" t="s">
        <v>60</v>
      </c>
      <c r="N15"/>
      <c r="O15"/>
      <c r="P15"/>
      <c r="Q15"/>
    </row>
    <row r="16" spans="1:17" x14ac:dyDescent="0.3">
      <c r="A16" t="s">
        <v>710</v>
      </c>
      <c r="B16" s="7">
        <v>102</v>
      </c>
      <c r="C16" s="2" t="s">
        <v>58</v>
      </c>
      <c r="D16" s="9">
        <v>99031</v>
      </c>
      <c r="E16" s="9">
        <v>90</v>
      </c>
      <c r="F16" s="7">
        <v>102</v>
      </c>
      <c r="G16" s="2" t="s">
        <v>52</v>
      </c>
      <c r="H16" t="s">
        <v>711</v>
      </c>
      <c r="I16" s="2" t="s">
        <v>300</v>
      </c>
      <c r="J16" s="2">
        <v>6</v>
      </c>
      <c r="K16" s="2" t="s">
        <v>3805</v>
      </c>
      <c r="L16" s="2" t="s">
        <v>300</v>
      </c>
      <c r="M16" s="2" t="s">
        <v>60</v>
      </c>
      <c r="N16"/>
      <c r="O16"/>
      <c r="P16"/>
      <c r="Q16"/>
    </row>
    <row r="17" spans="1:17" x14ac:dyDescent="0.3">
      <c r="A17" t="s">
        <v>752</v>
      </c>
      <c r="B17" s="7">
        <v>102</v>
      </c>
      <c r="C17" s="2" t="s">
        <v>58</v>
      </c>
      <c r="D17" s="9">
        <v>99189</v>
      </c>
      <c r="E17" s="9">
        <v>3</v>
      </c>
      <c r="F17" s="7">
        <v>102</v>
      </c>
      <c r="G17" s="2" t="s">
        <v>52</v>
      </c>
      <c r="H17" t="s">
        <v>753</v>
      </c>
      <c r="I17" s="2" t="s">
        <v>323</v>
      </c>
      <c r="J17" s="2">
        <v>2</v>
      </c>
      <c r="N17"/>
      <c r="O17"/>
      <c r="P17"/>
      <c r="Q17"/>
    </row>
    <row r="18" spans="1:17" x14ac:dyDescent="0.3">
      <c r="A18" t="s">
        <v>736</v>
      </c>
      <c r="B18" s="7">
        <v>102</v>
      </c>
      <c r="C18" s="2" t="s">
        <v>58</v>
      </c>
      <c r="D18" s="9">
        <v>99062</v>
      </c>
      <c r="E18" s="9">
        <v>37</v>
      </c>
      <c r="F18" s="7">
        <v>102</v>
      </c>
      <c r="G18" s="2" t="s">
        <v>52</v>
      </c>
      <c r="H18" t="s">
        <v>737</v>
      </c>
      <c r="I18" s="2" t="s">
        <v>300</v>
      </c>
      <c r="J18" s="2">
        <v>77</v>
      </c>
      <c r="K18" s="2" t="s">
        <v>3805</v>
      </c>
      <c r="L18" s="2" t="s">
        <v>300</v>
      </c>
      <c r="M18" s="2" t="s">
        <v>60</v>
      </c>
      <c r="N18"/>
      <c r="O18"/>
      <c r="P18"/>
      <c r="Q18"/>
    </row>
    <row r="19" spans="1:17" x14ac:dyDescent="0.3">
      <c r="A19" t="s">
        <v>621</v>
      </c>
      <c r="B19" s="7">
        <v>102</v>
      </c>
      <c r="C19" s="2" t="s">
        <v>53</v>
      </c>
      <c r="D19" s="9">
        <v>71159</v>
      </c>
      <c r="E19" s="9">
        <v>0</v>
      </c>
      <c r="F19" s="7">
        <v>102</v>
      </c>
      <c r="G19" s="2" t="s">
        <v>58</v>
      </c>
      <c r="H19" t="s">
        <v>622</v>
      </c>
      <c r="I19" s="2" t="s">
        <v>300</v>
      </c>
      <c r="J19" s="2">
        <v>122</v>
      </c>
      <c r="K19" s="2" t="s">
        <v>212</v>
      </c>
      <c r="L19" s="2" t="s">
        <v>299</v>
      </c>
      <c r="N19"/>
      <c r="O19"/>
      <c r="P19"/>
      <c r="Q19"/>
    </row>
    <row r="20" spans="1:17" x14ac:dyDescent="0.3">
      <c r="A20" t="s">
        <v>740</v>
      </c>
      <c r="B20" s="7">
        <v>102</v>
      </c>
      <c r="C20" s="2" t="s">
        <v>53</v>
      </c>
      <c r="D20" s="9">
        <v>99137</v>
      </c>
      <c r="E20" s="9">
        <v>0</v>
      </c>
      <c r="F20" s="7">
        <v>102</v>
      </c>
      <c r="G20" s="2" t="s">
        <v>58</v>
      </c>
      <c r="H20" t="s">
        <v>741</v>
      </c>
      <c r="I20" s="2" t="s">
        <v>323</v>
      </c>
      <c r="J20" s="2">
        <v>4</v>
      </c>
      <c r="N20"/>
      <c r="O20"/>
      <c r="P20"/>
      <c r="Q20"/>
    </row>
    <row r="21" spans="1:17" x14ac:dyDescent="0.3">
      <c r="A21" t="s">
        <v>591</v>
      </c>
      <c r="B21" s="7">
        <v>102</v>
      </c>
      <c r="C21" s="2" t="s">
        <v>53</v>
      </c>
      <c r="D21" s="9">
        <v>70537</v>
      </c>
      <c r="E21" s="9">
        <v>0</v>
      </c>
      <c r="F21" s="7">
        <v>101</v>
      </c>
      <c r="G21" s="2" t="s">
        <v>53</v>
      </c>
      <c r="H21" t="s">
        <v>592</v>
      </c>
      <c r="I21" s="2" t="s">
        <v>300</v>
      </c>
      <c r="J21" s="2">
        <v>2</v>
      </c>
      <c r="N21"/>
      <c r="O21"/>
      <c r="P21"/>
      <c r="Q21"/>
    </row>
    <row r="22" spans="1:17" x14ac:dyDescent="0.3">
      <c r="A22" t="s">
        <v>613</v>
      </c>
      <c r="B22" s="7">
        <v>102</v>
      </c>
      <c r="C22" s="2" t="s">
        <v>53</v>
      </c>
      <c r="D22" s="9">
        <v>73590</v>
      </c>
      <c r="E22" s="9">
        <v>0</v>
      </c>
      <c r="F22" s="7">
        <v>102</v>
      </c>
      <c r="G22" s="2" t="s">
        <v>60</v>
      </c>
      <c r="H22" t="s">
        <v>614</v>
      </c>
      <c r="I22" s="2" t="s">
        <v>300</v>
      </c>
      <c r="J22" s="2">
        <v>12</v>
      </c>
      <c r="K22" s="2" t="s">
        <v>435</v>
      </c>
      <c r="L22" s="2" t="s">
        <v>301</v>
      </c>
      <c r="M22" s="2" t="s">
        <v>58</v>
      </c>
      <c r="N22"/>
      <c r="O22"/>
      <c r="P22"/>
      <c r="Q22"/>
    </row>
    <row r="23" spans="1:17" x14ac:dyDescent="0.3">
      <c r="A23" t="s">
        <v>609</v>
      </c>
      <c r="B23" s="7">
        <v>102</v>
      </c>
      <c r="C23" s="2" t="s">
        <v>53</v>
      </c>
      <c r="D23" s="9">
        <v>99031</v>
      </c>
      <c r="E23" s="9">
        <v>104</v>
      </c>
      <c r="F23" s="7">
        <v>102</v>
      </c>
      <c r="G23" s="2" t="s">
        <v>60</v>
      </c>
      <c r="H23" t="s">
        <v>610</v>
      </c>
      <c r="I23" s="2" t="s">
        <v>300</v>
      </c>
      <c r="J23" s="2">
        <v>2</v>
      </c>
      <c r="K23" s="2" t="s">
        <v>435</v>
      </c>
      <c r="L23" s="2" t="s">
        <v>301</v>
      </c>
      <c r="M23" s="2" t="s">
        <v>58</v>
      </c>
      <c r="N23"/>
      <c r="O23"/>
      <c r="P23"/>
      <c r="Q23"/>
    </row>
    <row r="24" spans="1:17" x14ac:dyDescent="0.3">
      <c r="A24" t="s">
        <v>601</v>
      </c>
      <c r="B24" s="7">
        <v>102</v>
      </c>
      <c r="C24" s="2" t="s">
        <v>53</v>
      </c>
      <c r="D24" s="9">
        <v>73569</v>
      </c>
      <c r="E24" s="9">
        <v>0</v>
      </c>
      <c r="F24" s="7">
        <v>102</v>
      </c>
      <c r="G24" s="2" t="s">
        <v>60</v>
      </c>
      <c r="H24" t="s">
        <v>602</v>
      </c>
      <c r="I24" s="2" t="s">
        <v>300</v>
      </c>
      <c r="J24" s="2">
        <v>55</v>
      </c>
      <c r="K24" s="2" t="s">
        <v>435</v>
      </c>
      <c r="L24" s="2" t="s">
        <v>301</v>
      </c>
      <c r="M24" s="2" t="s">
        <v>58</v>
      </c>
      <c r="N24"/>
      <c r="O24"/>
      <c r="P24"/>
      <c r="Q24"/>
    </row>
    <row r="25" spans="1:17" x14ac:dyDescent="0.3">
      <c r="A25" t="s">
        <v>619</v>
      </c>
      <c r="B25" s="7">
        <v>102</v>
      </c>
      <c r="C25" s="2" t="s">
        <v>53</v>
      </c>
      <c r="D25" s="9">
        <v>99061</v>
      </c>
      <c r="E25" s="9">
        <v>112</v>
      </c>
      <c r="F25" s="7">
        <v>102</v>
      </c>
      <c r="G25" s="2" t="s">
        <v>60</v>
      </c>
      <c r="H25" t="s">
        <v>620</v>
      </c>
      <c r="I25" s="2" t="s">
        <v>300</v>
      </c>
      <c r="J25" s="2">
        <v>29</v>
      </c>
      <c r="K25" s="2" t="s">
        <v>435</v>
      </c>
      <c r="L25" s="2" t="s">
        <v>301</v>
      </c>
      <c r="M25" s="2" t="s">
        <v>58</v>
      </c>
      <c r="N25"/>
      <c r="O25"/>
      <c r="P25"/>
      <c r="Q25"/>
    </row>
    <row r="26" spans="1:17" x14ac:dyDescent="0.3">
      <c r="A26" t="s">
        <v>625</v>
      </c>
      <c r="B26" s="7">
        <v>102</v>
      </c>
      <c r="C26" s="2" t="s">
        <v>53</v>
      </c>
      <c r="D26" s="9">
        <v>71163</v>
      </c>
      <c r="E26" s="9">
        <v>0</v>
      </c>
      <c r="F26" s="7">
        <v>102</v>
      </c>
      <c r="G26" s="2" t="s">
        <v>60</v>
      </c>
      <c r="H26" t="s">
        <v>626</v>
      </c>
      <c r="I26" s="2" t="s">
        <v>300</v>
      </c>
      <c r="J26" s="2">
        <v>22</v>
      </c>
      <c r="K26" s="2" t="s">
        <v>435</v>
      </c>
      <c r="L26" s="2" t="s">
        <v>301</v>
      </c>
      <c r="M26" s="2" t="s">
        <v>58</v>
      </c>
      <c r="N26"/>
      <c r="O26"/>
      <c r="P26"/>
      <c r="Q26"/>
    </row>
    <row r="27" spans="1:17" x14ac:dyDescent="0.3">
      <c r="A27" t="s">
        <v>647</v>
      </c>
      <c r="B27" s="7">
        <v>102</v>
      </c>
      <c r="C27" s="2" t="s">
        <v>53</v>
      </c>
      <c r="D27" s="9">
        <v>71255</v>
      </c>
      <c r="E27" s="9">
        <v>0</v>
      </c>
      <c r="F27" s="7">
        <v>102</v>
      </c>
      <c r="G27" s="2" t="s">
        <v>60</v>
      </c>
      <c r="H27" t="s">
        <v>648</v>
      </c>
      <c r="I27" s="2" t="s">
        <v>298</v>
      </c>
      <c r="J27" s="2">
        <v>2</v>
      </c>
      <c r="N27"/>
      <c r="O27"/>
      <c r="P27"/>
      <c r="Q27"/>
    </row>
    <row r="28" spans="1:17" x14ac:dyDescent="0.3">
      <c r="A28" t="s">
        <v>686</v>
      </c>
      <c r="B28" s="7">
        <v>102</v>
      </c>
      <c r="C28" s="2" t="s">
        <v>53</v>
      </c>
      <c r="D28" s="9">
        <v>73549</v>
      </c>
      <c r="E28" s="9">
        <v>0</v>
      </c>
      <c r="F28" s="7">
        <v>102</v>
      </c>
      <c r="G28" s="2" t="s">
        <v>60</v>
      </c>
      <c r="H28" t="s">
        <v>687</v>
      </c>
      <c r="I28" s="2" t="s">
        <v>303</v>
      </c>
      <c r="J28" s="2">
        <v>4</v>
      </c>
      <c r="N28"/>
      <c r="O28"/>
      <c r="P28"/>
      <c r="Q28"/>
    </row>
    <row r="29" spans="1:17" x14ac:dyDescent="0.3">
      <c r="A29" t="s">
        <v>680</v>
      </c>
      <c r="B29" s="7">
        <v>102</v>
      </c>
      <c r="C29" s="2" t="s">
        <v>53</v>
      </c>
      <c r="D29" s="9">
        <v>73540</v>
      </c>
      <c r="E29" s="9">
        <v>0</v>
      </c>
      <c r="F29" s="7">
        <v>102</v>
      </c>
      <c r="G29" s="2" t="s">
        <v>60</v>
      </c>
      <c r="H29" t="s">
        <v>681</v>
      </c>
      <c r="I29" s="2" t="s">
        <v>302</v>
      </c>
      <c r="J29" s="2">
        <v>12</v>
      </c>
      <c r="N29"/>
      <c r="O29"/>
      <c r="P29"/>
      <c r="Q29"/>
    </row>
    <row r="30" spans="1:17" x14ac:dyDescent="0.3">
      <c r="A30" t="s">
        <v>615</v>
      </c>
      <c r="B30" s="7">
        <v>102</v>
      </c>
      <c r="C30" s="2" t="s">
        <v>53</v>
      </c>
      <c r="D30" s="9">
        <v>73444</v>
      </c>
      <c r="E30" s="9">
        <v>0</v>
      </c>
      <c r="F30" s="7">
        <v>102</v>
      </c>
      <c r="G30" s="2" t="s">
        <v>60</v>
      </c>
      <c r="H30" t="s">
        <v>616</v>
      </c>
      <c r="I30" s="2" t="s">
        <v>300</v>
      </c>
      <c r="J30" s="2">
        <v>44</v>
      </c>
      <c r="K30" s="2" t="s">
        <v>435</v>
      </c>
      <c r="L30" s="2" t="s">
        <v>301</v>
      </c>
      <c r="M30" s="2" t="s">
        <v>58</v>
      </c>
      <c r="N30"/>
      <c r="O30"/>
      <c r="P30"/>
      <c r="Q30"/>
    </row>
    <row r="31" spans="1:17" x14ac:dyDescent="0.3">
      <c r="A31" t="s">
        <v>627</v>
      </c>
      <c r="B31" s="7">
        <v>102</v>
      </c>
      <c r="C31" s="2" t="s">
        <v>53</v>
      </c>
      <c r="D31" s="9">
        <v>99031</v>
      </c>
      <c r="E31" s="9">
        <v>92</v>
      </c>
      <c r="F31" s="7">
        <v>102</v>
      </c>
      <c r="G31" s="2" t="s">
        <v>60</v>
      </c>
      <c r="H31" t="s">
        <v>628</v>
      </c>
      <c r="I31" s="2" t="s">
        <v>300</v>
      </c>
      <c r="J31" s="2">
        <v>4</v>
      </c>
      <c r="K31" s="2" t="s">
        <v>435</v>
      </c>
      <c r="L31" s="2" t="s">
        <v>301</v>
      </c>
      <c r="M31" s="2" t="s">
        <v>58</v>
      </c>
      <c r="N31"/>
      <c r="O31"/>
      <c r="P31"/>
      <c r="Q31"/>
    </row>
    <row r="32" spans="1:17" x14ac:dyDescent="0.3">
      <c r="A32" t="s">
        <v>595</v>
      </c>
      <c r="B32" s="7">
        <v>102</v>
      </c>
      <c r="C32" s="2" t="s">
        <v>53</v>
      </c>
      <c r="D32" s="9">
        <v>73289</v>
      </c>
      <c r="E32" s="9">
        <v>0</v>
      </c>
      <c r="F32" s="7">
        <v>102</v>
      </c>
      <c r="G32" s="2" t="s">
        <v>60</v>
      </c>
      <c r="H32" t="s">
        <v>596</v>
      </c>
      <c r="I32" s="2" t="s">
        <v>300</v>
      </c>
      <c r="J32" s="2">
        <v>25</v>
      </c>
      <c r="K32" s="2" t="s">
        <v>435</v>
      </c>
      <c r="L32" s="2" t="s">
        <v>301</v>
      </c>
      <c r="M32" s="2" t="s">
        <v>58</v>
      </c>
      <c r="N32"/>
      <c r="O32"/>
      <c r="P32"/>
      <c r="Q32"/>
    </row>
    <row r="33" spans="1:17" x14ac:dyDescent="0.3">
      <c r="A33" t="s">
        <v>589</v>
      </c>
      <c r="B33" s="7">
        <v>102</v>
      </c>
      <c r="C33" s="2" t="s">
        <v>53</v>
      </c>
      <c r="D33" s="9">
        <v>73413</v>
      </c>
      <c r="E33" s="9">
        <v>0</v>
      </c>
      <c r="F33" s="7">
        <v>102</v>
      </c>
      <c r="G33" s="2" t="s">
        <v>60</v>
      </c>
      <c r="H33" t="s">
        <v>590</v>
      </c>
      <c r="I33" s="2" t="s">
        <v>300</v>
      </c>
      <c r="J33" s="2">
        <v>452</v>
      </c>
      <c r="K33" s="2" t="s">
        <v>435</v>
      </c>
      <c r="L33" s="2" t="s">
        <v>301</v>
      </c>
      <c r="M33" s="2" t="s">
        <v>58</v>
      </c>
      <c r="N33"/>
      <c r="O33"/>
      <c r="P33"/>
      <c r="Q33"/>
    </row>
    <row r="34" spans="1:17" x14ac:dyDescent="0.3">
      <c r="A34" t="s">
        <v>617</v>
      </c>
      <c r="B34" s="7">
        <v>102</v>
      </c>
      <c r="C34" s="2" t="s">
        <v>53</v>
      </c>
      <c r="D34" s="9">
        <v>71146</v>
      </c>
      <c r="E34" s="9">
        <v>0</v>
      </c>
      <c r="F34" s="7">
        <v>102</v>
      </c>
      <c r="G34" s="2" t="s">
        <v>60</v>
      </c>
      <c r="H34" t="s">
        <v>618</v>
      </c>
      <c r="I34" s="2" t="s">
        <v>300</v>
      </c>
      <c r="J34" s="2">
        <v>35</v>
      </c>
      <c r="K34" s="2" t="s">
        <v>435</v>
      </c>
      <c r="L34" s="2" t="s">
        <v>301</v>
      </c>
      <c r="M34" s="2" t="s">
        <v>58</v>
      </c>
      <c r="N34"/>
      <c r="O34"/>
      <c r="P34"/>
      <c r="Q34"/>
    </row>
    <row r="35" spans="1:17" x14ac:dyDescent="0.3">
      <c r="A35" t="s">
        <v>593</v>
      </c>
      <c r="B35" s="7">
        <v>102</v>
      </c>
      <c r="C35" s="2" t="s">
        <v>53</v>
      </c>
      <c r="D35" s="9">
        <v>70024</v>
      </c>
      <c r="E35" s="9">
        <v>0</v>
      </c>
      <c r="F35" s="7">
        <v>102</v>
      </c>
      <c r="G35" s="2" t="s">
        <v>60</v>
      </c>
      <c r="H35" t="s">
        <v>594</v>
      </c>
      <c r="I35" s="2" t="s">
        <v>300</v>
      </c>
      <c r="J35" s="2">
        <v>110</v>
      </c>
      <c r="K35" s="2" t="s">
        <v>435</v>
      </c>
      <c r="L35" s="2" t="s">
        <v>301</v>
      </c>
      <c r="M35" s="2" t="s">
        <v>58</v>
      </c>
      <c r="N35"/>
      <c r="O35"/>
      <c r="P35"/>
      <c r="Q35"/>
    </row>
    <row r="36" spans="1:17" x14ac:dyDescent="0.3">
      <c r="A36" t="s">
        <v>597</v>
      </c>
      <c r="B36" s="7">
        <v>102</v>
      </c>
      <c r="C36" s="2" t="s">
        <v>52</v>
      </c>
      <c r="D36" s="9">
        <v>70011</v>
      </c>
      <c r="E36" s="9">
        <v>0</v>
      </c>
      <c r="F36" s="7">
        <v>102</v>
      </c>
      <c r="G36" s="2" t="s">
        <v>58</v>
      </c>
      <c r="H36" t="s">
        <v>598</v>
      </c>
      <c r="I36" s="2" t="s">
        <v>300</v>
      </c>
      <c r="J36" s="2">
        <v>2</v>
      </c>
      <c r="K36" s="2" t="s">
        <v>432</v>
      </c>
      <c r="L36" s="2" t="s">
        <v>298</v>
      </c>
      <c r="N36"/>
      <c r="O36"/>
      <c r="P36"/>
      <c r="Q36"/>
    </row>
    <row r="37" spans="1:17" x14ac:dyDescent="0.3">
      <c r="A37" t="s">
        <v>661</v>
      </c>
      <c r="B37" s="7">
        <v>102</v>
      </c>
      <c r="C37" s="2" t="s">
        <v>52</v>
      </c>
      <c r="D37" s="9">
        <v>73425</v>
      </c>
      <c r="E37" s="9">
        <v>0</v>
      </c>
      <c r="F37" s="7">
        <v>102</v>
      </c>
      <c r="G37" s="2" t="s">
        <v>58</v>
      </c>
      <c r="H37" t="s">
        <v>662</v>
      </c>
      <c r="I37" s="2" t="s">
        <v>300</v>
      </c>
      <c r="J37" s="2">
        <v>8</v>
      </c>
      <c r="K37" s="2" t="s">
        <v>432</v>
      </c>
      <c r="L37" s="2" t="s">
        <v>298</v>
      </c>
      <c r="N37"/>
      <c r="O37"/>
      <c r="P37"/>
      <c r="Q37"/>
    </row>
    <row r="38" spans="1:17" x14ac:dyDescent="0.3">
      <c r="A38" t="s">
        <v>655</v>
      </c>
      <c r="B38" s="7">
        <v>102</v>
      </c>
      <c r="C38" s="2" t="s">
        <v>52</v>
      </c>
      <c r="D38" s="9">
        <v>73262</v>
      </c>
      <c r="E38" s="9">
        <v>0</v>
      </c>
      <c r="F38" s="7">
        <v>102</v>
      </c>
      <c r="G38" s="2" t="s">
        <v>58</v>
      </c>
      <c r="H38" t="s">
        <v>656</v>
      </c>
      <c r="I38" s="2" t="s">
        <v>300</v>
      </c>
      <c r="J38" s="2">
        <v>15</v>
      </c>
      <c r="K38" s="2" t="s">
        <v>432</v>
      </c>
      <c r="L38" s="2" t="s">
        <v>298</v>
      </c>
      <c r="N38"/>
      <c r="O38"/>
      <c r="P38"/>
      <c r="Q38"/>
    </row>
    <row r="39" spans="1:17" x14ac:dyDescent="0.3">
      <c r="A39" t="s">
        <v>746</v>
      </c>
      <c r="B39" s="7">
        <v>102</v>
      </c>
      <c r="C39" s="2" t="s">
        <v>52</v>
      </c>
      <c r="D39" s="9">
        <v>99138</v>
      </c>
      <c r="E39" s="9">
        <v>4</v>
      </c>
      <c r="F39" s="7">
        <v>102</v>
      </c>
      <c r="G39" s="2" t="s">
        <v>58</v>
      </c>
      <c r="H39" t="s">
        <v>747</v>
      </c>
      <c r="I39" s="2" t="s">
        <v>300</v>
      </c>
      <c r="J39" s="2">
        <v>8</v>
      </c>
      <c r="K39" s="2" t="s">
        <v>432</v>
      </c>
      <c r="L39" s="2" t="s">
        <v>298</v>
      </c>
      <c r="N39"/>
      <c r="O39"/>
      <c r="P39"/>
      <c r="Q39"/>
    </row>
    <row r="40" spans="1:17" x14ac:dyDescent="0.3">
      <c r="A40" t="s">
        <v>605</v>
      </c>
      <c r="B40" s="7">
        <v>102</v>
      </c>
      <c r="C40" s="2" t="s">
        <v>52</v>
      </c>
      <c r="D40" s="9">
        <v>73519</v>
      </c>
      <c r="E40" s="9">
        <v>0</v>
      </c>
      <c r="F40" s="7">
        <v>102</v>
      </c>
      <c r="G40" s="2" t="s">
        <v>58</v>
      </c>
      <c r="H40" t="s">
        <v>606</v>
      </c>
      <c r="I40" s="2" t="s">
        <v>300</v>
      </c>
      <c r="J40" s="2">
        <v>2</v>
      </c>
      <c r="K40" s="2" t="s">
        <v>432</v>
      </c>
      <c r="L40" s="2" t="s">
        <v>298</v>
      </c>
      <c r="N40"/>
      <c r="O40"/>
      <c r="P40"/>
      <c r="Q40"/>
    </row>
    <row r="41" spans="1:17" x14ac:dyDescent="0.3">
      <c r="A41" t="s">
        <v>649</v>
      </c>
      <c r="B41" s="7">
        <v>102</v>
      </c>
      <c r="C41" s="2" t="s">
        <v>52</v>
      </c>
      <c r="D41" s="9">
        <v>71366</v>
      </c>
      <c r="E41" s="9">
        <v>0</v>
      </c>
      <c r="F41" s="7">
        <v>102</v>
      </c>
      <c r="G41" s="2" t="s">
        <v>58</v>
      </c>
      <c r="H41" t="s">
        <v>650</v>
      </c>
      <c r="I41" s="2" t="s">
        <v>303</v>
      </c>
      <c r="J41" s="2">
        <v>2</v>
      </c>
      <c r="N41"/>
      <c r="O41"/>
      <c r="P41"/>
      <c r="Q41"/>
    </row>
    <row r="42" spans="1:17" x14ac:dyDescent="0.3">
      <c r="A42" t="s">
        <v>688</v>
      </c>
      <c r="B42" s="7">
        <v>102</v>
      </c>
      <c r="C42" s="2" t="s">
        <v>52</v>
      </c>
      <c r="D42" s="9">
        <v>73557</v>
      </c>
      <c r="E42" s="9">
        <v>0</v>
      </c>
      <c r="F42" s="7">
        <v>102</v>
      </c>
      <c r="G42" s="2" t="s">
        <v>58</v>
      </c>
      <c r="H42" t="s">
        <v>689</v>
      </c>
      <c r="I42" s="2" t="s">
        <v>300</v>
      </c>
      <c r="J42" s="2">
        <v>12</v>
      </c>
      <c r="K42" s="2" t="s">
        <v>432</v>
      </c>
      <c r="L42" s="2" t="s">
        <v>298</v>
      </c>
      <c r="N42"/>
      <c r="O42"/>
      <c r="P42"/>
      <c r="Q42"/>
    </row>
    <row r="43" spans="1:17" x14ac:dyDescent="0.3">
      <c r="A43" t="s">
        <v>599</v>
      </c>
      <c r="B43" s="7">
        <v>102</v>
      </c>
      <c r="C43" s="2" t="s">
        <v>52</v>
      </c>
      <c r="D43" s="9">
        <v>70013</v>
      </c>
      <c r="E43" s="9">
        <v>0</v>
      </c>
      <c r="F43" s="7">
        <v>102</v>
      </c>
      <c r="G43" s="2" t="s">
        <v>58</v>
      </c>
      <c r="H43" t="s">
        <v>600</v>
      </c>
      <c r="I43" s="2" t="s">
        <v>300</v>
      </c>
      <c r="J43" s="2">
        <v>30</v>
      </c>
      <c r="K43" s="2" t="s">
        <v>432</v>
      </c>
      <c r="L43" s="2" t="s">
        <v>298</v>
      </c>
      <c r="N43"/>
      <c r="O43"/>
      <c r="P43"/>
      <c r="Q43"/>
    </row>
    <row r="44" spans="1:17" x14ac:dyDescent="0.3">
      <c r="A44" t="s">
        <v>659</v>
      </c>
      <c r="B44" s="7">
        <v>102</v>
      </c>
      <c r="C44" s="2" t="s">
        <v>52</v>
      </c>
      <c r="D44" s="9">
        <v>73394</v>
      </c>
      <c r="E44" s="9">
        <v>0</v>
      </c>
      <c r="F44" s="7">
        <v>102</v>
      </c>
      <c r="G44" s="2" t="s">
        <v>58</v>
      </c>
      <c r="H44" t="s">
        <v>660</v>
      </c>
      <c r="I44" s="2" t="s">
        <v>298</v>
      </c>
      <c r="J44" s="2">
        <v>12</v>
      </c>
      <c r="N44"/>
      <c r="O44"/>
      <c r="P44"/>
      <c r="Q44"/>
    </row>
    <row r="45" spans="1:17" x14ac:dyDescent="0.3">
      <c r="A45" t="s">
        <v>645</v>
      </c>
      <c r="B45" s="7">
        <v>102</v>
      </c>
      <c r="C45" s="2" t="s">
        <v>52</v>
      </c>
      <c r="D45" s="9">
        <v>71145</v>
      </c>
      <c r="E45" s="9">
        <v>0</v>
      </c>
      <c r="F45" s="7">
        <v>102</v>
      </c>
      <c r="G45" s="2" t="s">
        <v>58</v>
      </c>
      <c r="H45" t="s">
        <v>646</v>
      </c>
      <c r="I45" s="2" t="s">
        <v>300</v>
      </c>
      <c r="J45" s="2">
        <v>44</v>
      </c>
      <c r="K45" s="2" t="s">
        <v>432</v>
      </c>
      <c r="L45" s="2" t="s">
        <v>298</v>
      </c>
      <c r="N45"/>
      <c r="O45"/>
      <c r="P45"/>
      <c r="Q45"/>
    </row>
    <row r="46" spans="1:17" x14ac:dyDescent="0.3">
      <c r="A46" t="s">
        <v>607</v>
      </c>
      <c r="B46" s="7">
        <v>102</v>
      </c>
      <c r="C46" s="2" t="s">
        <v>52</v>
      </c>
      <c r="D46" s="9">
        <v>99031</v>
      </c>
      <c r="E46" s="9">
        <v>182</v>
      </c>
      <c r="F46" s="7">
        <v>102</v>
      </c>
      <c r="G46" s="2" t="s">
        <v>58</v>
      </c>
      <c r="H46" t="s">
        <v>608</v>
      </c>
      <c r="I46" s="2" t="s">
        <v>300</v>
      </c>
      <c r="J46" s="2">
        <v>2</v>
      </c>
      <c r="K46" s="2" t="s">
        <v>432</v>
      </c>
      <c r="L46" s="2" t="s">
        <v>298</v>
      </c>
      <c r="N46"/>
      <c r="O46"/>
      <c r="P46"/>
      <c r="Q46"/>
    </row>
    <row r="47" spans="1:17" x14ac:dyDescent="0.3">
      <c r="A47" t="s">
        <v>638</v>
      </c>
      <c r="B47" s="7">
        <v>102</v>
      </c>
      <c r="C47" s="2" t="s">
        <v>52</v>
      </c>
      <c r="D47" s="9">
        <v>70897</v>
      </c>
      <c r="E47" s="9">
        <v>4</v>
      </c>
      <c r="F47" s="7">
        <v>102</v>
      </c>
      <c r="G47" s="2" t="s">
        <v>58</v>
      </c>
      <c r="H47" t="s">
        <v>639</v>
      </c>
      <c r="I47" s="2" t="s">
        <v>300</v>
      </c>
      <c r="J47" s="2">
        <v>2</v>
      </c>
      <c r="K47" s="2" t="s">
        <v>432</v>
      </c>
      <c r="L47" s="2" t="s">
        <v>298</v>
      </c>
      <c r="N47"/>
      <c r="O47"/>
      <c r="P47"/>
      <c r="Q47"/>
    </row>
    <row r="48" spans="1:17" x14ac:dyDescent="0.3">
      <c r="A48" t="s">
        <v>712</v>
      </c>
      <c r="B48" s="7">
        <v>102</v>
      </c>
      <c r="C48" s="2" t="s">
        <v>52</v>
      </c>
      <c r="D48" s="9">
        <v>99031</v>
      </c>
      <c r="E48" s="9">
        <v>91</v>
      </c>
      <c r="F48" s="7">
        <v>102</v>
      </c>
      <c r="G48" s="2" t="s">
        <v>53</v>
      </c>
      <c r="H48" t="s">
        <v>713</v>
      </c>
      <c r="I48" s="2" t="s">
        <v>300</v>
      </c>
      <c r="J48" s="2">
        <v>2</v>
      </c>
      <c r="K48" s="2" t="s">
        <v>212</v>
      </c>
      <c r="L48" s="2" t="s">
        <v>299</v>
      </c>
      <c r="N48"/>
      <c r="O48"/>
      <c r="P48"/>
      <c r="Q48"/>
    </row>
    <row r="49" spans="1:17" x14ac:dyDescent="0.3">
      <c r="A49" t="s">
        <v>732</v>
      </c>
      <c r="B49" s="7">
        <v>102</v>
      </c>
      <c r="C49" s="2" t="s">
        <v>52</v>
      </c>
      <c r="D49" s="9">
        <v>99061</v>
      </c>
      <c r="E49" s="9">
        <v>106</v>
      </c>
      <c r="F49" s="7">
        <v>102</v>
      </c>
      <c r="G49" s="2" t="s">
        <v>53</v>
      </c>
      <c r="H49" t="s">
        <v>733</v>
      </c>
      <c r="I49" s="2" t="s">
        <v>300</v>
      </c>
      <c r="J49" s="2">
        <v>41</v>
      </c>
      <c r="K49" s="2" t="s">
        <v>212</v>
      </c>
      <c r="L49" s="2" t="s">
        <v>299</v>
      </c>
      <c r="N49"/>
      <c r="O49"/>
      <c r="P49"/>
      <c r="Q49"/>
    </row>
    <row r="50" spans="1:17" x14ac:dyDescent="0.3">
      <c r="A50" t="s">
        <v>730</v>
      </c>
      <c r="B50" s="7">
        <v>102</v>
      </c>
      <c r="C50" s="2" t="s">
        <v>52</v>
      </c>
      <c r="D50" s="9">
        <v>99031</v>
      </c>
      <c r="E50" s="9">
        <v>191</v>
      </c>
      <c r="F50" s="7">
        <v>102</v>
      </c>
      <c r="G50" s="2" t="s">
        <v>53</v>
      </c>
      <c r="H50" t="s">
        <v>731</v>
      </c>
      <c r="I50" s="2" t="s">
        <v>300</v>
      </c>
      <c r="J50" s="2">
        <v>8</v>
      </c>
      <c r="K50" s="2" t="s">
        <v>212</v>
      </c>
      <c r="L50" s="2" t="s">
        <v>299</v>
      </c>
      <c r="N50"/>
      <c r="O50"/>
      <c r="P50"/>
      <c r="Q50"/>
    </row>
    <row r="51" spans="1:17" x14ac:dyDescent="0.3">
      <c r="A51" t="s">
        <v>690</v>
      </c>
      <c r="B51" s="7">
        <v>102</v>
      </c>
      <c r="C51" s="2" t="s">
        <v>52</v>
      </c>
      <c r="D51" s="9">
        <v>73565</v>
      </c>
      <c r="E51" s="9">
        <v>0</v>
      </c>
      <c r="F51" s="7">
        <v>102</v>
      </c>
      <c r="G51" s="2" t="s">
        <v>53</v>
      </c>
      <c r="H51" t="s">
        <v>691</v>
      </c>
      <c r="I51" s="2" t="s">
        <v>300</v>
      </c>
      <c r="J51" s="2">
        <v>2</v>
      </c>
      <c r="K51" s="2" t="s">
        <v>212</v>
      </c>
      <c r="L51" s="2" t="s">
        <v>299</v>
      </c>
      <c r="N51"/>
      <c r="O51"/>
      <c r="P51"/>
      <c r="Q51"/>
    </row>
    <row r="52" spans="1:17" x14ac:dyDescent="0.3">
      <c r="A52" t="s">
        <v>694</v>
      </c>
      <c r="B52" s="7">
        <v>102</v>
      </c>
      <c r="C52" s="2" t="s">
        <v>59</v>
      </c>
      <c r="D52" s="9">
        <v>73577</v>
      </c>
      <c r="E52" s="9">
        <v>0</v>
      </c>
      <c r="F52" s="7">
        <v>102</v>
      </c>
      <c r="G52" s="2" t="s">
        <v>53</v>
      </c>
      <c r="H52" t="s">
        <v>695</v>
      </c>
      <c r="I52" s="2" t="s">
        <v>300</v>
      </c>
      <c r="J52" s="2">
        <v>8</v>
      </c>
      <c r="K52" s="2" t="s">
        <v>432</v>
      </c>
      <c r="L52" s="2" t="s">
        <v>298</v>
      </c>
      <c r="N52"/>
      <c r="O52"/>
      <c r="P52"/>
      <c r="Q52"/>
    </row>
    <row r="53" spans="1:17" x14ac:dyDescent="0.3">
      <c r="A53" t="s">
        <v>722</v>
      </c>
      <c r="B53" s="7">
        <v>102</v>
      </c>
      <c r="C53" s="2" t="s">
        <v>60</v>
      </c>
      <c r="D53" s="9">
        <v>99031</v>
      </c>
      <c r="E53" s="9">
        <v>172</v>
      </c>
      <c r="F53" s="7">
        <v>102</v>
      </c>
      <c r="G53" s="2" t="s">
        <v>52</v>
      </c>
      <c r="H53" t="s">
        <v>723</v>
      </c>
      <c r="I53" s="2" t="s">
        <v>300</v>
      </c>
      <c r="J53" s="2">
        <v>4</v>
      </c>
      <c r="K53" s="2" t="s">
        <v>432</v>
      </c>
      <c r="L53" s="2" t="s">
        <v>298</v>
      </c>
      <c r="N53"/>
      <c r="O53"/>
      <c r="P53"/>
      <c r="Q53"/>
    </row>
    <row r="54" spans="1:17" x14ac:dyDescent="0.3">
      <c r="A54" t="s">
        <v>738</v>
      </c>
      <c r="B54" s="7">
        <v>102</v>
      </c>
      <c r="C54" s="2" t="s">
        <v>60</v>
      </c>
      <c r="D54" s="9">
        <v>99062</v>
      </c>
      <c r="E54" s="9">
        <v>96</v>
      </c>
      <c r="F54" s="7">
        <v>102</v>
      </c>
      <c r="G54" s="2" t="s">
        <v>52</v>
      </c>
      <c r="H54" t="s">
        <v>739</v>
      </c>
      <c r="I54" s="2" t="s">
        <v>300</v>
      </c>
      <c r="J54" s="2">
        <v>52</v>
      </c>
      <c r="K54" s="2" t="s">
        <v>432</v>
      </c>
      <c r="L54" s="2" t="s">
        <v>298</v>
      </c>
      <c r="N54"/>
      <c r="O54"/>
      <c r="P54"/>
      <c r="Q54"/>
    </row>
    <row r="55" spans="1:17" x14ac:dyDescent="0.3">
      <c r="A55" t="s">
        <v>643</v>
      </c>
      <c r="B55" s="7">
        <v>102</v>
      </c>
      <c r="C55" s="2" t="s">
        <v>60</v>
      </c>
      <c r="D55" s="9">
        <v>71132</v>
      </c>
      <c r="E55" s="9">
        <v>0</v>
      </c>
      <c r="F55" s="7">
        <v>102</v>
      </c>
      <c r="G55" s="2" t="s">
        <v>52</v>
      </c>
      <c r="H55" t="s">
        <v>644</v>
      </c>
      <c r="I55" s="2" t="s">
        <v>300</v>
      </c>
      <c r="J55" s="2">
        <v>8</v>
      </c>
      <c r="K55" s="2" t="s">
        <v>432</v>
      </c>
      <c r="L55" s="2" t="s">
        <v>298</v>
      </c>
      <c r="N55"/>
      <c r="O55"/>
      <c r="P55"/>
      <c r="Q55"/>
    </row>
    <row r="56" spans="1:17" x14ac:dyDescent="0.3">
      <c r="A56" t="s">
        <v>640</v>
      </c>
      <c r="B56" s="7">
        <v>102</v>
      </c>
      <c r="C56" s="2" t="s">
        <v>60</v>
      </c>
      <c r="D56" s="9">
        <v>71128</v>
      </c>
      <c r="E56" s="9">
        <v>0</v>
      </c>
      <c r="F56" s="7">
        <v>102</v>
      </c>
      <c r="G56" s="2" t="s">
        <v>52</v>
      </c>
      <c r="H56" t="s">
        <v>642</v>
      </c>
      <c r="I56" s="2" t="s">
        <v>300</v>
      </c>
      <c r="J56" s="2">
        <v>78</v>
      </c>
      <c r="K56" s="2" t="s">
        <v>432</v>
      </c>
      <c r="L56" s="2" t="s">
        <v>298</v>
      </c>
      <c r="N56"/>
      <c r="O56"/>
      <c r="P56"/>
      <c r="Q56"/>
    </row>
    <row r="57" spans="1:17" x14ac:dyDescent="0.3">
      <c r="A57" t="s">
        <v>672</v>
      </c>
      <c r="B57" s="7">
        <v>102</v>
      </c>
      <c r="C57" s="2" t="s">
        <v>60</v>
      </c>
      <c r="D57" s="9">
        <v>73516</v>
      </c>
      <c r="E57" s="9">
        <v>0</v>
      </c>
      <c r="F57" s="7">
        <v>102</v>
      </c>
      <c r="G57" s="2" t="s">
        <v>52</v>
      </c>
      <c r="H57" t="s">
        <v>673</v>
      </c>
      <c r="I57" s="2" t="s">
        <v>300</v>
      </c>
      <c r="J57" s="2">
        <v>4</v>
      </c>
      <c r="K57" s="2" t="s">
        <v>432</v>
      </c>
      <c r="L57" s="2" t="s">
        <v>298</v>
      </c>
      <c r="N57"/>
      <c r="O57"/>
      <c r="P57"/>
      <c r="Q57"/>
    </row>
    <row r="58" spans="1:17" x14ac:dyDescent="0.3">
      <c r="A58" t="s">
        <v>670</v>
      </c>
      <c r="B58" s="7">
        <v>102</v>
      </c>
      <c r="C58" s="2" t="s">
        <v>60</v>
      </c>
      <c r="D58" s="9">
        <v>73508</v>
      </c>
      <c r="E58" s="9">
        <v>0</v>
      </c>
      <c r="F58" s="7">
        <v>102</v>
      </c>
      <c r="G58" s="2" t="s">
        <v>52</v>
      </c>
      <c r="H58" t="s">
        <v>671</v>
      </c>
      <c r="I58" s="2" t="s">
        <v>300</v>
      </c>
      <c r="J58" s="2">
        <v>88</v>
      </c>
      <c r="K58" s="2" t="s">
        <v>432</v>
      </c>
      <c r="L58" s="2" t="s">
        <v>298</v>
      </c>
      <c r="N58"/>
      <c r="O58"/>
      <c r="P58"/>
      <c r="Q58"/>
    </row>
    <row r="59" spans="1:17" x14ac:dyDescent="0.3">
      <c r="A59" t="s">
        <v>724</v>
      </c>
      <c r="B59" s="7">
        <v>102</v>
      </c>
      <c r="C59" s="2" t="s">
        <v>60</v>
      </c>
      <c r="D59" s="9">
        <v>99031</v>
      </c>
      <c r="E59" s="9">
        <v>180</v>
      </c>
      <c r="F59" s="7">
        <v>102</v>
      </c>
      <c r="G59" s="2" t="s">
        <v>52</v>
      </c>
      <c r="H59" t="s">
        <v>725</v>
      </c>
      <c r="I59" s="2" t="s">
        <v>300</v>
      </c>
      <c r="J59" s="2">
        <v>6</v>
      </c>
      <c r="K59" s="2" t="s">
        <v>432</v>
      </c>
      <c r="L59" s="2" t="s">
        <v>298</v>
      </c>
      <c r="N59"/>
      <c r="O59"/>
      <c r="P59"/>
      <c r="Q59"/>
    </row>
    <row r="60" spans="1:17" x14ac:dyDescent="0.3">
      <c r="A60" t="s">
        <v>3806</v>
      </c>
      <c r="B60" s="7">
        <v>103</v>
      </c>
      <c r="C60" s="2" t="s">
        <v>53</v>
      </c>
      <c r="D60" s="9">
        <v>70608</v>
      </c>
      <c r="E60" s="9">
        <v>0</v>
      </c>
      <c r="F60" s="7">
        <v>103</v>
      </c>
      <c r="G60" s="2" t="s">
        <v>60</v>
      </c>
      <c r="H60" t="s">
        <v>2516</v>
      </c>
      <c r="I60" s="2" t="s">
        <v>300</v>
      </c>
      <c r="J60" s="2">
        <v>242</v>
      </c>
      <c r="K60" s="2" t="s">
        <v>435</v>
      </c>
      <c r="L60" s="2" t="s">
        <v>301</v>
      </c>
      <c r="M60" s="2" t="s">
        <v>58</v>
      </c>
      <c r="N60"/>
      <c r="O60"/>
      <c r="P60"/>
      <c r="Q60"/>
    </row>
    <row r="61" spans="1:17" x14ac:dyDescent="0.3">
      <c r="A61" t="s">
        <v>3807</v>
      </c>
      <c r="B61" s="7">
        <v>103</v>
      </c>
      <c r="C61" s="2" t="s">
        <v>53</v>
      </c>
      <c r="D61" s="9">
        <v>73341</v>
      </c>
      <c r="E61" s="9">
        <v>0</v>
      </c>
      <c r="F61" s="7">
        <v>103</v>
      </c>
      <c r="G61" s="2" t="s">
        <v>60</v>
      </c>
      <c r="H61" t="s">
        <v>2577</v>
      </c>
      <c r="I61" s="2" t="s">
        <v>300</v>
      </c>
      <c r="J61" s="2">
        <v>39</v>
      </c>
      <c r="K61" s="2" t="s">
        <v>435</v>
      </c>
      <c r="L61" s="2" t="s">
        <v>301</v>
      </c>
      <c r="M61" s="2" t="s">
        <v>58</v>
      </c>
      <c r="N61"/>
      <c r="O61"/>
      <c r="P61"/>
      <c r="Q61"/>
    </row>
    <row r="62" spans="1:17" x14ac:dyDescent="0.3">
      <c r="A62" t="s">
        <v>3808</v>
      </c>
      <c r="B62" s="7">
        <v>103</v>
      </c>
      <c r="C62" s="2" t="s">
        <v>53</v>
      </c>
      <c r="D62" s="9">
        <v>70608</v>
      </c>
      <c r="E62" s="9">
        <v>1</v>
      </c>
      <c r="F62" s="7">
        <v>103</v>
      </c>
      <c r="G62" s="2" t="s">
        <v>60</v>
      </c>
      <c r="H62" t="s">
        <v>2518</v>
      </c>
      <c r="I62" s="2" t="s">
        <v>300</v>
      </c>
      <c r="J62" s="2">
        <v>71</v>
      </c>
      <c r="K62" s="2" t="s">
        <v>435</v>
      </c>
      <c r="L62" s="2" t="s">
        <v>301</v>
      </c>
      <c r="M62" s="2" t="s">
        <v>58</v>
      </c>
      <c r="N62"/>
      <c r="O62"/>
      <c r="P62"/>
      <c r="Q62"/>
    </row>
    <row r="63" spans="1:17" x14ac:dyDescent="0.3">
      <c r="N63"/>
      <c r="O63"/>
      <c r="P63"/>
      <c r="Q63"/>
    </row>
    <row r="64" spans="1:17" x14ac:dyDescent="0.3">
      <c r="N64"/>
      <c r="O64"/>
      <c r="P64"/>
      <c r="Q64"/>
    </row>
    <row r="65" spans="14:17" x14ac:dyDescent="0.3">
      <c r="N65"/>
      <c r="O65"/>
      <c r="P65"/>
      <c r="Q65"/>
    </row>
    <row r="66" spans="14:17" x14ac:dyDescent="0.3">
      <c r="N66"/>
      <c r="O66"/>
      <c r="P66"/>
      <c r="Q66"/>
    </row>
    <row r="67" spans="14:17" x14ac:dyDescent="0.3">
      <c r="N67"/>
      <c r="O67"/>
      <c r="P67"/>
      <c r="Q67"/>
    </row>
    <row r="68" spans="14:17" x14ac:dyDescent="0.3">
      <c r="N68"/>
      <c r="O68"/>
      <c r="P68"/>
      <c r="Q68"/>
    </row>
    <row r="69" spans="14:17" x14ac:dyDescent="0.3">
      <c r="N69"/>
      <c r="O69"/>
      <c r="P69"/>
      <c r="Q69"/>
    </row>
    <row r="70" spans="14:17" x14ac:dyDescent="0.3">
      <c r="N70"/>
      <c r="O70"/>
      <c r="P70"/>
      <c r="Q70"/>
    </row>
    <row r="71" spans="14:17" x14ac:dyDescent="0.3">
      <c r="N71"/>
      <c r="O71"/>
      <c r="P71"/>
      <c r="Q71"/>
    </row>
    <row r="72" spans="14:17" x14ac:dyDescent="0.3">
      <c r="N72"/>
      <c r="O72"/>
      <c r="P72"/>
      <c r="Q72"/>
    </row>
    <row r="73" spans="14:17" x14ac:dyDescent="0.3">
      <c r="N73"/>
      <c r="O73"/>
      <c r="P73"/>
      <c r="Q73"/>
    </row>
    <row r="74" spans="14:17" x14ac:dyDescent="0.3">
      <c r="N74"/>
      <c r="O74"/>
      <c r="P74"/>
      <c r="Q74"/>
    </row>
    <row r="75" spans="14:17" x14ac:dyDescent="0.3">
      <c r="N75"/>
      <c r="O75"/>
      <c r="P75"/>
      <c r="Q75"/>
    </row>
    <row r="76" spans="14:17" x14ac:dyDescent="0.3">
      <c r="N76"/>
      <c r="O76"/>
      <c r="P76"/>
      <c r="Q76"/>
    </row>
    <row r="77" spans="14:17" x14ac:dyDescent="0.3">
      <c r="N77"/>
      <c r="O77"/>
      <c r="P77"/>
      <c r="Q77"/>
    </row>
    <row r="78" spans="14:17" x14ac:dyDescent="0.3">
      <c r="N78"/>
      <c r="O78"/>
      <c r="P78"/>
      <c r="Q78"/>
    </row>
    <row r="79" spans="14:17" x14ac:dyDescent="0.3">
      <c r="N79"/>
      <c r="O79"/>
      <c r="P79"/>
      <c r="Q79"/>
    </row>
    <row r="80" spans="14:17" x14ac:dyDescent="0.3">
      <c r="N80"/>
      <c r="O80"/>
      <c r="P80"/>
      <c r="Q80"/>
    </row>
    <row r="81" spans="14:17" x14ac:dyDescent="0.3">
      <c r="N81"/>
      <c r="O81"/>
      <c r="P81"/>
      <c r="Q81"/>
    </row>
    <row r="82" spans="14:17" x14ac:dyDescent="0.3">
      <c r="N82"/>
      <c r="O82"/>
      <c r="P82"/>
      <c r="Q82"/>
    </row>
    <row r="83" spans="14:17" x14ac:dyDescent="0.3">
      <c r="N83"/>
      <c r="O83"/>
      <c r="P83"/>
      <c r="Q83"/>
    </row>
    <row r="84" spans="14:17" x14ac:dyDescent="0.3">
      <c r="N84"/>
      <c r="O84"/>
      <c r="P84"/>
      <c r="Q84"/>
    </row>
    <row r="85" spans="14:17" x14ac:dyDescent="0.3">
      <c r="N85"/>
      <c r="O85"/>
      <c r="P85"/>
      <c r="Q85"/>
    </row>
    <row r="86" spans="14:17" x14ac:dyDescent="0.3">
      <c r="N86"/>
      <c r="O86"/>
      <c r="P86"/>
      <c r="Q86"/>
    </row>
    <row r="87" spans="14:17" x14ac:dyDescent="0.3">
      <c r="N87"/>
      <c r="O87"/>
      <c r="P87"/>
      <c r="Q87"/>
    </row>
    <row r="88" spans="14:17" x14ac:dyDescent="0.3">
      <c r="N88"/>
      <c r="O88"/>
      <c r="P88"/>
      <c r="Q88"/>
    </row>
    <row r="89" spans="14:17" x14ac:dyDescent="0.3">
      <c r="N89"/>
      <c r="O89"/>
      <c r="P89"/>
      <c r="Q89"/>
    </row>
    <row r="90" spans="14:17" x14ac:dyDescent="0.3">
      <c r="N90"/>
      <c r="O90"/>
      <c r="P90"/>
      <c r="Q90"/>
    </row>
    <row r="91" spans="14:17" x14ac:dyDescent="0.3">
      <c r="N91"/>
      <c r="O91"/>
      <c r="P91"/>
      <c r="Q91"/>
    </row>
    <row r="92" spans="14:17" x14ac:dyDescent="0.3">
      <c r="N92"/>
      <c r="O92"/>
      <c r="P92"/>
      <c r="Q92"/>
    </row>
    <row r="93" spans="14:17" x14ac:dyDescent="0.3">
      <c r="N93"/>
      <c r="O93"/>
      <c r="P93"/>
      <c r="Q93"/>
    </row>
    <row r="94" spans="14:17" x14ac:dyDescent="0.3">
      <c r="N94"/>
      <c r="O94"/>
      <c r="P94"/>
      <c r="Q94"/>
    </row>
    <row r="95" spans="14:17" x14ac:dyDescent="0.3">
      <c r="N95"/>
      <c r="O95"/>
      <c r="P95"/>
      <c r="Q95"/>
    </row>
    <row r="96" spans="14:17" x14ac:dyDescent="0.3">
      <c r="N96"/>
      <c r="O96"/>
      <c r="P96"/>
      <c r="Q96"/>
    </row>
    <row r="97" spans="14:17" x14ac:dyDescent="0.3">
      <c r="N97"/>
      <c r="O97"/>
      <c r="P97"/>
      <c r="Q97"/>
    </row>
    <row r="98" spans="14:17" x14ac:dyDescent="0.3">
      <c r="N98"/>
      <c r="O98"/>
      <c r="P98"/>
      <c r="Q98"/>
    </row>
    <row r="99" spans="14:17" x14ac:dyDescent="0.3">
      <c r="N99"/>
      <c r="O99"/>
      <c r="P99"/>
      <c r="Q99"/>
    </row>
    <row r="100" spans="14:17" x14ac:dyDescent="0.3">
      <c r="N100"/>
      <c r="O100"/>
      <c r="P100"/>
      <c r="Q100"/>
    </row>
    <row r="101" spans="14:17" x14ac:dyDescent="0.3">
      <c r="N101"/>
      <c r="O101"/>
      <c r="P101"/>
      <c r="Q101"/>
    </row>
    <row r="102" spans="14:17" x14ac:dyDescent="0.3">
      <c r="N102"/>
      <c r="O102"/>
      <c r="P102"/>
      <c r="Q102"/>
    </row>
    <row r="103" spans="14:17" x14ac:dyDescent="0.3">
      <c r="N103"/>
      <c r="O103"/>
      <c r="P103"/>
      <c r="Q103"/>
    </row>
    <row r="104" spans="14:17" x14ac:dyDescent="0.3">
      <c r="N104"/>
      <c r="O104"/>
      <c r="P104"/>
      <c r="Q104"/>
    </row>
    <row r="105" spans="14:17" x14ac:dyDescent="0.3">
      <c r="N105"/>
      <c r="O105"/>
      <c r="P105"/>
      <c r="Q105"/>
    </row>
    <row r="106" spans="14:17" x14ac:dyDescent="0.3">
      <c r="N106"/>
      <c r="O106"/>
      <c r="P106"/>
      <c r="Q106"/>
    </row>
  </sheetData>
  <phoneticPr fontId="1" type="noConversion"/>
  <conditionalFormatting sqref="F2:G1048576">
    <cfRule type="expression" dxfId="12" priority="2">
      <formula>F2&lt;&gt;B2</formula>
    </cfRule>
  </conditionalFormatting>
  <printOptions horizontalCentered="1"/>
  <pageMargins left="0.45" right="0.45" top="0.5" bottom="0.5" header="0.3" footer="0.3"/>
  <pageSetup scale="81" fitToHeight="0" orientation="landscape" r:id="rId1"/>
  <headerFooter>
    <oddHeader>&amp;A</oddHeader>
  </headerFooter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2B24-0225-4EE1-A14B-7649E487029F}">
  <sheetPr codeName="Sheet20"/>
  <dimension ref="A1:BK183"/>
  <sheetViews>
    <sheetView topLeftCell="A1040" workbookViewId="0">
      <selection activeCell="M75" sqref="A75:M75"/>
    </sheetView>
  </sheetViews>
  <sheetFormatPr defaultRowHeight="14.4" x14ac:dyDescent="0.3"/>
  <cols>
    <col min="1" max="1" width="7.77734375" bestFit="1" customWidth="1"/>
    <col min="2" max="2" width="9.109375" bestFit="1" customWidth="1"/>
    <col min="3" max="3" width="10.21875" bestFit="1" customWidth="1"/>
    <col min="4" max="4" width="11.33203125" bestFit="1" customWidth="1"/>
    <col min="5" max="5" width="8" bestFit="1" customWidth="1"/>
    <col min="6" max="6" width="12.44140625" bestFit="1" customWidth="1"/>
    <col min="7" max="7" width="18" bestFit="1" customWidth="1"/>
    <col min="8" max="8" width="11.33203125" bestFit="1" customWidth="1"/>
    <col min="9" max="9" width="17.33203125" bestFit="1" customWidth="1"/>
    <col min="10" max="10" width="11.5546875" bestFit="1" customWidth="1"/>
    <col min="11" max="11" width="17.109375" bestFit="1" customWidth="1"/>
    <col min="12" max="12" width="10.44140625" bestFit="1" customWidth="1"/>
    <col min="13" max="13" width="33.88671875" bestFit="1" customWidth="1"/>
    <col min="14" max="14" width="12" bestFit="1" customWidth="1"/>
    <col min="15" max="15" width="11.109375" bestFit="1" customWidth="1"/>
    <col min="16" max="16" width="52.109375" bestFit="1" customWidth="1"/>
    <col min="17" max="17" width="13.77734375" bestFit="1" customWidth="1"/>
    <col min="18" max="18" width="12.109375" bestFit="1" customWidth="1"/>
    <col min="19" max="19" width="19.44140625" bestFit="1" customWidth="1"/>
    <col min="20" max="20" width="14.88671875" bestFit="1" customWidth="1"/>
    <col min="21" max="21" width="24.21875" bestFit="1" customWidth="1"/>
    <col min="22" max="22" width="33.77734375" bestFit="1" customWidth="1"/>
    <col min="23" max="23" width="20.77734375" bestFit="1" customWidth="1"/>
    <col min="24" max="24" width="12.88671875" bestFit="1" customWidth="1"/>
    <col min="25" max="25" width="14.109375" bestFit="1" customWidth="1"/>
    <col min="26" max="26" width="18" bestFit="1" customWidth="1"/>
    <col min="27" max="27" width="18.33203125" bestFit="1" customWidth="1"/>
    <col min="28" max="28" width="12.88671875" bestFit="1" customWidth="1"/>
    <col min="29" max="29" width="14.109375" bestFit="1" customWidth="1"/>
    <col min="30" max="30" width="18" bestFit="1" customWidth="1"/>
    <col min="31" max="31" width="18.33203125" bestFit="1" customWidth="1"/>
    <col min="32" max="32" width="12.88671875" bestFit="1" customWidth="1"/>
    <col min="33" max="33" width="14.109375" bestFit="1" customWidth="1"/>
    <col min="34" max="34" width="18" bestFit="1" customWidth="1"/>
    <col min="35" max="35" width="18.33203125" bestFit="1" customWidth="1"/>
    <col min="36" max="36" width="12.88671875" bestFit="1" customWidth="1"/>
    <col min="37" max="37" width="14.109375" bestFit="1" customWidth="1"/>
    <col min="38" max="38" width="18" bestFit="1" customWidth="1"/>
    <col min="39" max="39" width="18.33203125" bestFit="1" customWidth="1"/>
    <col min="40" max="40" width="22.33203125" bestFit="1" customWidth="1"/>
    <col min="41" max="41" width="24.109375" bestFit="1" customWidth="1"/>
    <col min="42" max="42" width="23" bestFit="1" customWidth="1"/>
    <col min="43" max="43" width="24.109375" bestFit="1" customWidth="1"/>
    <col min="44" max="44" width="23" bestFit="1" customWidth="1"/>
    <col min="45" max="45" width="22.77734375" bestFit="1" customWidth="1"/>
    <col min="46" max="46" width="19.44140625" bestFit="1" customWidth="1"/>
    <col min="47" max="47" width="31.33203125" bestFit="1" customWidth="1"/>
    <col min="48" max="48" width="16.6640625" bestFit="1" customWidth="1"/>
    <col min="49" max="49" width="21.88671875" bestFit="1" customWidth="1"/>
    <col min="50" max="50" width="14.44140625" bestFit="1" customWidth="1"/>
    <col min="51" max="51" width="18.44140625" bestFit="1" customWidth="1"/>
    <col min="52" max="52" width="16.6640625" bestFit="1" customWidth="1"/>
    <col min="53" max="53" width="23.21875" bestFit="1" customWidth="1"/>
    <col min="54" max="54" width="20.21875" bestFit="1" customWidth="1"/>
    <col min="55" max="55" width="17.109375" bestFit="1" customWidth="1"/>
    <col min="56" max="56" width="29.5546875" bestFit="1" customWidth="1"/>
    <col min="57" max="57" width="30.21875" bestFit="1" customWidth="1"/>
    <col min="58" max="58" width="22.88671875" bestFit="1" customWidth="1"/>
    <col min="59" max="59" width="41.5546875" bestFit="1" customWidth="1"/>
    <col min="60" max="60" width="46.77734375" bestFit="1" customWidth="1"/>
    <col min="61" max="61" width="44.6640625" bestFit="1" customWidth="1"/>
    <col min="62" max="62" width="22.5546875" bestFit="1" customWidth="1"/>
    <col min="63" max="63" width="22.5546875" customWidth="1"/>
    <col min="64" max="64" width="24.109375" bestFit="1" customWidth="1"/>
    <col min="65" max="65" width="23" bestFit="1" customWidth="1"/>
    <col min="66" max="66" width="24.109375" bestFit="1" customWidth="1"/>
    <col min="67" max="67" width="22.5546875" bestFit="1" customWidth="1"/>
    <col min="68" max="68" width="23" bestFit="1" customWidth="1"/>
    <col min="69" max="69" width="22.77734375" bestFit="1" customWidth="1"/>
    <col min="70" max="70" width="18.44140625" bestFit="1" customWidth="1"/>
    <col min="71" max="71" width="16.6640625" bestFit="1" customWidth="1"/>
    <col min="72" max="72" width="20.21875" bestFit="1" customWidth="1"/>
    <col min="73" max="73" width="17.109375" bestFit="1" customWidth="1"/>
    <col min="74" max="77" width="14.109375" bestFit="1" customWidth="1"/>
    <col min="78" max="78" width="34.109375" bestFit="1" customWidth="1"/>
    <col min="79" max="79" width="11.109375" bestFit="1" customWidth="1"/>
    <col min="80" max="80" width="23.21875" bestFit="1" customWidth="1"/>
    <col min="81" max="81" width="29.5546875" bestFit="1" customWidth="1"/>
    <col min="82" max="82" width="30.21875" bestFit="1" customWidth="1"/>
    <col min="83" max="83" width="22.88671875" bestFit="1" customWidth="1"/>
    <col min="84" max="84" width="41.5546875" bestFit="1" customWidth="1"/>
    <col min="85" max="85" width="46.77734375" bestFit="1" customWidth="1"/>
    <col min="86" max="86" width="44.6640625" bestFit="1" customWidth="1"/>
    <col min="87" max="87" width="20.21875" bestFit="1" customWidth="1"/>
    <col min="88" max="88" width="20.44140625" bestFit="1" customWidth="1"/>
    <col min="89" max="89" width="28.21875" bestFit="1" customWidth="1"/>
    <col min="90" max="90" width="22.44140625" bestFit="1" customWidth="1"/>
    <col min="91" max="91" width="23.6640625" bestFit="1" customWidth="1"/>
    <col min="92" max="94" width="22.88671875" bestFit="1" customWidth="1"/>
  </cols>
  <sheetData>
    <row r="1" spans="1:63" x14ac:dyDescent="0.3">
      <c r="A1" t="s">
        <v>270</v>
      </c>
      <c r="B1" t="s">
        <v>271</v>
      </c>
      <c r="C1" t="s">
        <v>272</v>
      </c>
      <c r="D1" t="s">
        <v>273</v>
      </c>
      <c r="E1" t="s">
        <v>274</v>
      </c>
      <c r="F1" t="s">
        <v>275</v>
      </c>
      <c r="G1" t="s">
        <v>5</v>
      </c>
      <c r="H1" t="s">
        <v>6</v>
      </c>
      <c r="I1" t="s">
        <v>74</v>
      </c>
      <c r="J1" t="s">
        <v>276</v>
      </c>
      <c r="K1" t="s">
        <v>8</v>
      </c>
      <c r="L1" t="s">
        <v>9</v>
      </c>
      <c r="M1" t="s">
        <v>10</v>
      </c>
      <c r="N1" t="s">
        <v>13</v>
      </c>
      <c r="O1" t="s">
        <v>50</v>
      </c>
      <c r="P1" t="s">
        <v>11</v>
      </c>
      <c r="Q1" t="s">
        <v>16</v>
      </c>
      <c r="R1" t="s">
        <v>17</v>
      </c>
      <c r="S1" t="s">
        <v>32</v>
      </c>
      <c r="T1" t="s">
        <v>277</v>
      </c>
      <c r="U1" t="s">
        <v>278</v>
      </c>
      <c r="V1" t="s">
        <v>279</v>
      </c>
      <c r="W1" t="s">
        <v>280</v>
      </c>
      <c r="X1" t="s">
        <v>281</v>
      </c>
      <c r="Y1" t="s">
        <v>45</v>
      </c>
      <c r="Z1" t="s">
        <v>282</v>
      </c>
      <c r="AA1" t="s">
        <v>283</v>
      </c>
      <c r="AB1" t="s">
        <v>284</v>
      </c>
      <c r="AC1" t="s">
        <v>46</v>
      </c>
      <c r="AD1" t="s">
        <v>285</v>
      </c>
      <c r="AE1" t="s">
        <v>286</v>
      </c>
      <c r="AF1" t="s">
        <v>287</v>
      </c>
      <c r="AG1" t="s">
        <v>47</v>
      </c>
      <c r="AH1" t="s">
        <v>288</v>
      </c>
      <c r="AI1" t="s">
        <v>289</v>
      </c>
      <c r="AJ1" t="s">
        <v>290</v>
      </c>
      <c r="AK1" t="s">
        <v>48</v>
      </c>
      <c r="AL1" t="s">
        <v>291</v>
      </c>
      <c r="AM1" t="s">
        <v>292</v>
      </c>
      <c r="AN1" t="s">
        <v>293</v>
      </c>
      <c r="AO1" t="s">
        <v>35</v>
      </c>
      <c r="AP1" t="s">
        <v>36</v>
      </c>
      <c r="AQ1" t="s">
        <v>37</v>
      </c>
      <c r="AR1" t="s">
        <v>38</v>
      </c>
      <c r="AS1" t="s">
        <v>39</v>
      </c>
      <c r="AT1" t="s">
        <v>31</v>
      </c>
      <c r="AU1" t="s">
        <v>49</v>
      </c>
      <c r="AV1" t="s">
        <v>294</v>
      </c>
      <c r="AW1" t="s">
        <v>12</v>
      </c>
      <c r="AX1" t="s">
        <v>295</v>
      </c>
      <c r="AY1" t="s">
        <v>40</v>
      </c>
      <c r="AZ1" t="s">
        <v>41</v>
      </c>
      <c r="BA1" t="s">
        <v>51</v>
      </c>
      <c r="BB1" t="s">
        <v>42</v>
      </c>
      <c r="BC1" t="s">
        <v>44</v>
      </c>
      <c r="BD1" t="s">
        <v>206</v>
      </c>
      <c r="BE1" t="s">
        <v>207</v>
      </c>
      <c r="BF1" t="s">
        <v>208</v>
      </c>
      <c r="BG1" t="s">
        <v>209</v>
      </c>
      <c r="BH1" t="s">
        <v>387</v>
      </c>
      <c r="BI1" t="s">
        <v>210</v>
      </c>
      <c r="BJ1" t="s">
        <v>211</v>
      </c>
      <c r="BK1" t="s">
        <v>43</v>
      </c>
    </row>
    <row r="2" spans="1:63" hidden="1" x14ac:dyDescent="0.3">
      <c r="A2" t="s">
        <v>761</v>
      </c>
      <c r="B2" t="s">
        <v>98</v>
      </c>
      <c r="C2">
        <v>73366</v>
      </c>
      <c r="D2">
        <v>0</v>
      </c>
      <c r="E2" t="s">
        <v>57</v>
      </c>
      <c r="F2">
        <v>102</v>
      </c>
      <c r="G2" t="s">
        <v>58</v>
      </c>
      <c r="H2">
        <v>12</v>
      </c>
      <c r="J2">
        <v>102</v>
      </c>
      <c r="K2" t="s">
        <v>58</v>
      </c>
      <c r="L2">
        <v>145</v>
      </c>
      <c r="M2" t="s">
        <v>1157</v>
      </c>
      <c r="N2" t="s">
        <v>300</v>
      </c>
      <c r="O2" t="s">
        <v>300</v>
      </c>
      <c r="P2" t="s">
        <v>1158</v>
      </c>
      <c r="Q2">
        <v>-84.780475999999993</v>
      </c>
      <c r="R2">
        <v>45.501421999999998</v>
      </c>
      <c r="X2">
        <v>124.93</v>
      </c>
      <c r="Y2">
        <v>31.232500000000002</v>
      </c>
      <c r="Z2">
        <v>112.24</v>
      </c>
      <c r="AA2">
        <v>137.63</v>
      </c>
      <c r="AB2">
        <v>125.81</v>
      </c>
      <c r="AC2">
        <v>31.452500000000001</v>
      </c>
      <c r="AD2">
        <v>113.04</v>
      </c>
      <c r="AE2">
        <v>138.57</v>
      </c>
      <c r="AF2">
        <v>155.19</v>
      </c>
      <c r="AG2">
        <v>38.797499999999999</v>
      </c>
      <c r="AH2">
        <v>122.98</v>
      </c>
      <c r="AI2">
        <v>187.41</v>
      </c>
      <c r="AJ2">
        <v>135.27000000000001</v>
      </c>
      <c r="AK2">
        <v>33.817500000000003</v>
      </c>
      <c r="AL2">
        <v>122.57</v>
      </c>
      <c r="AM2">
        <v>147.96</v>
      </c>
      <c r="AO2" s="1"/>
      <c r="AP2" s="1"/>
      <c r="AQ2" t="s">
        <v>215</v>
      </c>
      <c r="AR2" t="s">
        <v>215</v>
      </c>
      <c r="AT2">
        <v>4.3493357185232897</v>
      </c>
      <c r="AU2" t="s">
        <v>1159</v>
      </c>
      <c r="AV2">
        <v>2.25</v>
      </c>
      <c r="AW2">
        <v>5.9055965859442896</v>
      </c>
      <c r="AX2">
        <v>0</v>
      </c>
      <c r="AY2" t="s">
        <v>56</v>
      </c>
      <c r="AZ2" t="s">
        <v>56</v>
      </c>
      <c r="BA2" t="s">
        <v>583</v>
      </c>
      <c r="BH2" t="s">
        <v>1160</v>
      </c>
      <c r="BK2" t="s">
        <v>56</v>
      </c>
    </row>
    <row r="3" spans="1:63" hidden="1" x14ac:dyDescent="0.3">
      <c r="A3" t="s">
        <v>657</v>
      </c>
      <c r="B3" t="s">
        <v>98</v>
      </c>
      <c r="C3">
        <v>73368</v>
      </c>
      <c r="D3">
        <v>0</v>
      </c>
      <c r="E3" t="s">
        <v>64</v>
      </c>
      <c r="F3">
        <v>102</v>
      </c>
      <c r="G3" t="s">
        <v>60</v>
      </c>
      <c r="H3">
        <v>4</v>
      </c>
      <c r="J3">
        <v>102</v>
      </c>
      <c r="K3" t="s">
        <v>59</v>
      </c>
      <c r="L3">
        <v>210</v>
      </c>
      <c r="M3" t="s">
        <v>658</v>
      </c>
      <c r="N3" t="s">
        <v>303</v>
      </c>
      <c r="O3" t="s">
        <v>303</v>
      </c>
      <c r="P3" t="s">
        <v>917</v>
      </c>
      <c r="Q3">
        <v>-83.457460999999995</v>
      </c>
      <c r="R3">
        <v>45.177912999999997</v>
      </c>
      <c r="S3">
        <v>4</v>
      </c>
      <c r="X3">
        <v>54.16</v>
      </c>
      <c r="Y3">
        <v>27.08</v>
      </c>
      <c r="Z3">
        <v>46.2</v>
      </c>
      <c r="AA3">
        <v>62.13</v>
      </c>
      <c r="AB3">
        <v>21.68</v>
      </c>
      <c r="AC3">
        <v>10.84</v>
      </c>
      <c r="AD3">
        <v>-3.61</v>
      </c>
      <c r="AE3">
        <v>46.96</v>
      </c>
      <c r="AF3">
        <v>52.98</v>
      </c>
      <c r="AG3">
        <v>26.49</v>
      </c>
      <c r="AH3">
        <v>42.45</v>
      </c>
      <c r="AI3">
        <v>63.51</v>
      </c>
      <c r="AJ3">
        <v>32.840000000000003</v>
      </c>
      <c r="AK3">
        <v>16.420000000000002</v>
      </c>
      <c r="AL3">
        <v>9.85</v>
      </c>
      <c r="AM3">
        <v>55.83</v>
      </c>
      <c r="AO3" s="1"/>
      <c r="AP3" s="1"/>
      <c r="AQ3" t="s">
        <v>215</v>
      </c>
      <c r="AR3" t="s">
        <v>215</v>
      </c>
      <c r="AT3">
        <v>3.3605931283418502</v>
      </c>
      <c r="AU3" t="s">
        <v>918</v>
      </c>
      <c r="AV3">
        <v>5.52</v>
      </c>
      <c r="AW3">
        <v>5.0344122685492003</v>
      </c>
      <c r="AX3">
        <v>0</v>
      </c>
      <c r="AY3" t="s">
        <v>56</v>
      </c>
      <c r="AZ3" t="s">
        <v>54</v>
      </c>
      <c r="BA3" t="s">
        <v>583</v>
      </c>
      <c r="BC3">
        <v>4</v>
      </c>
      <c r="BK3" t="s">
        <v>54</v>
      </c>
    </row>
    <row r="4" spans="1:63" hidden="1" x14ac:dyDescent="0.3">
      <c r="A4" t="s">
        <v>810</v>
      </c>
      <c r="B4" t="s">
        <v>98</v>
      </c>
      <c r="C4">
        <v>73388</v>
      </c>
      <c r="D4">
        <v>0</v>
      </c>
      <c r="E4" t="s">
        <v>57</v>
      </c>
      <c r="F4">
        <v>102</v>
      </c>
      <c r="G4" t="s">
        <v>59</v>
      </c>
      <c r="H4">
        <v>10</v>
      </c>
      <c r="J4">
        <v>102</v>
      </c>
      <c r="K4" t="s">
        <v>59</v>
      </c>
      <c r="L4">
        <v>125</v>
      </c>
      <c r="M4" t="s">
        <v>1161</v>
      </c>
      <c r="N4" t="s">
        <v>300</v>
      </c>
      <c r="O4" t="s">
        <v>300</v>
      </c>
      <c r="P4" t="s">
        <v>1162</v>
      </c>
      <c r="Q4">
        <v>-84.727304000000004</v>
      </c>
      <c r="R4">
        <v>45.874211000000003</v>
      </c>
      <c r="AB4">
        <v>102.39</v>
      </c>
      <c r="AC4">
        <v>25.5975</v>
      </c>
      <c r="AD4">
        <v>71.67</v>
      </c>
      <c r="AE4">
        <v>133.11000000000001</v>
      </c>
      <c r="AF4">
        <v>143.38</v>
      </c>
      <c r="AG4">
        <v>35.844999999999999</v>
      </c>
      <c r="AH4">
        <v>143.38</v>
      </c>
      <c r="AI4">
        <v>143.38</v>
      </c>
      <c r="AJ4">
        <v>121.32</v>
      </c>
      <c r="AK4">
        <v>30.33</v>
      </c>
      <c r="AL4">
        <v>83.99</v>
      </c>
      <c r="AM4">
        <v>158.65</v>
      </c>
      <c r="AO4" s="1"/>
      <c r="AP4" s="1"/>
      <c r="AQ4" t="s">
        <v>215</v>
      </c>
      <c r="AR4" t="s">
        <v>215</v>
      </c>
      <c r="AT4">
        <v>1.12532445403673</v>
      </c>
      <c r="AU4" t="s">
        <v>1163</v>
      </c>
      <c r="AW4">
        <v>3.6472543068230099</v>
      </c>
      <c r="AX4">
        <v>0</v>
      </c>
      <c r="AY4" t="s">
        <v>56</v>
      </c>
      <c r="AZ4" t="s">
        <v>56</v>
      </c>
      <c r="BA4" t="s">
        <v>583</v>
      </c>
      <c r="BH4" t="s">
        <v>1164</v>
      </c>
      <c r="BK4" t="s">
        <v>56</v>
      </c>
    </row>
    <row r="5" spans="1:63" hidden="1" x14ac:dyDescent="0.3">
      <c r="A5" t="s">
        <v>774</v>
      </c>
      <c r="B5" t="s">
        <v>98</v>
      </c>
      <c r="C5">
        <v>73389</v>
      </c>
      <c r="D5">
        <v>0</v>
      </c>
      <c r="E5" t="s">
        <v>57</v>
      </c>
      <c r="F5">
        <v>102</v>
      </c>
      <c r="G5" t="s">
        <v>53</v>
      </c>
      <c r="H5">
        <v>23</v>
      </c>
      <c r="J5">
        <v>102</v>
      </c>
      <c r="K5" t="s">
        <v>52</v>
      </c>
      <c r="L5">
        <v>50</v>
      </c>
      <c r="M5" t="s">
        <v>884</v>
      </c>
      <c r="N5" t="s">
        <v>300</v>
      </c>
      <c r="O5" t="s">
        <v>300</v>
      </c>
      <c r="P5" t="s">
        <v>919</v>
      </c>
      <c r="Q5">
        <v>-84.722255000000004</v>
      </c>
      <c r="R5">
        <v>45.781478</v>
      </c>
      <c r="AB5">
        <v>122.77</v>
      </c>
      <c r="AC5">
        <v>30.692499999999999</v>
      </c>
      <c r="AD5">
        <v>60.85</v>
      </c>
      <c r="AE5">
        <v>184.68</v>
      </c>
      <c r="AF5">
        <v>178.6</v>
      </c>
      <c r="AG5">
        <v>44.65</v>
      </c>
      <c r="AH5">
        <v>178.6</v>
      </c>
      <c r="AI5">
        <v>178.6</v>
      </c>
      <c r="AJ5">
        <v>68.69</v>
      </c>
      <c r="AK5">
        <v>17.172499999999999</v>
      </c>
      <c r="AL5">
        <v>-41.22</v>
      </c>
      <c r="AM5">
        <v>178.6</v>
      </c>
      <c r="AO5" s="1"/>
      <c r="AP5" s="1"/>
      <c r="AQ5" t="s">
        <v>215</v>
      </c>
      <c r="AR5" t="s">
        <v>215</v>
      </c>
      <c r="AT5">
        <v>0.200889791884309</v>
      </c>
      <c r="AU5" t="s">
        <v>920</v>
      </c>
      <c r="AW5">
        <v>2.5401033181697099</v>
      </c>
      <c r="AX5">
        <v>0</v>
      </c>
      <c r="AY5" t="s">
        <v>56</v>
      </c>
      <c r="AZ5" t="s">
        <v>54</v>
      </c>
      <c r="BA5" t="s">
        <v>583</v>
      </c>
      <c r="BD5" t="s">
        <v>212</v>
      </c>
      <c r="BE5" t="s">
        <v>299</v>
      </c>
      <c r="BH5" t="s">
        <v>921</v>
      </c>
      <c r="BK5" t="s">
        <v>54</v>
      </c>
    </row>
    <row r="6" spans="1:63" hidden="1" x14ac:dyDescent="0.3">
      <c r="A6" t="s">
        <v>659</v>
      </c>
      <c r="B6" t="s">
        <v>98</v>
      </c>
      <c r="C6">
        <v>73394</v>
      </c>
      <c r="D6">
        <v>0</v>
      </c>
      <c r="E6" t="s">
        <v>57</v>
      </c>
      <c r="F6">
        <v>102</v>
      </c>
      <c r="G6" t="s">
        <v>59</v>
      </c>
      <c r="H6">
        <v>3</v>
      </c>
      <c r="J6">
        <v>102</v>
      </c>
      <c r="K6" t="s">
        <v>52</v>
      </c>
      <c r="L6">
        <v>95</v>
      </c>
      <c r="M6" t="s">
        <v>660</v>
      </c>
      <c r="N6" t="s">
        <v>298</v>
      </c>
      <c r="O6" t="s">
        <v>298</v>
      </c>
      <c r="P6" t="s">
        <v>922</v>
      </c>
      <c r="Q6">
        <v>-84.727024</v>
      </c>
      <c r="R6">
        <v>45.781830999999997</v>
      </c>
      <c r="S6">
        <v>12</v>
      </c>
      <c r="AB6">
        <v>10.88</v>
      </c>
      <c r="AC6">
        <v>10.88</v>
      </c>
      <c r="AD6">
        <v>-1.0900000000000001</v>
      </c>
      <c r="AE6">
        <v>22.85</v>
      </c>
      <c r="AF6">
        <v>29.24</v>
      </c>
      <c r="AG6">
        <v>29.24</v>
      </c>
      <c r="AH6">
        <v>26.69</v>
      </c>
      <c r="AI6">
        <v>31.79</v>
      </c>
      <c r="AJ6">
        <v>18.239999999999998</v>
      </c>
      <c r="AK6">
        <v>18.239999999999998</v>
      </c>
      <c r="AL6">
        <v>10.83</v>
      </c>
      <c r="AM6">
        <v>25.65</v>
      </c>
      <c r="AO6" s="1"/>
      <c r="AP6" s="1"/>
      <c r="AQ6" t="s">
        <v>215</v>
      </c>
      <c r="AR6" t="s">
        <v>215</v>
      </c>
      <c r="AT6">
        <v>1.93536006519795E-3</v>
      </c>
      <c r="AU6" t="s">
        <v>923</v>
      </c>
      <c r="AW6">
        <v>1.09927896410227E-2</v>
      </c>
      <c r="AX6">
        <v>0</v>
      </c>
      <c r="AY6" t="s">
        <v>56</v>
      </c>
      <c r="AZ6" t="s">
        <v>54</v>
      </c>
      <c r="BA6" t="s">
        <v>583</v>
      </c>
      <c r="BC6">
        <v>12</v>
      </c>
      <c r="BK6" t="s">
        <v>54</v>
      </c>
    </row>
    <row r="7" spans="1:63" hidden="1" x14ac:dyDescent="0.3">
      <c r="A7" t="s">
        <v>775</v>
      </c>
      <c r="B7" t="s">
        <v>98</v>
      </c>
      <c r="C7">
        <v>73404</v>
      </c>
      <c r="D7">
        <v>0</v>
      </c>
      <c r="E7" t="s">
        <v>57</v>
      </c>
      <c r="F7">
        <v>102</v>
      </c>
      <c r="G7" t="s">
        <v>53</v>
      </c>
      <c r="H7">
        <v>10</v>
      </c>
      <c r="J7">
        <v>102</v>
      </c>
      <c r="K7" t="s">
        <v>52</v>
      </c>
      <c r="L7">
        <v>170</v>
      </c>
      <c r="M7" t="s">
        <v>882</v>
      </c>
      <c r="N7" t="s">
        <v>323</v>
      </c>
      <c r="O7" t="s">
        <v>323</v>
      </c>
      <c r="P7" t="s">
        <v>924</v>
      </c>
      <c r="Q7">
        <v>-84.496954000000002</v>
      </c>
      <c r="R7">
        <v>45.631863000000003</v>
      </c>
      <c r="X7">
        <v>35.340000000000003</v>
      </c>
      <c r="Y7">
        <v>17.670000000000002</v>
      </c>
      <c r="Z7">
        <v>28.83</v>
      </c>
      <c r="AA7">
        <v>41.85</v>
      </c>
      <c r="AB7">
        <v>35.25</v>
      </c>
      <c r="AC7">
        <v>17.625</v>
      </c>
      <c r="AD7">
        <v>32.31</v>
      </c>
      <c r="AE7">
        <v>38.19</v>
      </c>
      <c r="AF7">
        <v>41.91</v>
      </c>
      <c r="AG7">
        <v>20.954999999999998</v>
      </c>
      <c r="AH7">
        <v>38.909999999999997</v>
      </c>
      <c r="AI7">
        <v>44.9</v>
      </c>
      <c r="AJ7">
        <v>37.19</v>
      </c>
      <c r="AK7">
        <v>18.594999999999999</v>
      </c>
      <c r="AL7">
        <v>34.090000000000003</v>
      </c>
      <c r="AM7">
        <v>40.28</v>
      </c>
      <c r="AO7" s="1"/>
      <c r="AP7" s="1"/>
      <c r="AQ7" t="s">
        <v>215</v>
      </c>
      <c r="AR7" t="s">
        <v>215</v>
      </c>
      <c r="AT7">
        <v>0.94820412104926</v>
      </c>
      <c r="AU7" t="s">
        <v>925</v>
      </c>
      <c r="AV7">
        <v>2.0499999999999998</v>
      </c>
      <c r="AW7">
        <v>4.0868884660303602</v>
      </c>
      <c r="AX7">
        <v>0</v>
      </c>
      <c r="AY7" t="s">
        <v>56</v>
      </c>
      <c r="AZ7" t="s">
        <v>54</v>
      </c>
      <c r="BA7" t="s">
        <v>583</v>
      </c>
      <c r="BK7" t="s">
        <v>54</v>
      </c>
    </row>
    <row r="8" spans="1:63" hidden="1" x14ac:dyDescent="0.3">
      <c r="A8" t="s">
        <v>589</v>
      </c>
      <c r="B8" t="s">
        <v>98</v>
      </c>
      <c r="C8">
        <v>73413</v>
      </c>
      <c r="D8">
        <v>0</v>
      </c>
      <c r="E8" t="s">
        <v>57</v>
      </c>
      <c r="F8">
        <v>102</v>
      </c>
      <c r="G8" t="s">
        <v>60</v>
      </c>
      <c r="H8">
        <v>8</v>
      </c>
      <c r="J8">
        <v>102</v>
      </c>
      <c r="K8" t="s">
        <v>53</v>
      </c>
      <c r="L8">
        <v>170</v>
      </c>
      <c r="M8" t="s">
        <v>590</v>
      </c>
      <c r="N8" t="s">
        <v>300</v>
      </c>
      <c r="O8" t="s">
        <v>300</v>
      </c>
      <c r="P8" t="s">
        <v>926</v>
      </c>
      <c r="Q8">
        <v>-83.698689000000002</v>
      </c>
      <c r="R8">
        <v>45.263992999999999</v>
      </c>
      <c r="S8">
        <v>443</v>
      </c>
      <c r="T8">
        <v>23</v>
      </c>
      <c r="U8" t="s">
        <v>927</v>
      </c>
      <c r="V8">
        <v>114</v>
      </c>
      <c r="W8">
        <v>0.79670329670329665</v>
      </c>
      <c r="X8">
        <v>399.17</v>
      </c>
      <c r="Y8">
        <v>99.792500000000004</v>
      </c>
      <c r="Z8">
        <v>380.8</v>
      </c>
      <c r="AA8">
        <v>417.53</v>
      </c>
      <c r="AB8">
        <v>359.03</v>
      </c>
      <c r="AC8">
        <v>89.757499999999993</v>
      </c>
      <c r="AD8">
        <v>347.96</v>
      </c>
      <c r="AE8">
        <v>370.11</v>
      </c>
      <c r="AF8">
        <v>350.1</v>
      </c>
      <c r="AG8">
        <v>87.525000000000006</v>
      </c>
      <c r="AH8">
        <v>340.63</v>
      </c>
      <c r="AI8">
        <v>359.57</v>
      </c>
      <c r="AJ8">
        <v>310.5</v>
      </c>
      <c r="AK8">
        <v>77.625</v>
      </c>
      <c r="AL8">
        <v>280.8</v>
      </c>
      <c r="AM8">
        <v>340.2</v>
      </c>
      <c r="AO8" s="1"/>
      <c r="AP8" s="1"/>
      <c r="AQ8" t="s">
        <v>215</v>
      </c>
      <c r="AR8" t="s">
        <v>215</v>
      </c>
      <c r="AT8">
        <v>3.8526393507065898E-3</v>
      </c>
      <c r="AU8" t="s">
        <v>928</v>
      </c>
      <c r="AV8">
        <v>9.58</v>
      </c>
      <c r="AW8">
        <v>6.7160464823246002E-3</v>
      </c>
      <c r="AX8">
        <v>0</v>
      </c>
      <c r="AY8" t="s">
        <v>56</v>
      </c>
      <c r="AZ8" t="s">
        <v>54</v>
      </c>
      <c r="BA8" t="s">
        <v>583</v>
      </c>
      <c r="BC8">
        <v>443</v>
      </c>
      <c r="BD8" t="s">
        <v>435</v>
      </c>
      <c r="BE8" t="s">
        <v>301</v>
      </c>
      <c r="BF8" t="s">
        <v>58</v>
      </c>
      <c r="BG8" t="s">
        <v>54</v>
      </c>
      <c r="BK8" t="s">
        <v>54</v>
      </c>
    </row>
    <row r="9" spans="1:63" hidden="1" x14ac:dyDescent="0.3">
      <c r="A9" t="s">
        <v>811</v>
      </c>
      <c r="B9" t="s">
        <v>98</v>
      </c>
      <c r="C9">
        <v>73415</v>
      </c>
      <c r="D9">
        <v>0</v>
      </c>
      <c r="E9" t="s">
        <v>57</v>
      </c>
      <c r="F9">
        <v>102</v>
      </c>
      <c r="G9" t="s">
        <v>59</v>
      </c>
      <c r="H9">
        <v>30</v>
      </c>
      <c r="J9">
        <v>102</v>
      </c>
      <c r="K9" t="s">
        <v>59</v>
      </c>
      <c r="L9">
        <v>30</v>
      </c>
      <c r="M9" t="s">
        <v>1165</v>
      </c>
      <c r="N9" t="s">
        <v>300</v>
      </c>
      <c r="O9" t="s">
        <v>300</v>
      </c>
      <c r="P9" t="s">
        <v>1166</v>
      </c>
      <c r="Q9">
        <v>-84.702566000000004</v>
      </c>
      <c r="R9">
        <v>45.854405</v>
      </c>
      <c r="AB9">
        <v>222.57</v>
      </c>
      <c r="AC9">
        <v>55.642499999999998</v>
      </c>
      <c r="AD9">
        <v>111.28</v>
      </c>
      <c r="AE9">
        <v>333.86</v>
      </c>
      <c r="AF9">
        <v>321.49</v>
      </c>
      <c r="AG9">
        <v>80.372500000000002</v>
      </c>
      <c r="AH9">
        <v>321.49</v>
      </c>
      <c r="AI9">
        <v>321.49</v>
      </c>
      <c r="AJ9">
        <v>49.46</v>
      </c>
      <c r="AK9">
        <v>12.365</v>
      </c>
      <c r="AL9">
        <v>-222.57</v>
      </c>
      <c r="AM9">
        <v>321.49</v>
      </c>
      <c r="AO9" s="1"/>
      <c r="AP9" s="1"/>
      <c r="AQ9" t="s">
        <v>215</v>
      </c>
      <c r="AR9" t="s">
        <v>215</v>
      </c>
      <c r="AT9">
        <v>0</v>
      </c>
      <c r="AU9" t="s">
        <v>1167</v>
      </c>
      <c r="AW9">
        <v>0</v>
      </c>
      <c r="AX9">
        <v>0</v>
      </c>
      <c r="AY9" t="s">
        <v>56</v>
      </c>
      <c r="AZ9" t="s">
        <v>56</v>
      </c>
      <c r="BA9" t="s">
        <v>583</v>
      </c>
      <c r="BH9" t="s">
        <v>1056</v>
      </c>
      <c r="BK9" t="s">
        <v>56</v>
      </c>
    </row>
    <row r="10" spans="1:63" hidden="1" x14ac:dyDescent="0.3">
      <c r="A10" t="s">
        <v>812</v>
      </c>
      <c r="B10" t="s">
        <v>98</v>
      </c>
      <c r="C10">
        <v>70900</v>
      </c>
      <c r="D10">
        <v>2</v>
      </c>
      <c r="E10" t="s">
        <v>57</v>
      </c>
      <c r="F10">
        <v>102</v>
      </c>
      <c r="G10" t="s">
        <v>59</v>
      </c>
      <c r="H10">
        <v>24</v>
      </c>
      <c r="J10">
        <v>102</v>
      </c>
      <c r="K10" t="s">
        <v>59</v>
      </c>
      <c r="L10">
        <v>95</v>
      </c>
      <c r="M10" t="s">
        <v>1168</v>
      </c>
      <c r="N10" t="s">
        <v>300</v>
      </c>
      <c r="O10" t="s">
        <v>300</v>
      </c>
      <c r="P10" t="s">
        <v>1169</v>
      </c>
      <c r="Q10">
        <v>-84.702566000000004</v>
      </c>
      <c r="R10">
        <v>45.854405</v>
      </c>
      <c r="AB10">
        <v>410.6</v>
      </c>
      <c r="AC10">
        <v>102.65</v>
      </c>
      <c r="AD10">
        <v>247.97</v>
      </c>
      <c r="AE10">
        <v>573.24</v>
      </c>
      <c r="AF10">
        <v>578.48</v>
      </c>
      <c r="AG10">
        <v>144.62</v>
      </c>
      <c r="AH10">
        <v>548.87</v>
      </c>
      <c r="AI10">
        <v>608.1</v>
      </c>
      <c r="AJ10">
        <v>57.22</v>
      </c>
      <c r="AK10">
        <v>14.305</v>
      </c>
      <c r="AL10">
        <v>-71.52</v>
      </c>
      <c r="AM10">
        <v>185.95</v>
      </c>
      <c r="AO10" s="1"/>
      <c r="AP10" s="1"/>
      <c r="AQ10" t="s">
        <v>215</v>
      </c>
      <c r="AR10" t="s">
        <v>215</v>
      </c>
      <c r="AT10">
        <v>0</v>
      </c>
      <c r="AU10" t="s">
        <v>1167</v>
      </c>
      <c r="AW10">
        <v>0</v>
      </c>
      <c r="AX10">
        <v>0</v>
      </c>
      <c r="AY10" t="s">
        <v>56</v>
      </c>
      <c r="AZ10" t="s">
        <v>56</v>
      </c>
      <c r="BA10" t="s">
        <v>583</v>
      </c>
      <c r="BH10" t="s">
        <v>1170</v>
      </c>
      <c r="BK10" t="s">
        <v>56</v>
      </c>
    </row>
    <row r="11" spans="1:63" hidden="1" x14ac:dyDescent="0.3">
      <c r="A11" t="s">
        <v>661</v>
      </c>
      <c r="B11" t="s">
        <v>98</v>
      </c>
      <c r="C11">
        <v>73425</v>
      </c>
      <c r="D11">
        <v>0</v>
      </c>
      <c r="E11" t="s">
        <v>63</v>
      </c>
      <c r="F11">
        <v>102</v>
      </c>
      <c r="G11" t="s">
        <v>53</v>
      </c>
      <c r="H11">
        <v>20</v>
      </c>
      <c r="J11">
        <v>102</v>
      </c>
      <c r="K11" t="s">
        <v>52</v>
      </c>
      <c r="L11">
        <v>55</v>
      </c>
      <c r="M11" t="s">
        <v>662</v>
      </c>
      <c r="N11" t="s">
        <v>300</v>
      </c>
      <c r="O11" t="s">
        <v>300</v>
      </c>
      <c r="P11" t="s">
        <v>929</v>
      </c>
      <c r="Q11">
        <v>-84.728127999999998</v>
      </c>
      <c r="R11">
        <v>45.781080000000003</v>
      </c>
      <c r="S11">
        <v>8</v>
      </c>
      <c r="AB11">
        <v>73.31</v>
      </c>
      <c r="AC11">
        <v>18.327500000000001</v>
      </c>
      <c r="AD11">
        <v>-3.13</v>
      </c>
      <c r="AE11">
        <v>149.76</v>
      </c>
      <c r="AF11">
        <v>140.34</v>
      </c>
      <c r="AG11">
        <v>35.085000000000001</v>
      </c>
      <c r="AH11">
        <v>39.159999999999997</v>
      </c>
      <c r="AI11">
        <v>241.52</v>
      </c>
      <c r="AJ11">
        <v>10</v>
      </c>
      <c r="AK11">
        <v>2.5</v>
      </c>
      <c r="AL11">
        <v>-29.99</v>
      </c>
      <c r="AM11">
        <v>49.98</v>
      </c>
      <c r="AO11" s="1"/>
      <c r="AP11" s="1"/>
      <c r="AQ11" t="s">
        <v>215</v>
      </c>
      <c r="AR11" t="s">
        <v>215</v>
      </c>
      <c r="AT11">
        <v>0.20346586685331</v>
      </c>
      <c r="AU11" t="s">
        <v>930</v>
      </c>
      <c r="AW11">
        <v>0.83333839848637603</v>
      </c>
      <c r="AX11">
        <v>0</v>
      </c>
      <c r="AY11" t="s">
        <v>56</v>
      </c>
      <c r="AZ11" t="s">
        <v>54</v>
      </c>
      <c r="BA11" t="s">
        <v>583</v>
      </c>
      <c r="BC11">
        <v>8</v>
      </c>
      <c r="BD11" t="s">
        <v>212</v>
      </c>
      <c r="BE11" t="s">
        <v>299</v>
      </c>
      <c r="BH11" t="s">
        <v>931</v>
      </c>
      <c r="BK11" t="s">
        <v>54</v>
      </c>
    </row>
    <row r="12" spans="1:63" hidden="1" x14ac:dyDescent="0.3">
      <c r="A12" t="s">
        <v>813</v>
      </c>
      <c r="B12" t="s">
        <v>98</v>
      </c>
      <c r="C12">
        <v>99138</v>
      </c>
      <c r="D12">
        <v>8</v>
      </c>
      <c r="E12" t="s">
        <v>63</v>
      </c>
      <c r="F12">
        <v>102</v>
      </c>
      <c r="G12" t="s">
        <v>59</v>
      </c>
      <c r="H12">
        <v>3</v>
      </c>
      <c r="J12">
        <v>102</v>
      </c>
      <c r="K12" t="s">
        <v>52</v>
      </c>
      <c r="L12">
        <v>130</v>
      </c>
      <c r="M12" t="s">
        <v>759</v>
      </c>
      <c r="N12" t="s">
        <v>300</v>
      </c>
      <c r="O12" t="s">
        <v>300</v>
      </c>
      <c r="P12" t="s">
        <v>932</v>
      </c>
      <c r="Q12">
        <v>-84.731855999999993</v>
      </c>
      <c r="R12">
        <v>45.781227000000001</v>
      </c>
      <c r="AB12">
        <v>42.88</v>
      </c>
      <c r="AC12">
        <v>10.72</v>
      </c>
      <c r="AD12">
        <v>21.44</v>
      </c>
      <c r="AE12">
        <v>64.31</v>
      </c>
      <c r="AF12">
        <v>83.17</v>
      </c>
      <c r="AG12">
        <v>20.7925</v>
      </c>
      <c r="AH12">
        <v>80.22</v>
      </c>
      <c r="AI12">
        <v>86.11</v>
      </c>
      <c r="AJ12">
        <v>26.33</v>
      </c>
      <c r="AK12">
        <v>6.5824999999999996</v>
      </c>
      <c r="AL12">
        <v>-32.909999999999997</v>
      </c>
      <c r="AM12">
        <v>85.56</v>
      </c>
      <c r="AO12" s="1"/>
      <c r="AP12" s="1"/>
      <c r="AQ12" t="s">
        <v>215</v>
      </c>
      <c r="AR12" t="s">
        <v>215</v>
      </c>
      <c r="AT12">
        <v>0.28832382926480998</v>
      </c>
      <c r="AU12" t="s">
        <v>933</v>
      </c>
      <c r="AW12">
        <v>1.4126018546521699</v>
      </c>
      <c r="AX12">
        <v>0</v>
      </c>
      <c r="AY12" t="s">
        <v>56</v>
      </c>
      <c r="AZ12" t="s">
        <v>54</v>
      </c>
      <c r="BA12" t="s">
        <v>583</v>
      </c>
      <c r="BD12" t="s">
        <v>434</v>
      </c>
      <c r="BE12" t="s">
        <v>303</v>
      </c>
      <c r="BF12" t="s">
        <v>58</v>
      </c>
      <c r="BH12" t="s">
        <v>934</v>
      </c>
      <c r="BI12" t="s">
        <v>54</v>
      </c>
      <c r="BK12" t="s">
        <v>54</v>
      </c>
    </row>
    <row r="13" spans="1:63" hidden="1" x14ac:dyDescent="0.3">
      <c r="A13" t="s">
        <v>746</v>
      </c>
      <c r="B13" t="s">
        <v>98</v>
      </c>
      <c r="C13">
        <v>99138</v>
      </c>
      <c r="D13">
        <v>4</v>
      </c>
      <c r="E13" t="s">
        <v>63</v>
      </c>
      <c r="F13">
        <v>102</v>
      </c>
      <c r="G13" t="s">
        <v>53</v>
      </c>
      <c r="H13">
        <v>14</v>
      </c>
      <c r="J13">
        <v>102</v>
      </c>
      <c r="K13" t="s">
        <v>52</v>
      </c>
      <c r="L13">
        <v>90</v>
      </c>
      <c r="M13" t="s">
        <v>747</v>
      </c>
      <c r="N13" t="s">
        <v>300</v>
      </c>
      <c r="O13" t="s">
        <v>300</v>
      </c>
      <c r="P13" t="s">
        <v>935</v>
      </c>
      <c r="Q13">
        <v>-84.727287200000006</v>
      </c>
      <c r="R13">
        <v>45.777277699999999</v>
      </c>
      <c r="S13">
        <v>8</v>
      </c>
      <c r="AB13">
        <v>100.06</v>
      </c>
      <c r="AC13">
        <v>25.015000000000001</v>
      </c>
      <c r="AD13">
        <v>50.03</v>
      </c>
      <c r="AE13">
        <v>150.08000000000001</v>
      </c>
      <c r="AF13">
        <v>226.33</v>
      </c>
      <c r="AG13">
        <v>56.582500000000003</v>
      </c>
      <c r="AH13">
        <v>200.51</v>
      </c>
      <c r="AI13">
        <v>252.14</v>
      </c>
      <c r="AJ13">
        <v>33.119999999999997</v>
      </c>
      <c r="AK13">
        <v>8.2799999999999994</v>
      </c>
      <c r="AL13">
        <v>-41.39</v>
      </c>
      <c r="AM13">
        <v>107.62</v>
      </c>
      <c r="AO13" s="1"/>
      <c r="AP13" s="1"/>
      <c r="AQ13" t="s">
        <v>215</v>
      </c>
      <c r="AR13" t="s">
        <v>215</v>
      </c>
      <c r="AT13">
        <v>0.81631006525933703</v>
      </c>
      <c r="AU13" t="s">
        <v>936</v>
      </c>
      <c r="AW13">
        <v>1.97215718589723</v>
      </c>
      <c r="AX13">
        <v>0</v>
      </c>
      <c r="AY13" t="s">
        <v>56</v>
      </c>
      <c r="AZ13" t="s">
        <v>54</v>
      </c>
      <c r="BA13" t="s">
        <v>583</v>
      </c>
      <c r="BC13">
        <v>8</v>
      </c>
      <c r="BD13" t="s">
        <v>212</v>
      </c>
      <c r="BE13" t="s">
        <v>299</v>
      </c>
      <c r="BH13" t="s">
        <v>934</v>
      </c>
      <c r="BK13" t="s">
        <v>54</v>
      </c>
    </row>
    <row r="14" spans="1:63" hidden="1" x14ac:dyDescent="0.3">
      <c r="A14" t="s">
        <v>615</v>
      </c>
      <c r="B14" t="s">
        <v>98</v>
      </c>
      <c r="C14">
        <v>73444</v>
      </c>
      <c r="D14">
        <v>0</v>
      </c>
      <c r="E14" t="s">
        <v>63</v>
      </c>
      <c r="F14">
        <v>102</v>
      </c>
      <c r="G14" t="s">
        <v>52</v>
      </c>
      <c r="H14">
        <v>30</v>
      </c>
      <c r="J14">
        <v>102</v>
      </c>
      <c r="K14" t="s">
        <v>53</v>
      </c>
      <c r="L14">
        <v>65</v>
      </c>
      <c r="M14" t="s">
        <v>616</v>
      </c>
      <c r="N14" t="s">
        <v>300</v>
      </c>
      <c r="O14" t="s">
        <v>300</v>
      </c>
      <c r="P14" t="s">
        <v>937</v>
      </c>
      <c r="Q14">
        <v>-83.814549</v>
      </c>
      <c r="R14">
        <v>45.410749000000003</v>
      </c>
      <c r="S14">
        <v>44</v>
      </c>
      <c r="T14">
        <v>2</v>
      </c>
      <c r="U14" t="s">
        <v>310</v>
      </c>
      <c r="V14">
        <v>19</v>
      </c>
      <c r="W14">
        <v>0.56818181818181823</v>
      </c>
      <c r="X14">
        <v>48.4</v>
      </c>
      <c r="Y14">
        <v>12.1</v>
      </c>
      <c r="Z14">
        <v>40.950000000000003</v>
      </c>
      <c r="AA14">
        <v>55.85</v>
      </c>
      <c r="AB14">
        <v>52.74</v>
      </c>
      <c r="AC14">
        <v>13.185</v>
      </c>
      <c r="AD14">
        <v>52.74</v>
      </c>
      <c r="AE14">
        <v>52.74</v>
      </c>
      <c r="AF14">
        <v>52.74</v>
      </c>
      <c r="AG14">
        <v>13.185</v>
      </c>
      <c r="AH14">
        <v>52.74</v>
      </c>
      <c r="AI14">
        <v>52.74</v>
      </c>
      <c r="AJ14">
        <v>54.04</v>
      </c>
      <c r="AK14">
        <v>13.51</v>
      </c>
      <c r="AL14">
        <v>49.25</v>
      </c>
      <c r="AM14">
        <v>58.84</v>
      </c>
      <c r="AO14" s="1"/>
      <c r="AP14" s="1"/>
      <c r="AQ14" t="s">
        <v>215</v>
      </c>
      <c r="AR14" t="s">
        <v>215</v>
      </c>
      <c r="AT14">
        <v>0.907323141812857</v>
      </c>
      <c r="AU14" t="s">
        <v>938</v>
      </c>
      <c r="AV14">
        <v>6.03</v>
      </c>
      <c r="AW14">
        <v>3.09443575330079</v>
      </c>
      <c r="AX14">
        <v>0</v>
      </c>
      <c r="AY14" t="s">
        <v>56</v>
      </c>
      <c r="AZ14" t="s">
        <v>54</v>
      </c>
      <c r="BA14" t="s">
        <v>583</v>
      </c>
      <c r="BC14">
        <v>44</v>
      </c>
      <c r="BD14" t="s">
        <v>434</v>
      </c>
      <c r="BE14" t="s">
        <v>303</v>
      </c>
      <c r="BF14" t="s">
        <v>60</v>
      </c>
      <c r="BI14" t="s">
        <v>54</v>
      </c>
      <c r="BK14" t="s">
        <v>54</v>
      </c>
    </row>
    <row r="15" spans="1:63" hidden="1" x14ac:dyDescent="0.3">
      <c r="A15" t="s">
        <v>720</v>
      </c>
      <c r="B15" t="s">
        <v>98</v>
      </c>
      <c r="C15">
        <v>99031</v>
      </c>
      <c r="D15">
        <v>148</v>
      </c>
      <c r="E15" t="s">
        <v>62</v>
      </c>
      <c r="F15">
        <v>102</v>
      </c>
      <c r="G15" t="s">
        <v>59</v>
      </c>
      <c r="H15">
        <v>39</v>
      </c>
      <c r="J15">
        <v>102</v>
      </c>
      <c r="K15" t="s">
        <v>59</v>
      </c>
      <c r="L15">
        <v>165</v>
      </c>
      <c r="M15" t="s">
        <v>721</v>
      </c>
      <c r="N15" t="s">
        <v>300</v>
      </c>
      <c r="O15" t="s">
        <v>300</v>
      </c>
      <c r="P15" t="s">
        <v>1171</v>
      </c>
      <c r="Q15">
        <v>-84.737667500000001</v>
      </c>
      <c r="R15">
        <v>45.8569289</v>
      </c>
      <c r="S15">
        <v>6</v>
      </c>
      <c r="X15">
        <v>208.42</v>
      </c>
      <c r="Y15">
        <v>52.104999999999997</v>
      </c>
      <c r="Z15">
        <v>123.32</v>
      </c>
      <c r="AA15">
        <v>293.51</v>
      </c>
      <c r="AB15">
        <v>198.25</v>
      </c>
      <c r="AC15">
        <v>49.5625</v>
      </c>
      <c r="AD15">
        <v>132.74</v>
      </c>
      <c r="AE15">
        <v>263.75</v>
      </c>
      <c r="AF15">
        <v>197.78</v>
      </c>
      <c r="AG15">
        <v>49.445</v>
      </c>
      <c r="AH15">
        <v>150.72999999999999</v>
      </c>
      <c r="AI15">
        <v>244.84</v>
      </c>
      <c r="AJ15">
        <v>203.07</v>
      </c>
      <c r="AK15">
        <v>50.767499999999998</v>
      </c>
      <c r="AL15">
        <v>141.26</v>
      </c>
      <c r="AM15">
        <v>264.88</v>
      </c>
      <c r="AO15" s="1"/>
      <c r="AP15" s="1"/>
      <c r="AQ15" t="s">
        <v>215</v>
      </c>
      <c r="AR15" t="s">
        <v>215</v>
      </c>
      <c r="AT15">
        <v>0.779909627618951</v>
      </c>
      <c r="AU15" t="s">
        <v>1172</v>
      </c>
      <c r="AV15">
        <v>13.59</v>
      </c>
      <c r="AW15">
        <v>0.79589981585740999</v>
      </c>
      <c r="AX15">
        <v>0</v>
      </c>
      <c r="AY15" t="s">
        <v>56</v>
      </c>
      <c r="AZ15" t="s">
        <v>56</v>
      </c>
      <c r="BA15" t="s">
        <v>583</v>
      </c>
      <c r="BK15" t="s">
        <v>56</v>
      </c>
    </row>
    <row r="16" spans="1:63" hidden="1" x14ac:dyDescent="0.3">
      <c r="A16" t="s">
        <v>776</v>
      </c>
      <c r="B16" t="s">
        <v>98</v>
      </c>
      <c r="C16">
        <v>99138</v>
      </c>
      <c r="D16">
        <v>3</v>
      </c>
      <c r="E16" t="s">
        <v>63</v>
      </c>
      <c r="F16">
        <v>102</v>
      </c>
      <c r="G16" t="s">
        <v>53</v>
      </c>
      <c r="H16">
        <v>13</v>
      </c>
      <c r="J16">
        <v>102</v>
      </c>
      <c r="K16" t="s">
        <v>52</v>
      </c>
      <c r="L16">
        <v>40</v>
      </c>
      <c r="M16" t="s">
        <v>892</v>
      </c>
      <c r="N16" t="s">
        <v>300</v>
      </c>
      <c r="O16" t="s">
        <v>300</v>
      </c>
      <c r="P16" t="s">
        <v>939</v>
      </c>
      <c r="Q16">
        <v>-84.723586850000004</v>
      </c>
      <c r="R16">
        <v>45.76666453</v>
      </c>
      <c r="AB16">
        <v>33.71</v>
      </c>
      <c r="AC16">
        <v>8.4275000000000002</v>
      </c>
      <c r="AD16">
        <v>-3.37</v>
      </c>
      <c r="AE16">
        <v>70.790000000000006</v>
      </c>
      <c r="AF16">
        <v>93.13</v>
      </c>
      <c r="AG16">
        <v>23.282499999999999</v>
      </c>
      <c r="AH16">
        <v>67.52</v>
      </c>
      <c r="AI16">
        <v>118.74</v>
      </c>
      <c r="AJ16">
        <v>19.55</v>
      </c>
      <c r="AK16">
        <v>4.8875000000000002</v>
      </c>
      <c r="AL16">
        <v>-34.21</v>
      </c>
      <c r="AM16">
        <v>73.31</v>
      </c>
      <c r="AO16" s="1"/>
      <c r="AP16" s="1"/>
      <c r="AQ16" t="s">
        <v>215</v>
      </c>
      <c r="AR16" t="s">
        <v>215</v>
      </c>
      <c r="AT16">
        <v>16.2139572147608</v>
      </c>
      <c r="AU16" t="s">
        <v>940</v>
      </c>
      <c r="AW16">
        <v>21.718135755509099</v>
      </c>
      <c r="AX16">
        <v>0</v>
      </c>
      <c r="AY16" t="s">
        <v>56</v>
      </c>
      <c r="AZ16" t="s">
        <v>54</v>
      </c>
      <c r="BA16" t="s">
        <v>583</v>
      </c>
      <c r="BD16" t="s">
        <v>212</v>
      </c>
      <c r="BE16" t="s">
        <v>299</v>
      </c>
      <c r="BH16" t="s">
        <v>934</v>
      </c>
      <c r="BK16" t="s">
        <v>54</v>
      </c>
    </row>
    <row r="17" spans="1:63" hidden="1" x14ac:dyDescent="0.3">
      <c r="A17" t="s">
        <v>795</v>
      </c>
      <c r="B17" t="s">
        <v>98</v>
      </c>
      <c r="C17">
        <v>73459</v>
      </c>
      <c r="D17">
        <v>0</v>
      </c>
      <c r="E17" t="s">
        <v>62</v>
      </c>
      <c r="F17">
        <v>102</v>
      </c>
      <c r="G17" t="s">
        <v>52</v>
      </c>
      <c r="H17">
        <v>24</v>
      </c>
      <c r="J17">
        <v>102</v>
      </c>
      <c r="K17" t="s">
        <v>53</v>
      </c>
      <c r="L17">
        <v>135</v>
      </c>
      <c r="M17" t="s">
        <v>869</v>
      </c>
      <c r="N17" t="s">
        <v>323</v>
      </c>
      <c r="O17" t="s">
        <v>323</v>
      </c>
      <c r="P17" t="s">
        <v>941</v>
      </c>
      <c r="Q17">
        <v>-83.822039000000004</v>
      </c>
      <c r="R17">
        <v>45.425158000000003</v>
      </c>
      <c r="AB17">
        <v>121.76</v>
      </c>
      <c r="AC17">
        <v>60.88</v>
      </c>
      <c r="AD17">
        <v>55.02</v>
      </c>
      <c r="AE17">
        <v>188.5</v>
      </c>
      <c r="AF17">
        <v>104.05</v>
      </c>
      <c r="AG17">
        <v>52.024999999999999</v>
      </c>
      <c r="AH17">
        <v>72.37</v>
      </c>
      <c r="AI17">
        <v>135.72999999999999</v>
      </c>
      <c r="AJ17">
        <v>92.93</v>
      </c>
      <c r="AK17">
        <v>46.465000000000003</v>
      </c>
      <c r="AL17">
        <v>63.49</v>
      </c>
      <c r="AM17">
        <v>122.36</v>
      </c>
      <c r="AO17" s="1"/>
      <c r="AP17" s="1"/>
      <c r="AQ17" t="s">
        <v>215</v>
      </c>
      <c r="AR17" t="s">
        <v>215</v>
      </c>
      <c r="AT17">
        <v>0.154441144858632</v>
      </c>
      <c r="AU17" t="s">
        <v>942</v>
      </c>
      <c r="AW17">
        <v>0.28926182724535499</v>
      </c>
      <c r="AX17">
        <v>0</v>
      </c>
      <c r="AY17" t="s">
        <v>56</v>
      </c>
      <c r="AZ17" t="s">
        <v>54</v>
      </c>
      <c r="BA17" t="s">
        <v>583</v>
      </c>
      <c r="BH17" t="s">
        <v>943</v>
      </c>
      <c r="BK17" t="s">
        <v>54</v>
      </c>
    </row>
    <row r="18" spans="1:63" hidden="1" x14ac:dyDescent="0.3">
      <c r="A18" t="s">
        <v>762</v>
      </c>
      <c r="B18" t="s">
        <v>98</v>
      </c>
      <c r="C18">
        <v>73464</v>
      </c>
      <c r="D18">
        <v>0</v>
      </c>
      <c r="E18" t="s">
        <v>63</v>
      </c>
      <c r="F18">
        <v>102</v>
      </c>
      <c r="G18" t="s">
        <v>58</v>
      </c>
      <c r="H18">
        <v>17</v>
      </c>
      <c r="J18">
        <v>102</v>
      </c>
      <c r="K18" t="s">
        <v>58</v>
      </c>
      <c r="L18">
        <v>70</v>
      </c>
      <c r="M18" t="s">
        <v>1173</v>
      </c>
      <c r="N18" t="s">
        <v>323</v>
      </c>
      <c r="O18" t="s">
        <v>323</v>
      </c>
      <c r="P18" t="s">
        <v>1174</v>
      </c>
      <c r="Q18">
        <v>-84.615056999999993</v>
      </c>
      <c r="R18">
        <v>45.405723999999999</v>
      </c>
      <c r="X18">
        <v>21.4</v>
      </c>
      <c r="Y18">
        <v>10.7</v>
      </c>
      <c r="Z18">
        <v>19.87</v>
      </c>
      <c r="AA18">
        <v>22.93</v>
      </c>
      <c r="AB18">
        <v>18.61</v>
      </c>
      <c r="AC18">
        <v>9.3049999999999997</v>
      </c>
      <c r="AD18">
        <v>17.059999999999999</v>
      </c>
      <c r="AE18">
        <v>20.16</v>
      </c>
      <c r="AF18">
        <v>21.72</v>
      </c>
      <c r="AG18">
        <v>10.86</v>
      </c>
      <c r="AH18">
        <v>20.16</v>
      </c>
      <c r="AI18">
        <v>23.27</v>
      </c>
      <c r="AJ18">
        <v>22.06</v>
      </c>
      <c r="AK18">
        <v>11.03</v>
      </c>
      <c r="AL18">
        <v>20.48</v>
      </c>
      <c r="AM18">
        <v>23.64</v>
      </c>
      <c r="AO18" s="1"/>
      <c r="AP18" s="1"/>
      <c r="AQ18" t="s">
        <v>215</v>
      </c>
      <c r="AR18" t="s">
        <v>215</v>
      </c>
      <c r="AT18">
        <v>0.28051933638044502</v>
      </c>
      <c r="AU18" t="s">
        <v>1175</v>
      </c>
      <c r="AV18">
        <v>4.58</v>
      </c>
      <c r="AW18">
        <v>1.0136650968343</v>
      </c>
      <c r="AX18">
        <v>0</v>
      </c>
      <c r="AY18" t="s">
        <v>56</v>
      </c>
      <c r="AZ18" t="s">
        <v>56</v>
      </c>
      <c r="BA18" t="s">
        <v>583</v>
      </c>
      <c r="BK18" t="s">
        <v>56</v>
      </c>
    </row>
    <row r="19" spans="1:63" hidden="1" x14ac:dyDescent="0.3">
      <c r="A19" t="s">
        <v>777</v>
      </c>
      <c r="B19" t="s">
        <v>98</v>
      </c>
      <c r="C19">
        <v>99138</v>
      </c>
      <c r="D19">
        <v>1</v>
      </c>
      <c r="E19" t="s">
        <v>57</v>
      </c>
      <c r="F19">
        <v>102</v>
      </c>
      <c r="G19" t="s">
        <v>53</v>
      </c>
      <c r="H19">
        <v>16</v>
      </c>
      <c r="J19">
        <v>102</v>
      </c>
      <c r="K19" t="s">
        <v>52</v>
      </c>
      <c r="L19">
        <v>80</v>
      </c>
      <c r="M19" t="s">
        <v>893</v>
      </c>
      <c r="N19" t="s">
        <v>300</v>
      </c>
      <c r="O19" t="s">
        <v>300</v>
      </c>
      <c r="P19" t="s">
        <v>944</v>
      </c>
      <c r="Q19">
        <v>-84.726047500000007</v>
      </c>
      <c r="R19">
        <v>45.779736800000002</v>
      </c>
      <c r="AB19">
        <v>55.86</v>
      </c>
      <c r="AC19">
        <v>13.965</v>
      </c>
      <c r="AD19">
        <v>49.33</v>
      </c>
      <c r="AE19">
        <v>62.4</v>
      </c>
      <c r="AF19">
        <v>91.27</v>
      </c>
      <c r="AG19">
        <v>22.817499999999999</v>
      </c>
      <c r="AH19">
        <v>77.69</v>
      </c>
      <c r="AI19">
        <v>104.84</v>
      </c>
      <c r="AJ19">
        <v>30.14</v>
      </c>
      <c r="AK19">
        <v>7.5350000000000001</v>
      </c>
      <c r="AL19">
        <v>-18.09</v>
      </c>
      <c r="AM19">
        <v>78.37</v>
      </c>
      <c r="AO19" s="1"/>
      <c r="AP19" s="1"/>
      <c r="AQ19" t="s">
        <v>215</v>
      </c>
      <c r="AR19" t="s">
        <v>215</v>
      </c>
      <c r="AT19">
        <v>6.56090221620345E-2</v>
      </c>
      <c r="AU19" t="s">
        <v>945</v>
      </c>
      <c r="AW19">
        <v>0.43080507963895798</v>
      </c>
      <c r="AX19">
        <v>0</v>
      </c>
      <c r="AY19" t="s">
        <v>56</v>
      </c>
      <c r="AZ19" t="s">
        <v>54</v>
      </c>
      <c r="BA19" t="s">
        <v>583</v>
      </c>
      <c r="BD19" t="s">
        <v>212</v>
      </c>
      <c r="BE19" t="s">
        <v>299</v>
      </c>
      <c r="BH19" t="s">
        <v>921</v>
      </c>
      <c r="BK19" t="s">
        <v>54</v>
      </c>
    </row>
    <row r="20" spans="1:63" hidden="1" x14ac:dyDescent="0.3">
      <c r="A20" t="s">
        <v>814</v>
      </c>
      <c r="B20" t="s">
        <v>98</v>
      </c>
      <c r="C20">
        <v>73474</v>
      </c>
      <c r="D20">
        <v>0</v>
      </c>
      <c r="E20" t="s">
        <v>62</v>
      </c>
      <c r="F20">
        <v>102</v>
      </c>
      <c r="G20" t="s">
        <v>59</v>
      </c>
      <c r="H20">
        <v>33</v>
      </c>
      <c r="J20">
        <v>102</v>
      </c>
      <c r="K20" t="s">
        <v>59</v>
      </c>
      <c r="L20">
        <v>80</v>
      </c>
      <c r="M20" t="s">
        <v>1176</v>
      </c>
      <c r="N20" t="s">
        <v>300</v>
      </c>
      <c r="O20" t="s">
        <v>300</v>
      </c>
      <c r="P20" t="s">
        <v>1177</v>
      </c>
      <c r="Q20">
        <v>-84.702566000000004</v>
      </c>
      <c r="R20">
        <v>45.854405</v>
      </c>
      <c r="AB20">
        <v>91.33</v>
      </c>
      <c r="AC20">
        <v>22.8325</v>
      </c>
      <c r="AD20">
        <v>45.66</v>
      </c>
      <c r="AE20">
        <v>136.99</v>
      </c>
      <c r="AF20">
        <v>131.91999999999999</v>
      </c>
      <c r="AG20">
        <v>32.979999999999997</v>
      </c>
      <c r="AH20">
        <v>131.91999999999999</v>
      </c>
      <c r="AI20">
        <v>131.91999999999999</v>
      </c>
      <c r="AJ20">
        <v>40.590000000000003</v>
      </c>
      <c r="AK20">
        <v>10.147500000000001</v>
      </c>
      <c r="AL20">
        <v>-50.74</v>
      </c>
      <c r="AM20">
        <v>131.91999999999999</v>
      </c>
      <c r="AO20" s="1"/>
      <c r="AP20" s="1"/>
      <c r="AQ20" t="s">
        <v>215</v>
      </c>
      <c r="AR20" t="s">
        <v>215</v>
      </c>
      <c r="AT20">
        <v>0</v>
      </c>
      <c r="AU20" t="s">
        <v>1167</v>
      </c>
      <c r="AW20">
        <v>0</v>
      </c>
      <c r="AX20">
        <v>0</v>
      </c>
      <c r="AY20" t="s">
        <v>56</v>
      </c>
      <c r="AZ20" t="s">
        <v>56</v>
      </c>
      <c r="BA20" t="s">
        <v>583</v>
      </c>
      <c r="BH20" t="s">
        <v>1170</v>
      </c>
      <c r="BK20" t="s">
        <v>56</v>
      </c>
    </row>
    <row r="21" spans="1:63" hidden="1" x14ac:dyDescent="0.3">
      <c r="A21" t="s">
        <v>778</v>
      </c>
      <c r="B21" t="s">
        <v>98</v>
      </c>
      <c r="C21">
        <v>99138</v>
      </c>
      <c r="D21">
        <v>6</v>
      </c>
      <c r="E21" t="s">
        <v>63</v>
      </c>
      <c r="F21">
        <v>102</v>
      </c>
      <c r="G21" t="s">
        <v>53</v>
      </c>
      <c r="H21">
        <v>19</v>
      </c>
      <c r="J21">
        <v>102</v>
      </c>
      <c r="K21" t="s">
        <v>52</v>
      </c>
      <c r="L21">
        <v>75</v>
      </c>
      <c r="M21" t="s">
        <v>891</v>
      </c>
      <c r="N21" t="s">
        <v>300</v>
      </c>
      <c r="O21" t="s">
        <v>300</v>
      </c>
      <c r="P21" t="s">
        <v>946</v>
      </c>
      <c r="Q21">
        <v>-84.727314000000007</v>
      </c>
      <c r="R21">
        <v>45.780206999999997</v>
      </c>
      <c r="V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O21" s="1"/>
      <c r="AP21" s="1"/>
      <c r="AQ21" t="s">
        <v>215</v>
      </c>
      <c r="AR21" t="s">
        <v>215</v>
      </c>
      <c r="AT21">
        <v>6.1504536592801098E-2</v>
      </c>
      <c r="AU21" t="s">
        <v>947</v>
      </c>
      <c r="AW21">
        <v>0.20479025319218599</v>
      </c>
      <c r="AX21">
        <v>0</v>
      </c>
      <c r="AY21" t="s">
        <v>56</v>
      </c>
      <c r="AZ21" t="s">
        <v>54</v>
      </c>
      <c r="BA21" t="s">
        <v>583</v>
      </c>
      <c r="BD21" t="s">
        <v>212</v>
      </c>
      <c r="BE21" t="s">
        <v>299</v>
      </c>
      <c r="BH21" t="s">
        <v>948</v>
      </c>
      <c r="BK21" t="s">
        <v>54</v>
      </c>
    </row>
    <row r="22" spans="1:63" hidden="1" x14ac:dyDescent="0.3">
      <c r="A22" t="s">
        <v>666</v>
      </c>
      <c r="B22" t="s">
        <v>98</v>
      </c>
      <c r="C22">
        <v>73476</v>
      </c>
      <c r="D22">
        <v>0</v>
      </c>
      <c r="E22" t="s">
        <v>62</v>
      </c>
      <c r="F22">
        <v>102</v>
      </c>
      <c r="G22" t="s">
        <v>59</v>
      </c>
      <c r="H22">
        <v>10</v>
      </c>
      <c r="J22">
        <v>102</v>
      </c>
      <c r="K22" t="s">
        <v>59</v>
      </c>
      <c r="L22">
        <v>140</v>
      </c>
      <c r="M22" t="s">
        <v>667</v>
      </c>
      <c r="N22" t="s">
        <v>303</v>
      </c>
      <c r="O22" t="s">
        <v>303</v>
      </c>
      <c r="P22" t="s">
        <v>1178</v>
      </c>
      <c r="Q22">
        <v>-84.738648999999995</v>
      </c>
      <c r="R22">
        <v>45.898026000000002</v>
      </c>
      <c r="S22">
        <v>4</v>
      </c>
      <c r="X22">
        <v>75.87</v>
      </c>
      <c r="Y22">
        <v>37.935000000000002</v>
      </c>
      <c r="Z22">
        <v>53.72</v>
      </c>
      <c r="AA22">
        <v>98.02</v>
      </c>
      <c r="AB22">
        <v>216.49</v>
      </c>
      <c r="AC22">
        <v>108.245</v>
      </c>
      <c r="AD22">
        <v>105.88</v>
      </c>
      <c r="AE22">
        <v>327.08999999999997</v>
      </c>
      <c r="AF22">
        <v>229.91</v>
      </c>
      <c r="AG22">
        <v>114.955</v>
      </c>
      <c r="AH22">
        <v>176.57</v>
      </c>
      <c r="AI22">
        <v>283.24</v>
      </c>
      <c r="AJ22">
        <v>140.62</v>
      </c>
      <c r="AK22">
        <v>70.31</v>
      </c>
      <c r="AL22">
        <v>80.569999999999993</v>
      </c>
      <c r="AM22">
        <v>200.68</v>
      </c>
      <c r="AO22" s="1"/>
      <c r="AP22" s="1"/>
      <c r="AQ22" t="s">
        <v>215</v>
      </c>
      <c r="AR22" t="s">
        <v>215</v>
      </c>
      <c r="AT22">
        <v>0.89103008276526197</v>
      </c>
      <c r="AU22" t="s">
        <v>1179</v>
      </c>
      <c r="AV22">
        <v>5.68</v>
      </c>
      <c r="AW22">
        <v>1.72230868414044</v>
      </c>
      <c r="AX22">
        <v>0</v>
      </c>
      <c r="AY22" t="s">
        <v>56</v>
      </c>
      <c r="AZ22" t="s">
        <v>56</v>
      </c>
      <c r="BA22" t="s">
        <v>583</v>
      </c>
      <c r="BK22" t="s">
        <v>56</v>
      </c>
    </row>
    <row r="23" spans="1:63" hidden="1" x14ac:dyDescent="0.3">
      <c r="A23" t="s">
        <v>815</v>
      </c>
      <c r="B23" t="s">
        <v>98</v>
      </c>
      <c r="C23">
        <v>73415</v>
      </c>
      <c r="D23">
        <v>4</v>
      </c>
      <c r="E23" t="s">
        <v>63</v>
      </c>
      <c r="F23">
        <v>102</v>
      </c>
      <c r="G23" t="s">
        <v>59</v>
      </c>
      <c r="H23">
        <v>30</v>
      </c>
      <c r="J23">
        <v>102</v>
      </c>
      <c r="K23" t="s">
        <v>59</v>
      </c>
      <c r="L23">
        <v>105</v>
      </c>
      <c r="M23" t="s">
        <v>1180</v>
      </c>
      <c r="N23" t="s">
        <v>300</v>
      </c>
      <c r="O23" t="s">
        <v>300</v>
      </c>
      <c r="P23" t="s">
        <v>1181</v>
      </c>
      <c r="Q23">
        <v>-84.702566000000004</v>
      </c>
      <c r="R23">
        <v>45.854405</v>
      </c>
      <c r="AB23">
        <v>66.400000000000006</v>
      </c>
      <c r="AC23">
        <v>16.600000000000001</v>
      </c>
      <c r="AD23">
        <v>22.13</v>
      </c>
      <c r="AE23">
        <v>110.67</v>
      </c>
      <c r="AF23">
        <v>104.63</v>
      </c>
      <c r="AG23">
        <v>26.157499999999999</v>
      </c>
      <c r="AH23">
        <v>72.5</v>
      </c>
      <c r="AI23">
        <v>136.76</v>
      </c>
      <c r="AO23" s="1"/>
      <c r="AP23" s="1"/>
      <c r="AQ23" t="s">
        <v>215</v>
      </c>
      <c r="AR23" t="s">
        <v>215</v>
      </c>
      <c r="AT23">
        <v>0</v>
      </c>
      <c r="AU23" t="s">
        <v>1167</v>
      </c>
      <c r="AW23">
        <v>0</v>
      </c>
      <c r="AX23">
        <v>0</v>
      </c>
      <c r="AY23" t="s">
        <v>56</v>
      </c>
      <c r="AZ23" t="s">
        <v>56</v>
      </c>
      <c r="BA23" t="s">
        <v>583</v>
      </c>
      <c r="BH23" t="s">
        <v>1182</v>
      </c>
      <c r="BK23" t="s">
        <v>56</v>
      </c>
    </row>
    <row r="24" spans="1:63" hidden="1" x14ac:dyDescent="0.3">
      <c r="A24" t="s">
        <v>816</v>
      </c>
      <c r="B24" t="s">
        <v>98</v>
      </c>
      <c r="C24">
        <v>73478</v>
      </c>
      <c r="D24">
        <v>0</v>
      </c>
      <c r="E24" t="s">
        <v>62</v>
      </c>
      <c r="F24">
        <v>102</v>
      </c>
      <c r="G24" t="s">
        <v>59</v>
      </c>
      <c r="H24">
        <v>14</v>
      </c>
      <c r="J24">
        <v>102</v>
      </c>
      <c r="K24" t="s">
        <v>59</v>
      </c>
      <c r="L24">
        <v>150</v>
      </c>
      <c r="M24" t="s">
        <v>1183</v>
      </c>
      <c r="N24" t="s">
        <v>323</v>
      </c>
      <c r="O24" t="s">
        <v>323</v>
      </c>
      <c r="P24" t="s">
        <v>1184</v>
      </c>
      <c r="Q24">
        <v>-84.729966000000005</v>
      </c>
      <c r="R24">
        <v>45.874554000000003</v>
      </c>
      <c r="X24">
        <v>17.510000000000002</v>
      </c>
      <c r="Y24">
        <v>8.7550000000000008</v>
      </c>
      <c r="Z24">
        <v>14.22</v>
      </c>
      <c r="AA24">
        <v>20.79</v>
      </c>
      <c r="AB24">
        <v>34.299999999999997</v>
      </c>
      <c r="AC24">
        <v>17.149999999999999</v>
      </c>
      <c r="AD24">
        <v>18.88</v>
      </c>
      <c r="AE24">
        <v>49.72</v>
      </c>
      <c r="AF24">
        <v>56.71</v>
      </c>
      <c r="AG24">
        <v>28.355</v>
      </c>
      <c r="AH24">
        <v>52.66</v>
      </c>
      <c r="AI24">
        <v>60.76</v>
      </c>
      <c r="AJ24">
        <v>42.75</v>
      </c>
      <c r="AK24">
        <v>21.375</v>
      </c>
      <c r="AL24">
        <v>33.119999999999997</v>
      </c>
      <c r="AM24">
        <v>52.39</v>
      </c>
      <c r="AO24" s="1"/>
      <c r="AP24" s="1"/>
      <c r="AQ24" t="s">
        <v>215</v>
      </c>
      <c r="AR24" t="s">
        <v>215</v>
      </c>
      <c r="AT24">
        <v>0.68048429896206297</v>
      </c>
      <c r="AU24" t="s">
        <v>1185</v>
      </c>
      <c r="AV24">
        <v>4.1399999999999997</v>
      </c>
      <c r="AW24">
        <v>2.0260309018194702</v>
      </c>
      <c r="AX24">
        <v>0</v>
      </c>
      <c r="AY24" t="s">
        <v>56</v>
      </c>
      <c r="AZ24" t="s">
        <v>56</v>
      </c>
      <c r="BA24" t="s">
        <v>583</v>
      </c>
      <c r="BH24" t="s">
        <v>1186</v>
      </c>
      <c r="BK24" t="s">
        <v>56</v>
      </c>
    </row>
    <row r="25" spans="1:63" hidden="1" x14ac:dyDescent="0.3">
      <c r="A25" t="s">
        <v>779</v>
      </c>
      <c r="B25" t="s">
        <v>98</v>
      </c>
      <c r="C25">
        <v>99138</v>
      </c>
      <c r="D25">
        <v>5</v>
      </c>
      <c r="E25" t="s">
        <v>63</v>
      </c>
      <c r="F25">
        <v>102</v>
      </c>
      <c r="G25" t="s">
        <v>53</v>
      </c>
      <c r="H25">
        <v>17</v>
      </c>
      <c r="J25">
        <v>102</v>
      </c>
      <c r="K25" t="s">
        <v>52</v>
      </c>
      <c r="L25">
        <v>140</v>
      </c>
      <c r="M25" t="s">
        <v>894</v>
      </c>
      <c r="N25" t="s">
        <v>300</v>
      </c>
      <c r="O25" t="s">
        <v>300</v>
      </c>
      <c r="P25" t="s">
        <v>949</v>
      </c>
      <c r="Q25">
        <v>-84.724689999999995</v>
      </c>
      <c r="R25">
        <v>45.779722999999997</v>
      </c>
      <c r="AB25">
        <v>73.28</v>
      </c>
      <c r="AC25">
        <v>18.32</v>
      </c>
      <c r="AD25">
        <v>36.64</v>
      </c>
      <c r="AE25">
        <v>109.92</v>
      </c>
      <c r="AF25">
        <v>171.3</v>
      </c>
      <c r="AG25">
        <v>42.825000000000003</v>
      </c>
      <c r="AH25">
        <v>149.41</v>
      </c>
      <c r="AI25">
        <v>193.18</v>
      </c>
      <c r="AJ25">
        <v>25.18</v>
      </c>
      <c r="AK25">
        <v>6.2949999999999999</v>
      </c>
      <c r="AL25">
        <v>-58.76</v>
      </c>
      <c r="AM25">
        <v>109.12</v>
      </c>
      <c r="AO25" s="1"/>
      <c r="AP25" s="1"/>
      <c r="AQ25" t="s">
        <v>215</v>
      </c>
      <c r="AR25" t="s">
        <v>215</v>
      </c>
      <c r="AT25">
        <v>0.204115454996222</v>
      </c>
      <c r="AU25" t="s">
        <v>950</v>
      </c>
      <c r="AW25">
        <v>0.82740059122443199</v>
      </c>
      <c r="AX25">
        <v>0</v>
      </c>
      <c r="AY25" t="s">
        <v>56</v>
      </c>
      <c r="AZ25" t="s">
        <v>54</v>
      </c>
      <c r="BA25" t="s">
        <v>583</v>
      </c>
      <c r="BD25" t="s">
        <v>212</v>
      </c>
      <c r="BE25" t="s">
        <v>299</v>
      </c>
      <c r="BH25" t="s">
        <v>951</v>
      </c>
      <c r="BK25" t="s">
        <v>54</v>
      </c>
    </row>
    <row r="26" spans="1:63" hidden="1" x14ac:dyDescent="0.3">
      <c r="A26" t="s">
        <v>780</v>
      </c>
      <c r="B26" t="s">
        <v>98</v>
      </c>
      <c r="C26">
        <v>99161</v>
      </c>
      <c r="D26">
        <v>106</v>
      </c>
      <c r="E26" t="s">
        <v>63</v>
      </c>
      <c r="F26">
        <v>102</v>
      </c>
      <c r="G26" t="s">
        <v>53</v>
      </c>
      <c r="H26">
        <v>10</v>
      </c>
      <c r="J26">
        <v>102</v>
      </c>
      <c r="K26" t="s">
        <v>52</v>
      </c>
      <c r="L26">
        <v>15</v>
      </c>
      <c r="M26" t="s">
        <v>895</v>
      </c>
      <c r="N26" t="s">
        <v>300</v>
      </c>
      <c r="O26" t="s">
        <v>300</v>
      </c>
      <c r="P26" t="s">
        <v>952</v>
      </c>
      <c r="Q26">
        <v>-84.482382000000001</v>
      </c>
      <c r="R26">
        <v>45.628340999999999</v>
      </c>
      <c r="AJ26">
        <v>13.38</v>
      </c>
      <c r="AK26">
        <v>3.3450000000000002</v>
      </c>
      <c r="AL26">
        <v>-147.21</v>
      </c>
      <c r="AM26">
        <v>173.97</v>
      </c>
      <c r="AO26" s="1"/>
      <c r="AP26" s="1"/>
      <c r="AQ26" t="s">
        <v>215</v>
      </c>
      <c r="AR26" t="s">
        <v>215</v>
      </c>
      <c r="AT26">
        <v>0</v>
      </c>
      <c r="AU26" t="s">
        <v>953</v>
      </c>
      <c r="AW26">
        <v>0</v>
      </c>
      <c r="AX26">
        <v>0</v>
      </c>
      <c r="AY26" t="s">
        <v>56</v>
      </c>
      <c r="AZ26" t="s">
        <v>54</v>
      </c>
      <c r="BA26" t="s">
        <v>583</v>
      </c>
      <c r="BD26" t="s">
        <v>212</v>
      </c>
      <c r="BE26" t="s">
        <v>299</v>
      </c>
      <c r="BK26" t="s">
        <v>54</v>
      </c>
    </row>
    <row r="27" spans="1:63" hidden="1" x14ac:dyDescent="0.3">
      <c r="A27" t="s">
        <v>817</v>
      </c>
      <c r="B27" t="s">
        <v>98</v>
      </c>
      <c r="C27">
        <v>99161</v>
      </c>
      <c r="D27">
        <v>107</v>
      </c>
      <c r="E27" t="s">
        <v>62</v>
      </c>
      <c r="F27">
        <v>102</v>
      </c>
      <c r="G27" t="s">
        <v>59</v>
      </c>
      <c r="H27">
        <v>37</v>
      </c>
      <c r="J27">
        <v>102</v>
      </c>
      <c r="K27" t="s">
        <v>59</v>
      </c>
      <c r="L27">
        <v>10</v>
      </c>
      <c r="M27" t="s">
        <v>1187</v>
      </c>
      <c r="N27" t="s">
        <v>300</v>
      </c>
      <c r="O27" t="s">
        <v>300</v>
      </c>
      <c r="P27" t="s">
        <v>1188</v>
      </c>
      <c r="Q27">
        <v>-84.719267000000002</v>
      </c>
      <c r="R27">
        <v>45.857348000000002</v>
      </c>
      <c r="AB27">
        <v>8.7899999999999991</v>
      </c>
      <c r="AC27">
        <v>2.1974999999999998</v>
      </c>
      <c r="AD27">
        <v>-96.73</v>
      </c>
      <c r="AE27">
        <v>114.32</v>
      </c>
      <c r="AF27">
        <v>17.190000000000001</v>
      </c>
      <c r="AG27">
        <v>4.2975000000000003</v>
      </c>
      <c r="AH27">
        <v>-189.05</v>
      </c>
      <c r="AI27">
        <v>223.42</v>
      </c>
      <c r="AJ27">
        <v>9.3000000000000007</v>
      </c>
      <c r="AK27">
        <v>2.3250000000000002</v>
      </c>
      <c r="AL27">
        <v>-102.27</v>
      </c>
      <c r="AM27">
        <v>120.87</v>
      </c>
      <c r="AO27" s="1"/>
      <c r="AP27" s="1"/>
      <c r="AQ27" t="s">
        <v>215</v>
      </c>
      <c r="AR27" t="s">
        <v>215</v>
      </c>
      <c r="AT27">
        <v>0</v>
      </c>
      <c r="AU27" t="s">
        <v>1189</v>
      </c>
      <c r="AW27">
        <v>0</v>
      </c>
      <c r="AX27">
        <v>0</v>
      </c>
      <c r="AY27" t="s">
        <v>56</v>
      </c>
      <c r="AZ27" t="s">
        <v>56</v>
      </c>
      <c r="BA27" t="s">
        <v>583</v>
      </c>
      <c r="BK27" t="s">
        <v>56</v>
      </c>
    </row>
    <row r="28" spans="1:63" hidden="1" x14ac:dyDescent="0.3">
      <c r="A28" t="s">
        <v>796</v>
      </c>
      <c r="B28" t="s">
        <v>98</v>
      </c>
      <c r="C28">
        <v>99161</v>
      </c>
      <c r="D28">
        <v>112</v>
      </c>
      <c r="E28" t="s">
        <v>62</v>
      </c>
      <c r="F28">
        <v>102</v>
      </c>
      <c r="G28" t="s">
        <v>52</v>
      </c>
      <c r="H28">
        <v>17</v>
      </c>
      <c r="J28">
        <v>102</v>
      </c>
      <c r="K28" t="s">
        <v>53</v>
      </c>
      <c r="L28">
        <v>80</v>
      </c>
      <c r="M28" t="s">
        <v>754</v>
      </c>
      <c r="N28" t="s">
        <v>300</v>
      </c>
      <c r="O28" t="s">
        <v>300</v>
      </c>
      <c r="P28" t="s">
        <v>954</v>
      </c>
      <c r="Q28">
        <v>-83.825068000000002</v>
      </c>
      <c r="R28">
        <v>45.412883000000001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2.42</v>
      </c>
      <c r="AG28">
        <v>0.60499999999999998</v>
      </c>
      <c r="AH28">
        <v>-2.0499999999999998</v>
      </c>
      <c r="AI28">
        <v>6.89</v>
      </c>
      <c r="AJ28">
        <v>0</v>
      </c>
      <c r="AK28">
        <v>0</v>
      </c>
      <c r="AL28">
        <v>0</v>
      </c>
      <c r="AM28">
        <v>0</v>
      </c>
      <c r="AO28" s="1"/>
      <c r="AP28" s="1"/>
      <c r="AQ28" t="s">
        <v>215</v>
      </c>
      <c r="AR28" t="s">
        <v>215</v>
      </c>
      <c r="AT28">
        <v>0</v>
      </c>
      <c r="AU28" t="s">
        <v>955</v>
      </c>
      <c r="AV28">
        <v>0.15</v>
      </c>
      <c r="AW28">
        <v>0</v>
      </c>
      <c r="AX28">
        <v>0</v>
      </c>
      <c r="AY28" t="s">
        <v>56</v>
      </c>
      <c r="AZ28" t="s">
        <v>54</v>
      </c>
      <c r="BA28" t="s">
        <v>583</v>
      </c>
      <c r="BD28" t="s">
        <v>434</v>
      </c>
      <c r="BE28" t="s">
        <v>303</v>
      </c>
      <c r="BF28" t="s">
        <v>60</v>
      </c>
      <c r="BI28" t="s">
        <v>54</v>
      </c>
      <c r="BK28" t="s">
        <v>54</v>
      </c>
    </row>
    <row r="29" spans="1:63" hidden="1" x14ac:dyDescent="0.3">
      <c r="A29" t="s">
        <v>781</v>
      </c>
      <c r="B29" t="s">
        <v>98</v>
      </c>
      <c r="C29">
        <v>73490</v>
      </c>
      <c r="D29">
        <v>0</v>
      </c>
      <c r="E29" t="s">
        <v>63</v>
      </c>
      <c r="F29">
        <v>102</v>
      </c>
      <c r="G29" t="s">
        <v>53</v>
      </c>
      <c r="H29">
        <v>6</v>
      </c>
      <c r="J29">
        <v>102</v>
      </c>
      <c r="K29" t="s">
        <v>52</v>
      </c>
      <c r="L29">
        <v>185</v>
      </c>
      <c r="M29" t="s">
        <v>896</v>
      </c>
      <c r="N29" t="s">
        <v>300</v>
      </c>
      <c r="O29" t="s">
        <v>300</v>
      </c>
      <c r="P29" t="s">
        <v>956</v>
      </c>
      <c r="Q29">
        <v>-84.480958999999999</v>
      </c>
      <c r="R29">
        <v>45.630597999999999</v>
      </c>
      <c r="X29">
        <v>55.75</v>
      </c>
      <c r="Y29">
        <v>13.9375</v>
      </c>
      <c r="Z29">
        <v>54.71</v>
      </c>
      <c r="AA29">
        <v>56.79</v>
      </c>
      <c r="AB29">
        <v>45.7</v>
      </c>
      <c r="AC29">
        <v>11.425000000000001</v>
      </c>
      <c r="AD29">
        <v>12.37</v>
      </c>
      <c r="AE29">
        <v>79.040000000000006</v>
      </c>
      <c r="AF29">
        <v>90.1</v>
      </c>
      <c r="AG29">
        <v>22.524999999999999</v>
      </c>
      <c r="AH29">
        <v>84.36</v>
      </c>
      <c r="AI29">
        <v>95.84</v>
      </c>
      <c r="AJ29">
        <v>89.21</v>
      </c>
      <c r="AK29">
        <v>22.302499999999998</v>
      </c>
      <c r="AL29">
        <v>77.180000000000007</v>
      </c>
      <c r="AM29">
        <v>101.25</v>
      </c>
      <c r="AO29" s="1"/>
      <c r="AP29" s="1"/>
      <c r="AQ29" t="s">
        <v>215</v>
      </c>
      <c r="AR29" t="s">
        <v>215</v>
      </c>
      <c r="AT29">
        <v>1.8399142109718901E-2</v>
      </c>
      <c r="AU29" t="s">
        <v>957</v>
      </c>
      <c r="AV29">
        <v>7.63</v>
      </c>
      <c r="AW29">
        <v>3.9143376052379601E-2</v>
      </c>
      <c r="AX29">
        <v>0</v>
      </c>
      <c r="AY29" t="s">
        <v>56</v>
      </c>
      <c r="AZ29" t="s">
        <v>54</v>
      </c>
      <c r="BA29" t="s">
        <v>583</v>
      </c>
      <c r="BD29" t="s">
        <v>212</v>
      </c>
      <c r="BE29" t="s">
        <v>299</v>
      </c>
      <c r="BK29" t="s">
        <v>54</v>
      </c>
    </row>
    <row r="30" spans="1:63" hidden="1" x14ac:dyDescent="0.3">
      <c r="A30" t="s">
        <v>668</v>
      </c>
      <c r="B30" t="s">
        <v>98</v>
      </c>
      <c r="C30">
        <v>73495</v>
      </c>
      <c r="D30">
        <v>0</v>
      </c>
      <c r="E30" t="s">
        <v>64</v>
      </c>
      <c r="F30">
        <v>102</v>
      </c>
      <c r="G30" t="s">
        <v>60</v>
      </c>
      <c r="H30">
        <v>18</v>
      </c>
      <c r="J30">
        <v>102</v>
      </c>
      <c r="K30" t="s">
        <v>60</v>
      </c>
      <c r="L30">
        <v>115</v>
      </c>
      <c r="M30" t="s">
        <v>669</v>
      </c>
      <c r="N30" t="s">
        <v>300</v>
      </c>
      <c r="O30" t="s">
        <v>300</v>
      </c>
      <c r="P30" t="s">
        <v>1190</v>
      </c>
      <c r="Q30">
        <v>-83.570402000000001</v>
      </c>
      <c r="R30">
        <v>45.077407999999998</v>
      </c>
      <c r="S30">
        <v>6</v>
      </c>
      <c r="T30">
        <v>2</v>
      </c>
      <c r="U30" t="s">
        <v>323</v>
      </c>
      <c r="V30">
        <v>0</v>
      </c>
      <c r="W30">
        <v>1</v>
      </c>
      <c r="X30">
        <v>9.07</v>
      </c>
      <c r="Y30">
        <v>2.2675000000000001</v>
      </c>
      <c r="Z30">
        <v>9.07</v>
      </c>
      <c r="AA30">
        <v>9.07</v>
      </c>
      <c r="AB30">
        <v>6.28</v>
      </c>
      <c r="AC30">
        <v>1.57</v>
      </c>
      <c r="AD30">
        <v>3.49</v>
      </c>
      <c r="AE30">
        <v>9.07</v>
      </c>
      <c r="AF30">
        <v>9.07</v>
      </c>
      <c r="AG30">
        <v>2.2675000000000001</v>
      </c>
      <c r="AH30">
        <v>9.07</v>
      </c>
      <c r="AI30">
        <v>9.07</v>
      </c>
      <c r="AJ30">
        <v>9.1</v>
      </c>
      <c r="AK30">
        <v>2.2749999999999999</v>
      </c>
      <c r="AL30">
        <v>9.0399999999999991</v>
      </c>
      <c r="AM30">
        <v>9.16</v>
      </c>
      <c r="AO30" s="1"/>
      <c r="AP30" s="1"/>
      <c r="AQ30" t="s">
        <v>215</v>
      </c>
      <c r="AR30" t="s">
        <v>215</v>
      </c>
      <c r="AT30">
        <v>0</v>
      </c>
      <c r="AU30" t="s">
        <v>1191</v>
      </c>
      <c r="AV30">
        <v>0.25</v>
      </c>
      <c r="AW30">
        <v>0</v>
      </c>
      <c r="AX30">
        <v>0</v>
      </c>
      <c r="AY30" t="s">
        <v>56</v>
      </c>
      <c r="AZ30" t="s">
        <v>56</v>
      </c>
      <c r="BA30" t="s">
        <v>583</v>
      </c>
      <c r="BK30" t="s">
        <v>56</v>
      </c>
    </row>
    <row r="31" spans="1:63" hidden="1" x14ac:dyDescent="0.3">
      <c r="A31" t="s">
        <v>763</v>
      </c>
      <c r="B31" t="s">
        <v>98</v>
      </c>
      <c r="C31">
        <v>99161</v>
      </c>
      <c r="D31">
        <v>37</v>
      </c>
      <c r="E31" t="s">
        <v>64</v>
      </c>
      <c r="F31">
        <v>102</v>
      </c>
      <c r="G31" t="s">
        <v>58</v>
      </c>
      <c r="H31">
        <v>11</v>
      </c>
      <c r="J31">
        <v>102</v>
      </c>
      <c r="K31" t="s">
        <v>58</v>
      </c>
      <c r="L31">
        <v>80</v>
      </c>
      <c r="M31" t="s">
        <v>1192</v>
      </c>
      <c r="N31" t="s">
        <v>354</v>
      </c>
      <c r="O31" t="s">
        <v>354</v>
      </c>
      <c r="P31" t="s">
        <v>1193</v>
      </c>
      <c r="Q31">
        <v>-84.617711999999997</v>
      </c>
      <c r="R31">
        <v>45.403872999999997</v>
      </c>
      <c r="V31">
        <v>0</v>
      </c>
      <c r="AO31" s="1"/>
      <c r="AP31" s="1"/>
      <c r="AQ31" t="s">
        <v>215</v>
      </c>
      <c r="AR31" t="s">
        <v>215</v>
      </c>
      <c r="AT31">
        <v>9.1578759903436405E-2</v>
      </c>
      <c r="AU31" t="s">
        <v>1194</v>
      </c>
      <c r="AW31">
        <v>0.96697192266583498</v>
      </c>
      <c r="AX31">
        <v>0</v>
      </c>
      <c r="AY31" t="s">
        <v>56</v>
      </c>
      <c r="AZ31" t="s">
        <v>56</v>
      </c>
      <c r="BA31" t="s">
        <v>583</v>
      </c>
      <c r="BK31" t="s">
        <v>56</v>
      </c>
    </row>
    <row r="32" spans="1:63" hidden="1" x14ac:dyDescent="0.3">
      <c r="A32" t="s">
        <v>764</v>
      </c>
      <c r="B32" t="s">
        <v>98</v>
      </c>
      <c r="C32">
        <v>73499</v>
      </c>
      <c r="D32">
        <v>0</v>
      </c>
      <c r="E32" t="s">
        <v>63</v>
      </c>
      <c r="F32">
        <v>102</v>
      </c>
      <c r="G32" t="s">
        <v>58</v>
      </c>
      <c r="H32">
        <v>3</v>
      </c>
      <c r="J32">
        <v>102</v>
      </c>
      <c r="K32" t="s">
        <v>58</v>
      </c>
      <c r="L32">
        <v>60</v>
      </c>
      <c r="M32" t="s">
        <v>519</v>
      </c>
      <c r="N32" t="s">
        <v>302</v>
      </c>
      <c r="O32" t="s">
        <v>302</v>
      </c>
      <c r="P32" t="s">
        <v>1195</v>
      </c>
      <c r="Q32">
        <v>-84.609074000000007</v>
      </c>
      <c r="R32">
        <v>45.456868999999998</v>
      </c>
      <c r="X32">
        <v>18.11</v>
      </c>
      <c r="Y32">
        <v>18.11</v>
      </c>
      <c r="Z32">
        <v>16.600000000000001</v>
      </c>
      <c r="AA32">
        <v>19.62</v>
      </c>
      <c r="AB32">
        <v>18.579999999999998</v>
      </c>
      <c r="AC32">
        <v>18.579999999999998</v>
      </c>
      <c r="AD32">
        <v>17.03</v>
      </c>
      <c r="AE32">
        <v>20.13</v>
      </c>
      <c r="AF32">
        <v>25.02</v>
      </c>
      <c r="AG32">
        <v>25.02</v>
      </c>
      <c r="AH32">
        <v>20.32</v>
      </c>
      <c r="AI32">
        <v>29.71</v>
      </c>
      <c r="AJ32">
        <v>18.760000000000002</v>
      </c>
      <c r="AK32">
        <v>18.760000000000002</v>
      </c>
      <c r="AL32">
        <v>17.2</v>
      </c>
      <c r="AM32">
        <v>20.32</v>
      </c>
      <c r="AO32" s="1"/>
      <c r="AP32" s="1"/>
      <c r="AQ32" t="s">
        <v>215</v>
      </c>
      <c r="AR32" t="s">
        <v>215</v>
      </c>
      <c r="AT32">
        <v>1.6321671720236299</v>
      </c>
      <c r="AU32" t="s">
        <v>1196</v>
      </c>
      <c r="AV32">
        <v>4.4000000000000004</v>
      </c>
      <c r="AW32">
        <v>1.79647619277239</v>
      </c>
      <c r="AX32">
        <v>0</v>
      </c>
      <c r="AY32" t="s">
        <v>56</v>
      </c>
      <c r="AZ32" t="s">
        <v>56</v>
      </c>
      <c r="BA32" t="s">
        <v>583</v>
      </c>
      <c r="BK32" t="s">
        <v>56</v>
      </c>
    </row>
    <row r="33" spans="1:63" hidden="1" x14ac:dyDescent="0.3">
      <c r="A33" t="s">
        <v>818</v>
      </c>
      <c r="B33" t="s">
        <v>98</v>
      </c>
      <c r="C33">
        <v>70897</v>
      </c>
      <c r="D33">
        <v>1</v>
      </c>
      <c r="E33" t="s">
        <v>63</v>
      </c>
      <c r="F33">
        <v>102</v>
      </c>
      <c r="G33" t="s">
        <v>59</v>
      </c>
      <c r="H33">
        <v>19</v>
      </c>
      <c r="J33">
        <v>102</v>
      </c>
      <c r="K33" t="s">
        <v>59</v>
      </c>
      <c r="L33">
        <v>55</v>
      </c>
      <c r="M33" t="s">
        <v>1197</v>
      </c>
      <c r="N33" t="s">
        <v>300</v>
      </c>
      <c r="O33" t="s">
        <v>300</v>
      </c>
      <c r="P33" t="s">
        <v>1198</v>
      </c>
      <c r="Q33">
        <v>-84.702566000000004</v>
      </c>
      <c r="R33">
        <v>45.854405</v>
      </c>
      <c r="AB33">
        <v>104.9</v>
      </c>
      <c r="AC33">
        <v>26.225000000000001</v>
      </c>
      <c r="AD33">
        <v>11.66</v>
      </c>
      <c r="AE33">
        <v>198.15</v>
      </c>
      <c r="AF33">
        <v>194.82</v>
      </c>
      <c r="AG33">
        <v>48.704999999999998</v>
      </c>
      <c r="AH33">
        <v>194.82</v>
      </c>
      <c r="AI33">
        <v>194.82</v>
      </c>
      <c r="AJ33">
        <v>29.97</v>
      </c>
      <c r="AK33">
        <v>7.4924999999999997</v>
      </c>
      <c r="AL33">
        <v>-67.44</v>
      </c>
      <c r="AM33">
        <v>127.38</v>
      </c>
      <c r="AO33" s="1"/>
      <c r="AP33" s="1"/>
      <c r="AQ33" t="s">
        <v>215</v>
      </c>
      <c r="AR33" t="s">
        <v>215</v>
      </c>
      <c r="AT33">
        <v>0</v>
      </c>
      <c r="AU33" t="s">
        <v>1167</v>
      </c>
      <c r="AW33">
        <v>0</v>
      </c>
      <c r="AX33">
        <v>0</v>
      </c>
      <c r="AY33" t="s">
        <v>56</v>
      </c>
      <c r="AZ33" t="s">
        <v>56</v>
      </c>
      <c r="BA33" t="s">
        <v>583</v>
      </c>
      <c r="BH33" t="s">
        <v>1042</v>
      </c>
      <c r="BK33" t="s">
        <v>56</v>
      </c>
    </row>
    <row r="34" spans="1:63" hidden="1" x14ac:dyDescent="0.3">
      <c r="A34" t="s">
        <v>1199</v>
      </c>
      <c r="B34" t="s">
        <v>98</v>
      </c>
      <c r="C34">
        <v>73596</v>
      </c>
      <c r="D34">
        <v>0</v>
      </c>
      <c r="E34" t="s">
        <v>63</v>
      </c>
      <c r="F34">
        <v>102</v>
      </c>
      <c r="G34" t="s">
        <v>59</v>
      </c>
      <c r="H34">
        <v>34</v>
      </c>
      <c r="J34">
        <v>102</v>
      </c>
      <c r="K34" t="s">
        <v>59</v>
      </c>
      <c r="L34">
        <v>50</v>
      </c>
      <c r="M34" t="s">
        <v>1200</v>
      </c>
      <c r="N34" t="s">
        <v>303</v>
      </c>
      <c r="O34" t="s">
        <v>303</v>
      </c>
      <c r="P34" t="s">
        <v>1201</v>
      </c>
      <c r="Q34">
        <v>-84.702566000000004</v>
      </c>
      <c r="R34">
        <v>45.854405</v>
      </c>
      <c r="AB34">
        <v>63.39</v>
      </c>
      <c r="AC34">
        <v>31.695</v>
      </c>
      <c r="AD34">
        <v>21.13</v>
      </c>
      <c r="AE34">
        <v>105.65</v>
      </c>
      <c r="AF34">
        <v>49.96</v>
      </c>
      <c r="AG34">
        <v>24.98</v>
      </c>
      <c r="AH34">
        <v>-2.59</v>
      </c>
      <c r="AI34">
        <v>102.51</v>
      </c>
      <c r="AJ34">
        <v>0</v>
      </c>
      <c r="AK34">
        <v>0</v>
      </c>
      <c r="AL34">
        <v>-57.24</v>
      </c>
      <c r="AM34">
        <v>57.24</v>
      </c>
      <c r="AO34" s="1"/>
      <c r="AP34" s="1"/>
      <c r="AQ34" t="s">
        <v>215</v>
      </c>
      <c r="AR34" t="s">
        <v>215</v>
      </c>
      <c r="AT34">
        <v>0</v>
      </c>
      <c r="AU34" t="s">
        <v>1202</v>
      </c>
      <c r="AW34">
        <v>0</v>
      </c>
      <c r="AX34">
        <v>0</v>
      </c>
      <c r="AY34" t="s">
        <v>56</v>
      </c>
      <c r="AZ34" t="s">
        <v>56</v>
      </c>
      <c r="BA34" t="s">
        <v>583</v>
      </c>
      <c r="BH34" t="s">
        <v>1203</v>
      </c>
      <c r="BK34" t="s">
        <v>56</v>
      </c>
    </row>
    <row r="35" spans="1:63" hidden="1" x14ac:dyDescent="0.3">
      <c r="A35" t="s">
        <v>819</v>
      </c>
      <c r="B35" t="s">
        <v>98</v>
      </c>
      <c r="C35">
        <v>73502</v>
      </c>
      <c r="D35">
        <v>0</v>
      </c>
      <c r="E35" t="s">
        <v>62</v>
      </c>
      <c r="F35">
        <v>102</v>
      </c>
      <c r="G35" t="s">
        <v>59</v>
      </c>
      <c r="H35">
        <v>35</v>
      </c>
      <c r="J35">
        <v>102</v>
      </c>
      <c r="K35" t="s">
        <v>59</v>
      </c>
      <c r="L35">
        <v>35</v>
      </c>
      <c r="M35" t="s">
        <v>1204</v>
      </c>
      <c r="N35" t="s">
        <v>300</v>
      </c>
      <c r="O35" t="s">
        <v>300</v>
      </c>
      <c r="P35" t="s">
        <v>1205</v>
      </c>
      <c r="Q35">
        <v>-84.702566000000004</v>
      </c>
      <c r="R35">
        <v>45.854405</v>
      </c>
      <c r="X35">
        <v>111.8</v>
      </c>
      <c r="Y35">
        <v>27.95</v>
      </c>
      <c r="Z35">
        <v>91.47</v>
      </c>
      <c r="AA35">
        <v>132.13</v>
      </c>
      <c r="AB35">
        <v>121.38</v>
      </c>
      <c r="AC35">
        <v>30.344999999999999</v>
      </c>
      <c r="AD35">
        <v>91.03</v>
      </c>
      <c r="AE35">
        <v>151.72</v>
      </c>
      <c r="AF35">
        <v>149.04</v>
      </c>
      <c r="AG35">
        <v>37.26</v>
      </c>
      <c r="AH35">
        <v>149.04</v>
      </c>
      <c r="AI35">
        <v>149.04</v>
      </c>
      <c r="AJ35">
        <v>119.74</v>
      </c>
      <c r="AK35">
        <v>29.934999999999999</v>
      </c>
      <c r="AL35">
        <v>83.82</v>
      </c>
      <c r="AM35">
        <v>155.66</v>
      </c>
      <c r="AO35" s="1"/>
      <c r="AP35" s="1"/>
      <c r="AQ35" t="s">
        <v>215</v>
      </c>
      <c r="AR35" t="s">
        <v>215</v>
      </c>
      <c r="AT35">
        <v>0</v>
      </c>
      <c r="AU35" t="s">
        <v>1167</v>
      </c>
      <c r="AW35">
        <v>0</v>
      </c>
      <c r="AX35">
        <v>0</v>
      </c>
      <c r="AY35" t="s">
        <v>56</v>
      </c>
      <c r="AZ35" t="s">
        <v>56</v>
      </c>
      <c r="BA35" t="s">
        <v>583</v>
      </c>
      <c r="BH35" t="s">
        <v>1206</v>
      </c>
      <c r="BK35" t="s">
        <v>56</v>
      </c>
    </row>
    <row r="36" spans="1:63" hidden="1" x14ac:dyDescent="0.3">
      <c r="A36" t="s">
        <v>670</v>
      </c>
      <c r="B36" t="s">
        <v>98</v>
      </c>
      <c r="C36">
        <v>73508</v>
      </c>
      <c r="D36">
        <v>0</v>
      </c>
      <c r="E36" t="s">
        <v>62</v>
      </c>
      <c r="F36">
        <v>102</v>
      </c>
      <c r="G36" t="s">
        <v>52</v>
      </c>
      <c r="H36">
        <v>9</v>
      </c>
      <c r="J36">
        <v>102</v>
      </c>
      <c r="K36" t="s">
        <v>60</v>
      </c>
      <c r="L36">
        <v>5</v>
      </c>
      <c r="M36" t="s">
        <v>671</v>
      </c>
      <c r="N36" t="s">
        <v>300</v>
      </c>
      <c r="O36" t="s">
        <v>300</v>
      </c>
      <c r="P36" t="s">
        <v>958</v>
      </c>
      <c r="Q36">
        <v>-84.227096700000004</v>
      </c>
      <c r="R36">
        <v>45.392431700000003</v>
      </c>
      <c r="S36">
        <v>88</v>
      </c>
      <c r="T36">
        <v>4</v>
      </c>
      <c r="U36" t="s">
        <v>95</v>
      </c>
      <c r="V36">
        <v>39</v>
      </c>
      <c r="W36">
        <v>0.71074380165289253</v>
      </c>
      <c r="X36">
        <v>111.07</v>
      </c>
      <c r="Y36">
        <v>27.767499999999998</v>
      </c>
      <c r="Z36">
        <v>108.53</v>
      </c>
      <c r="AA36">
        <v>113.6</v>
      </c>
      <c r="AB36">
        <v>106.96</v>
      </c>
      <c r="AC36">
        <v>26.74</v>
      </c>
      <c r="AD36">
        <v>102.55</v>
      </c>
      <c r="AE36">
        <v>111.38</v>
      </c>
      <c r="AF36">
        <v>102.98</v>
      </c>
      <c r="AG36">
        <v>25.745000000000001</v>
      </c>
      <c r="AH36">
        <v>98.2</v>
      </c>
      <c r="AI36">
        <v>107.76</v>
      </c>
      <c r="AJ36">
        <v>95.1</v>
      </c>
      <c r="AK36">
        <v>23.774999999999999</v>
      </c>
      <c r="AL36">
        <v>84.72</v>
      </c>
      <c r="AM36">
        <v>105.48</v>
      </c>
      <c r="AO36" s="1"/>
      <c r="AP36" s="1"/>
      <c r="AQ36" t="s">
        <v>215</v>
      </c>
      <c r="AR36" t="s">
        <v>215</v>
      </c>
      <c r="AT36">
        <v>2.5820982717691998</v>
      </c>
      <c r="AU36" t="s">
        <v>959</v>
      </c>
      <c r="AV36">
        <v>14.7</v>
      </c>
      <c r="AW36">
        <v>3.9477080702781699</v>
      </c>
      <c r="AX36">
        <v>0</v>
      </c>
      <c r="AY36" t="s">
        <v>56</v>
      </c>
      <c r="AZ36" t="s">
        <v>54</v>
      </c>
      <c r="BA36" t="s">
        <v>583</v>
      </c>
      <c r="BC36">
        <v>88</v>
      </c>
      <c r="BD36" t="s">
        <v>432</v>
      </c>
      <c r="BE36" t="s">
        <v>298</v>
      </c>
      <c r="BJ36" t="s">
        <v>54</v>
      </c>
      <c r="BK36" t="s">
        <v>54</v>
      </c>
    </row>
    <row r="37" spans="1:63" hidden="1" x14ac:dyDescent="0.3">
      <c r="A37" t="s">
        <v>672</v>
      </c>
      <c r="B37" t="s">
        <v>98</v>
      </c>
      <c r="C37">
        <v>73516</v>
      </c>
      <c r="D37">
        <v>0</v>
      </c>
      <c r="E37" t="s">
        <v>57</v>
      </c>
      <c r="F37">
        <v>102</v>
      </c>
      <c r="G37" t="s">
        <v>52</v>
      </c>
      <c r="H37">
        <v>8</v>
      </c>
      <c r="J37">
        <v>102</v>
      </c>
      <c r="K37" t="s">
        <v>60</v>
      </c>
      <c r="L37">
        <v>45</v>
      </c>
      <c r="M37" t="s">
        <v>673</v>
      </c>
      <c r="N37" t="s">
        <v>300</v>
      </c>
      <c r="O37" t="s">
        <v>300</v>
      </c>
      <c r="P37" t="s">
        <v>960</v>
      </c>
      <c r="Q37">
        <v>-84.234279999999998</v>
      </c>
      <c r="R37">
        <v>45.353873</v>
      </c>
      <c r="S37">
        <v>4</v>
      </c>
      <c r="X37">
        <v>69.19</v>
      </c>
      <c r="Y37">
        <v>17.297499999999999</v>
      </c>
      <c r="Z37">
        <v>67.989999999999995</v>
      </c>
      <c r="AA37">
        <v>70.39</v>
      </c>
      <c r="AB37">
        <v>65.86</v>
      </c>
      <c r="AC37">
        <v>16.465</v>
      </c>
      <c r="AD37">
        <v>63.71</v>
      </c>
      <c r="AE37">
        <v>68.010000000000005</v>
      </c>
      <c r="AF37">
        <v>65.88</v>
      </c>
      <c r="AG37">
        <v>16.47</v>
      </c>
      <c r="AH37">
        <v>65.88</v>
      </c>
      <c r="AI37">
        <v>65.88</v>
      </c>
      <c r="AJ37">
        <v>68.38</v>
      </c>
      <c r="AK37">
        <v>17.094999999999999</v>
      </c>
      <c r="AL37">
        <v>64.92</v>
      </c>
      <c r="AM37">
        <v>71.849999999999994</v>
      </c>
      <c r="AO37" s="1"/>
      <c r="AP37" s="1"/>
      <c r="AQ37" t="s">
        <v>215</v>
      </c>
      <c r="AR37" t="s">
        <v>215</v>
      </c>
      <c r="AT37">
        <v>3.3505141006555501E-2</v>
      </c>
      <c r="AU37" t="s">
        <v>961</v>
      </c>
      <c r="AV37">
        <v>5.32</v>
      </c>
      <c r="AW37">
        <v>0.18775905296206499</v>
      </c>
      <c r="AX37">
        <v>0</v>
      </c>
      <c r="AY37" t="s">
        <v>56</v>
      </c>
      <c r="AZ37" t="s">
        <v>54</v>
      </c>
      <c r="BA37" t="s">
        <v>583</v>
      </c>
      <c r="BC37">
        <v>4</v>
      </c>
      <c r="BD37" t="s">
        <v>432</v>
      </c>
      <c r="BE37" t="s">
        <v>298</v>
      </c>
      <c r="BJ37" t="s">
        <v>54</v>
      </c>
      <c r="BK37" t="s">
        <v>54</v>
      </c>
    </row>
    <row r="38" spans="1:63" hidden="1" x14ac:dyDescent="0.3">
      <c r="A38" t="s">
        <v>674</v>
      </c>
      <c r="B38" t="s">
        <v>98</v>
      </c>
      <c r="C38">
        <v>73517</v>
      </c>
      <c r="D38">
        <v>0</v>
      </c>
      <c r="E38" t="s">
        <v>57</v>
      </c>
      <c r="F38">
        <v>102</v>
      </c>
      <c r="G38" t="s">
        <v>58</v>
      </c>
      <c r="H38">
        <v>1</v>
      </c>
      <c r="J38">
        <v>102</v>
      </c>
      <c r="K38" t="s">
        <v>58</v>
      </c>
      <c r="L38">
        <v>120</v>
      </c>
      <c r="M38" t="s">
        <v>675</v>
      </c>
      <c r="N38" t="s">
        <v>300</v>
      </c>
      <c r="O38" t="s">
        <v>300</v>
      </c>
      <c r="P38" t="s">
        <v>1207</v>
      </c>
      <c r="Q38">
        <v>-84.608284999999995</v>
      </c>
      <c r="R38">
        <v>45.291798999999997</v>
      </c>
      <c r="S38">
        <v>4</v>
      </c>
      <c r="X38">
        <v>77.91</v>
      </c>
      <c r="Y38">
        <v>19.477499999999999</v>
      </c>
      <c r="Z38">
        <v>75.09</v>
      </c>
      <c r="AA38">
        <v>80.739999999999995</v>
      </c>
      <c r="AB38">
        <v>109.58</v>
      </c>
      <c r="AC38">
        <v>27.395</v>
      </c>
      <c r="AD38">
        <v>91.06</v>
      </c>
      <c r="AE38">
        <v>128.11000000000001</v>
      </c>
      <c r="AF38">
        <v>152.51</v>
      </c>
      <c r="AG38">
        <v>38.127499999999998</v>
      </c>
      <c r="AH38">
        <v>133.47</v>
      </c>
      <c r="AI38">
        <v>171.55</v>
      </c>
      <c r="AJ38">
        <v>131.19999999999999</v>
      </c>
      <c r="AK38">
        <v>32.799999999999997</v>
      </c>
      <c r="AL38">
        <v>118.46</v>
      </c>
      <c r="AM38">
        <v>143.94</v>
      </c>
      <c r="AO38" s="1"/>
      <c r="AP38" s="1"/>
      <c r="AQ38" t="s">
        <v>215</v>
      </c>
      <c r="AR38" t="s">
        <v>215</v>
      </c>
      <c r="AT38">
        <v>82.088522201702006</v>
      </c>
      <c r="AU38" t="s">
        <v>1208</v>
      </c>
      <c r="AV38">
        <v>4.4800000000000004</v>
      </c>
      <c r="AW38">
        <v>91.609409973025294</v>
      </c>
      <c r="AX38">
        <v>0</v>
      </c>
      <c r="AY38" t="s">
        <v>56</v>
      </c>
      <c r="AZ38" t="s">
        <v>56</v>
      </c>
      <c r="BA38" t="s">
        <v>583</v>
      </c>
      <c r="BK38" t="s">
        <v>56</v>
      </c>
    </row>
    <row r="39" spans="1:63" hidden="1" x14ac:dyDescent="0.3">
      <c r="A39" t="s">
        <v>605</v>
      </c>
      <c r="B39" t="s">
        <v>98</v>
      </c>
      <c r="C39">
        <v>73519</v>
      </c>
      <c r="D39">
        <v>0</v>
      </c>
      <c r="E39" t="s">
        <v>62</v>
      </c>
      <c r="F39">
        <v>102</v>
      </c>
      <c r="G39" t="s">
        <v>59</v>
      </c>
      <c r="H39">
        <v>6</v>
      </c>
      <c r="J39">
        <v>102</v>
      </c>
      <c r="K39" t="s">
        <v>52</v>
      </c>
      <c r="L39">
        <v>110</v>
      </c>
      <c r="M39" t="s">
        <v>606</v>
      </c>
      <c r="N39" t="s">
        <v>300</v>
      </c>
      <c r="O39" t="s">
        <v>300</v>
      </c>
      <c r="P39" t="s">
        <v>962</v>
      </c>
      <c r="Q39">
        <v>-84.731871299999995</v>
      </c>
      <c r="R39">
        <v>45.784458100000002</v>
      </c>
      <c r="S39">
        <v>2</v>
      </c>
      <c r="X39">
        <v>100.41</v>
      </c>
      <c r="Y39">
        <v>25.102499999999999</v>
      </c>
      <c r="Z39">
        <v>99.22</v>
      </c>
      <c r="AA39">
        <v>101.61</v>
      </c>
      <c r="AB39">
        <v>181.66</v>
      </c>
      <c r="AC39">
        <v>45.414999999999999</v>
      </c>
      <c r="AD39">
        <v>119.29</v>
      </c>
      <c r="AE39">
        <v>244.04</v>
      </c>
      <c r="AF39">
        <v>270.61</v>
      </c>
      <c r="AG39">
        <v>67.652500000000003</v>
      </c>
      <c r="AH39">
        <v>191.8</v>
      </c>
      <c r="AI39">
        <v>349.41</v>
      </c>
      <c r="AJ39">
        <v>242.16</v>
      </c>
      <c r="AK39">
        <v>60.54</v>
      </c>
      <c r="AL39">
        <v>123.96</v>
      </c>
      <c r="AM39">
        <v>360.37</v>
      </c>
      <c r="AO39" s="1"/>
      <c r="AP39" s="1"/>
      <c r="AQ39" t="s">
        <v>215</v>
      </c>
      <c r="AR39" t="s">
        <v>215</v>
      </c>
      <c r="AT39">
        <v>0.26779684634831302</v>
      </c>
      <c r="AU39" t="s">
        <v>963</v>
      </c>
      <c r="AV39">
        <v>7.77</v>
      </c>
      <c r="AW39">
        <v>0.97329108975827705</v>
      </c>
      <c r="AX39">
        <v>0</v>
      </c>
      <c r="AY39" t="s">
        <v>56</v>
      </c>
      <c r="AZ39" t="s">
        <v>54</v>
      </c>
      <c r="BA39" t="s">
        <v>583</v>
      </c>
      <c r="BC39">
        <v>2</v>
      </c>
      <c r="BD39" t="s">
        <v>434</v>
      </c>
      <c r="BE39" t="s">
        <v>303</v>
      </c>
      <c r="BF39" t="s">
        <v>58</v>
      </c>
      <c r="BI39" t="s">
        <v>54</v>
      </c>
      <c r="BK39" t="s">
        <v>54</v>
      </c>
    </row>
    <row r="40" spans="1:63" hidden="1" x14ac:dyDescent="0.3">
      <c r="A40" t="s">
        <v>1209</v>
      </c>
      <c r="B40" t="s">
        <v>98</v>
      </c>
      <c r="C40">
        <v>73521</v>
      </c>
      <c r="D40">
        <v>0</v>
      </c>
      <c r="E40" t="s">
        <v>63</v>
      </c>
      <c r="F40">
        <v>102</v>
      </c>
      <c r="G40" t="s">
        <v>58</v>
      </c>
      <c r="H40">
        <v>6</v>
      </c>
      <c r="J40">
        <v>102</v>
      </c>
      <c r="K40" t="s">
        <v>58</v>
      </c>
      <c r="L40">
        <v>165</v>
      </c>
      <c r="M40" t="s">
        <v>1210</v>
      </c>
      <c r="N40" t="s">
        <v>303</v>
      </c>
      <c r="O40" t="s">
        <v>303</v>
      </c>
      <c r="P40" t="s">
        <v>1211</v>
      </c>
      <c r="Q40">
        <v>-84.934669999999997</v>
      </c>
      <c r="R40">
        <v>45.594085</v>
      </c>
      <c r="X40">
        <v>80.09</v>
      </c>
      <c r="Y40">
        <v>40.045000000000002</v>
      </c>
      <c r="Z40">
        <v>73.42</v>
      </c>
      <c r="AA40">
        <v>86.77</v>
      </c>
      <c r="AB40">
        <v>100.27</v>
      </c>
      <c r="AC40">
        <v>50.134999999999998</v>
      </c>
      <c r="AD40">
        <v>89.97</v>
      </c>
      <c r="AE40">
        <v>110.57</v>
      </c>
      <c r="AF40">
        <v>110.32</v>
      </c>
      <c r="AG40">
        <v>55.16</v>
      </c>
      <c r="AH40">
        <v>101.85</v>
      </c>
      <c r="AI40">
        <v>118.8</v>
      </c>
      <c r="AJ40">
        <v>87.63</v>
      </c>
      <c r="AK40">
        <v>43.814999999999998</v>
      </c>
      <c r="AL40">
        <v>80.33</v>
      </c>
      <c r="AM40">
        <v>94.93</v>
      </c>
      <c r="AO40" s="1"/>
      <c r="AP40" s="1"/>
      <c r="AQ40" t="s">
        <v>215</v>
      </c>
      <c r="AR40" t="s">
        <v>215</v>
      </c>
      <c r="AT40">
        <v>12.243792162286301</v>
      </c>
      <c r="AU40" t="s">
        <v>1212</v>
      </c>
      <c r="AV40">
        <v>9.8000000000000007</v>
      </c>
      <c r="AW40">
        <v>16.051457719877401</v>
      </c>
      <c r="AX40">
        <v>0</v>
      </c>
      <c r="AY40" t="s">
        <v>56</v>
      </c>
      <c r="AZ40" t="s">
        <v>56</v>
      </c>
      <c r="BA40" t="s">
        <v>583</v>
      </c>
      <c r="BK40" t="s">
        <v>56</v>
      </c>
    </row>
    <row r="41" spans="1:63" hidden="1" x14ac:dyDescent="0.3">
      <c r="A41" t="s">
        <v>676</v>
      </c>
      <c r="B41" t="s">
        <v>98</v>
      </c>
      <c r="C41">
        <v>73522</v>
      </c>
      <c r="D41">
        <v>0</v>
      </c>
      <c r="E41" t="s">
        <v>63</v>
      </c>
      <c r="F41">
        <v>102</v>
      </c>
      <c r="G41" t="s">
        <v>53</v>
      </c>
      <c r="H41">
        <v>3</v>
      </c>
      <c r="J41">
        <v>102</v>
      </c>
      <c r="K41" t="s">
        <v>59</v>
      </c>
      <c r="L41">
        <v>195</v>
      </c>
      <c r="M41" t="s">
        <v>677</v>
      </c>
      <c r="N41" t="s">
        <v>300</v>
      </c>
      <c r="O41" t="s">
        <v>300</v>
      </c>
      <c r="P41" t="s">
        <v>964</v>
      </c>
      <c r="Q41">
        <v>-84.475700000000003</v>
      </c>
      <c r="R41">
        <v>45.645423000000001</v>
      </c>
      <c r="S41">
        <v>12</v>
      </c>
      <c r="X41">
        <v>332.89</v>
      </c>
      <c r="Y41">
        <v>83.222499999999997</v>
      </c>
      <c r="Z41">
        <v>277.64</v>
      </c>
      <c r="AA41">
        <v>388.14</v>
      </c>
      <c r="AB41">
        <v>450.21</v>
      </c>
      <c r="AC41">
        <v>112.55249999999999</v>
      </c>
      <c r="AD41">
        <v>399.48</v>
      </c>
      <c r="AE41">
        <v>500.95</v>
      </c>
      <c r="AF41">
        <v>436.88</v>
      </c>
      <c r="AG41">
        <v>109.22</v>
      </c>
      <c r="AH41">
        <v>364.45</v>
      </c>
      <c r="AI41">
        <v>509.31</v>
      </c>
      <c r="AJ41">
        <v>366.34</v>
      </c>
      <c r="AK41">
        <v>91.584999999999994</v>
      </c>
      <c r="AL41">
        <v>305.27</v>
      </c>
      <c r="AM41">
        <v>427.42</v>
      </c>
      <c r="AO41" s="1"/>
      <c r="AP41" s="1"/>
      <c r="AQ41" t="s">
        <v>215</v>
      </c>
      <c r="AR41" t="s">
        <v>215</v>
      </c>
      <c r="AT41">
        <v>4.1812952410114998E-2</v>
      </c>
      <c r="AU41" t="s">
        <v>965</v>
      </c>
      <c r="AV41">
        <v>6.39</v>
      </c>
      <c r="AW41">
        <v>0.13846872933208901</v>
      </c>
      <c r="AX41">
        <v>0</v>
      </c>
      <c r="AY41" t="s">
        <v>56</v>
      </c>
      <c r="AZ41" t="s">
        <v>54</v>
      </c>
      <c r="BA41" t="s">
        <v>583</v>
      </c>
      <c r="BC41">
        <v>12</v>
      </c>
      <c r="BD41" t="s">
        <v>432</v>
      </c>
      <c r="BE41" t="s">
        <v>298</v>
      </c>
      <c r="BJ41" t="s">
        <v>54</v>
      </c>
      <c r="BK41" t="s">
        <v>54</v>
      </c>
    </row>
    <row r="42" spans="1:63" hidden="1" x14ac:dyDescent="0.3">
      <c r="A42" t="s">
        <v>797</v>
      </c>
      <c r="B42" t="s">
        <v>98</v>
      </c>
      <c r="C42">
        <v>73523</v>
      </c>
      <c r="D42">
        <v>0</v>
      </c>
      <c r="E42" t="s">
        <v>63</v>
      </c>
      <c r="F42">
        <v>102</v>
      </c>
      <c r="G42" t="s">
        <v>52</v>
      </c>
      <c r="H42">
        <v>29</v>
      </c>
      <c r="J42">
        <v>102</v>
      </c>
      <c r="K42" t="s">
        <v>53</v>
      </c>
      <c r="L42">
        <v>155</v>
      </c>
      <c r="M42" t="s">
        <v>756</v>
      </c>
      <c r="N42" t="s">
        <v>300</v>
      </c>
      <c r="O42" t="s">
        <v>300</v>
      </c>
      <c r="P42" t="s">
        <v>966</v>
      </c>
      <c r="Q42">
        <v>-83.816292000000004</v>
      </c>
      <c r="R42">
        <v>45.420405000000002</v>
      </c>
      <c r="X42">
        <v>46.7</v>
      </c>
      <c r="Y42">
        <v>11.675000000000001</v>
      </c>
      <c r="Z42">
        <v>41.43</v>
      </c>
      <c r="AA42">
        <v>51.96</v>
      </c>
      <c r="AB42">
        <v>31.73</v>
      </c>
      <c r="AC42">
        <v>7.9325000000000001</v>
      </c>
      <c r="AD42">
        <v>21.94</v>
      </c>
      <c r="AE42">
        <v>41.52</v>
      </c>
      <c r="AF42">
        <v>28.08</v>
      </c>
      <c r="AG42">
        <v>7.02</v>
      </c>
      <c r="AH42">
        <v>25.74</v>
      </c>
      <c r="AI42">
        <v>30.42</v>
      </c>
      <c r="AJ42">
        <v>37.450000000000003</v>
      </c>
      <c r="AK42">
        <v>9.3625000000000007</v>
      </c>
      <c r="AL42">
        <v>30.42</v>
      </c>
      <c r="AM42">
        <v>44.47</v>
      </c>
      <c r="AO42" s="1"/>
      <c r="AP42" s="1"/>
      <c r="AQ42" t="s">
        <v>215</v>
      </c>
      <c r="AR42" t="s">
        <v>215</v>
      </c>
      <c r="AT42">
        <v>0.24354961787431201</v>
      </c>
      <c r="AU42" t="s">
        <v>967</v>
      </c>
      <c r="AV42">
        <v>4.6900000000000004</v>
      </c>
      <c r="AW42">
        <v>0.67881354689598095</v>
      </c>
      <c r="AX42">
        <v>0</v>
      </c>
      <c r="AY42" t="s">
        <v>56</v>
      </c>
      <c r="AZ42" t="s">
        <v>54</v>
      </c>
      <c r="BA42" t="s">
        <v>583</v>
      </c>
      <c r="BD42" t="s">
        <v>434</v>
      </c>
      <c r="BE42" t="s">
        <v>303</v>
      </c>
      <c r="BF42" t="s">
        <v>60</v>
      </c>
      <c r="BI42" t="s">
        <v>54</v>
      </c>
      <c r="BK42" t="s">
        <v>54</v>
      </c>
    </row>
    <row r="43" spans="1:63" hidden="1" x14ac:dyDescent="0.3">
      <c r="A43" t="s">
        <v>603</v>
      </c>
      <c r="B43" t="s">
        <v>98</v>
      </c>
      <c r="C43">
        <v>73523</v>
      </c>
      <c r="D43">
        <v>1</v>
      </c>
      <c r="E43" t="s">
        <v>63</v>
      </c>
      <c r="F43">
        <v>102</v>
      </c>
      <c r="G43" t="s">
        <v>60</v>
      </c>
      <c r="H43">
        <v>7</v>
      </c>
      <c r="J43">
        <v>102</v>
      </c>
      <c r="K43" t="s">
        <v>53</v>
      </c>
      <c r="L43">
        <v>200</v>
      </c>
      <c r="M43" t="s">
        <v>604</v>
      </c>
      <c r="N43" t="s">
        <v>300</v>
      </c>
      <c r="O43" t="s">
        <v>300</v>
      </c>
      <c r="P43" t="s">
        <v>968</v>
      </c>
      <c r="Q43">
        <v>-83.69880182</v>
      </c>
      <c r="R43">
        <v>45.260808490000002</v>
      </c>
      <c r="X43">
        <v>24.81</v>
      </c>
      <c r="Y43">
        <v>6.2024999999999997</v>
      </c>
      <c r="Z43">
        <v>21.07</v>
      </c>
      <c r="AA43">
        <v>28.54</v>
      </c>
      <c r="AB43">
        <v>20.95</v>
      </c>
      <c r="AC43">
        <v>5.2374999999999998</v>
      </c>
      <c r="AD43">
        <v>19.2</v>
      </c>
      <c r="AE43">
        <v>22.7</v>
      </c>
      <c r="AF43">
        <v>13.39</v>
      </c>
      <c r="AG43">
        <v>3.3475000000000001</v>
      </c>
      <c r="AH43">
        <v>12.27</v>
      </c>
      <c r="AI43">
        <v>14.5</v>
      </c>
      <c r="AJ43">
        <v>24.11</v>
      </c>
      <c r="AK43">
        <v>6.0274999999999999</v>
      </c>
      <c r="AL43">
        <v>20.53</v>
      </c>
      <c r="AM43">
        <v>27.69</v>
      </c>
      <c r="AO43" s="1"/>
      <c r="AP43" s="1"/>
      <c r="AQ43" t="s">
        <v>215</v>
      </c>
      <c r="AR43" t="s">
        <v>215</v>
      </c>
      <c r="AT43">
        <v>4.3169317165439702</v>
      </c>
      <c r="AU43" t="s">
        <v>969</v>
      </c>
      <c r="AV43">
        <v>7.16</v>
      </c>
      <c r="AW43">
        <v>4.3282908350229299</v>
      </c>
      <c r="AX43">
        <v>0</v>
      </c>
      <c r="AY43" t="s">
        <v>56</v>
      </c>
      <c r="AZ43" t="s">
        <v>54</v>
      </c>
      <c r="BA43" t="s">
        <v>583</v>
      </c>
      <c r="BD43" t="s">
        <v>435</v>
      </c>
      <c r="BE43" t="s">
        <v>301</v>
      </c>
      <c r="BF43" t="s">
        <v>58</v>
      </c>
      <c r="BG43" t="s">
        <v>54</v>
      </c>
      <c r="BK43" t="s">
        <v>54</v>
      </c>
    </row>
    <row r="44" spans="1:63" hidden="1" x14ac:dyDescent="0.3">
      <c r="A44" t="s">
        <v>853</v>
      </c>
      <c r="B44" t="s">
        <v>98</v>
      </c>
      <c r="C44">
        <v>99152</v>
      </c>
      <c r="D44">
        <v>1</v>
      </c>
      <c r="E44" t="s">
        <v>57</v>
      </c>
      <c r="F44">
        <v>102</v>
      </c>
      <c r="G44" t="s">
        <v>52</v>
      </c>
      <c r="H44">
        <v>9</v>
      </c>
      <c r="J44">
        <v>102</v>
      </c>
      <c r="K44" t="s">
        <v>60</v>
      </c>
      <c r="L44">
        <v>30</v>
      </c>
      <c r="M44" t="s">
        <v>854</v>
      </c>
      <c r="N44" t="s">
        <v>300</v>
      </c>
      <c r="O44" t="s">
        <v>300</v>
      </c>
      <c r="P44" t="s">
        <v>970</v>
      </c>
      <c r="Q44">
        <v>-84.241833</v>
      </c>
      <c r="R44">
        <v>45.354315999999997</v>
      </c>
      <c r="X44">
        <v>47.71</v>
      </c>
      <c r="Y44">
        <v>11.9275</v>
      </c>
      <c r="Z44">
        <v>46.98</v>
      </c>
      <c r="AA44">
        <v>48.44</v>
      </c>
      <c r="AB44">
        <v>47.39</v>
      </c>
      <c r="AC44">
        <v>11.8475</v>
      </c>
      <c r="AD44">
        <v>41.67</v>
      </c>
      <c r="AE44">
        <v>53.11</v>
      </c>
      <c r="AF44">
        <v>36.54</v>
      </c>
      <c r="AG44">
        <v>9.1349999999999998</v>
      </c>
      <c r="AH44">
        <v>33.94</v>
      </c>
      <c r="AI44">
        <v>39.14</v>
      </c>
      <c r="AJ44">
        <v>36.549999999999997</v>
      </c>
      <c r="AK44">
        <v>9.1374999999999993</v>
      </c>
      <c r="AL44">
        <v>33.94</v>
      </c>
      <c r="AM44">
        <v>39.15</v>
      </c>
      <c r="AO44" s="1"/>
      <c r="AP44" s="1"/>
      <c r="AQ44" t="s">
        <v>215</v>
      </c>
      <c r="AR44" t="s">
        <v>215</v>
      </c>
      <c r="AT44">
        <v>0.36746170154191199</v>
      </c>
      <c r="AU44" t="s">
        <v>971</v>
      </c>
      <c r="AV44">
        <v>2.31</v>
      </c>
      <c r="AW44">
        <v>0.54057944007217895</v>
      </c>
      <c r="AX44">
        <v>0</v>
      </c>
      <c r="AY44" t="s">
        <v>56</v>
      </c>
      <c r="AZ44" t="s">
        <v>54</v>
      </c>
      <c r="BA44" t="s">
        <v>583</v>
      </c>
      <c r="BD44" t="s">
        <v>432</v>
      </c>
      <c r="BE44" t="s">
        <v>298</v>
      </c>
      <c r="BJ44" t="s">
        <v>54</v>
      </c>
      <c r="BK44" t="s">
        <v>54</v>
      </c>
    </row>
    <row r="45" spans="1:63" hidden="1" x14ac:dyDescent="0.3">
      <c r="A45" t="s">
        <v>909</v>
      </c>
      <c r="B45" t="s">
        <v>98</v>
      </c>
      <c r="C45">
        <v>73524</v>
      </c>
      <c r="D45">
        <v>0</v>
      </c>
      <c r="E45" t="s">
        <v>63</v>
      </c>
      <c r="F45">
        <v>102</v>
      </c>
      <c r="G45" t="s">
        <v>52</v>
      </c>
      <c r="H45">
        <v>19</v>
      </c>
      <c r="J45">
        <v>102</v>
      </c>
      <c r="K45" t="s">
        <v>60</v>
      </c>
      <c r="L45">
        <v>10</v>
      </c>
      <c r="M45" t="s">
        <v>910</v>
      </c>
      <c r="N45" t="s">
        <v>303</v>
      </c>
      <c r="O45" t="s">
        <v>303</v>
      </c>
      <c r="P45" t="s">
        <v>972</v>
      </c>
      <c r="Q45">
        <v>-84.229347000000004</v>
      </c>
      <c r="R45">
        <v>45.431384000000001</v>
      </c>
      <c r="X45">
        <v>26.21</v>
      </c>
      <c r="Y45">
        <v>13.105</v>
      </c>
      <c r="Z45">
        <v>24.03</v>
      </c>
      <c r="AA45">
        <v>28.4</v>
      </c>
      <c r="AB45">
        <v>30.76</v>
      </c>
      <c r="AC45">
        <v>15.38</v>
      </c>
      <c r="AD45">
        <v>28.56</v>
      </c>
      <c r="AE45">
        <v>32.96</v>
      </c>
      <c r="AF45">
        <v>27.91</v>
      </c>
      <c r="AG45">
        <v>13.955</v>
      </c>
      <c r="AH45">
        <v>25.59</v>
      </c>
      <c r="AI45">
        <v>30.24</v>
      </c>
      <c r="AJ45">
        <v>32.57</v>
      </c>
      <c r="AK45">
        <v>16.285</v>
      </c>
      <c r="AL45">
        <v>30.24</v>
      </c>
      <c r="AM45">
        <v>34.89</v>
      </c>
      <c r="AO45" s="1"/>
      <c r="AP45" s="1"/>
      <c r="AQ45" t="s">
        <v>215</v>
      </c>
      <c r="AR45" t="s">
        <v>215</v>
      </c>
      <c r="AT45">
        <v>2.6925194106620101</v>
      </c>
      <c r="AU45" t="s">
        <v>973</v>
      </c>
      <c r="AV45">
        <v>4.42</v>
      </c>
      <c r="AW45">
        <v>3.0898676682263599</v>
      </c>
      <c r="AX45">
        <v>0</v>
      </c>
      <c r="AY45" t="s">
        <v>56</v>
      </c>
      <c r="AZ45" t="s">
        <v>54</v>
      </c>
      <c r="BA45" t="s">
        <v>583</v>
      </c>
      <c r="BK45" t="s">
        <v>54</v>
      </c>
    </row>
    <row r="46" spans="1:63" hidden="1" x14ac:dyDescent="0.3">
      <c r="A46" t="s">
        <v>782</v>
      </c>
      <c r="B46" t="s">
        <v>98</v>
      </c>
      <c r="C46">
        <v>73526</v>
      </c>
      <c r="D46">
        <v>0</v>
      </c>
      <c r="E46" t="s">
        <v>63</v>
      </c>
      <c r="F46">
        <v>102</v>
      </c>
      <c r="G46" t="s">
        <v>53</v>
      </c>
      <c r="H46">
        <v>15</v>
      </c>
      <c r="J46">
        <v>102</v>
      </c>
      <c r="K46" t="s">
        <v>52</v>
      </c>
      <c r="L46">
        <v>145</v>
      </c>
      <c r="M46" t="s">
        <v>900</v>
      </c>
      <c r="N46" t="s">
        <v>323</v>
      </c>
      <c r="O46" t="s">
        <v>323</v>
      </c>
      <c r="P46" t="s">
        <v>974</v>
      </c>
      <c r="Q46">
        <v>-84.726832999999999</v>
      </c>
      <c r="R46">
        <v>45.777702300000001</v>
      </c>
      <c r="AB46">
        <v>10.16</v>
      </c>
      <c r="AC46">
        <v>5.08</v>
      </c>
      <c r="AD46">
        <v>0.23</v>
      </c>
      <c r="AE46">
        <v>20.100000000000001</v>
      </c>
      <c r="AF46">
        <v>25.39</v>
      </c>
      <c r="AG46">
        <v>12.695</v>
      </c>
      <c r="AH46">
        <v>23.58</v>
      </c>
      <c r="AI46">
        <v>27.2</v>
      </c>
      <c r="AO46" s="1"/>
      <c r="AP46" s="1"/>
      <c r="AQ46" t="s">
        <v>215</v>
      </c>
      <c r="AR46" t="s">
        <v>215</v>
      </c>
      <c r="AT46">
        <v>6.9586506347950799E-2</v>
      </c>
      <c r="AU46" t="s">
        <v>975</v>
      </c>
      <c r="AW46">
        <v>0.37060444429516798</v>
      </c>
      <c r="AX46">
        <v>0</v>
      </c>
      <c r="AY46" t="s">
        <v>56</v>
      </c>
      <c r="AZ46" t="s">
        <v>54</v>
      </c>
      <c r="BA46" t="s">
        <v>583</v>
      </c>
      <c r="BH46" t="s">
        <v>976</v>
      </c>
      <c r="BK46" t="s">
        <v>54</v>
      </c>
    </row>
    <row r="47" spans="1:63" hidden="1" x14ac:dyDescent="0.3">
      <c r="A47" t="s">
        <v>740</v>
      </c>
      <c r="B47" t="s">
        <v>98</v>
      </c>
      <c r="C47">
        <v>99137</v>
      </c>
      <c r="D47">
        <v>0</v>
      </c>
      <c r="E47" t="s">
        <v>62</v>
      </c>
      <c r="F47">
        <v>102</v>
      </c>
      <c r="G47" t="s">
        <v>52</v>
      </c>
      <c r="H47">
        <v>20</v>
      </c>
      <c r="J47">
        <v>102</v>
      </c>
      <c r="K47" t="s">
        <v>53</v>
      </c>
      <c r="L47">
        <v>120</v>
      </c>
      <c r="M47" t="s">
        <v>741</v>
      </c>
      <c r="N47" t="s">
        <v>323</v>
      </c>
      <c r="O47" t="s">
        <v>323</v>
      </c>
      <c r="P47" t="s">
        <v>977</v>
      </c>
      <c r="Q47">
        <v>-83.831024999999997</v>
      </c>
      <c r="R47">
        <v>45.418256</v>
      </c>
      <c r="S47">
        <v>4</v>
      </c>
      <c r="X47">
        <v>85.41</v>
      </c>
      <c r="Y47">
        <v>42.704999999999998</v>
      </c>
      <c r="Z47">
        <v>70.52</v>
      </c>
      <c r="AA47">
        <v>100.31</v>
      </c>
      <c r="AB47">
        <v>54.09</v>
      </c>
      <c r="AC47">
        <v>27.045000000000002</v>
      </c>
      <c r="AD47">
        <v>46.91</v>
      </c>
      <c r="AE47">
        <v>61.27</v>
      </c>
      <c r="AF47">
        <v>59.49</v>
      </c>
      <c r="AG47">
        <v>29.745000000000001</v>
      </c>
      <c r="AH47">
        <v>49.12</v>
      </c>
      <c r="AI47">
        <v>69.87</v>
      </c>
      <c r="AJ47">
        <v>72.14</v>
      </c>
      <c r="AK47">
        <v>36.07</v>
      </c>
      <c r="AL47">
        <v>60.5</v>
      </c>
      <c r="AM47">
        <v>83.78</v>
      </c>
      <c r="AO47" s="1"/>
      <c r="AP47" s="1"/>
      <c r="AQ47" t="s">
        <v>215</v>
      </c>
      <c r="AR47" t="s">
        <v>215</v>
      </c>
      <c r="AT47">
        <v>0.64075559730614295</v>
      </c>
      <c r="AU47" t="s">
        <v>978</v>
      </c>
      <c r="AV47">
        <v>11.75</v>
      </c>
      <c r="AW47">
        <v>1.07909668795764</v>
      </c>
      <c r="AX47">
        <v>0</v>
      </c>
      <c r="AY47" t="s">
        <v>56</v>
      </c>
      <c r="AZ47" t="s">
        <v>54</v>
      </c>
      <c r="BA47" t="s">
        <v>583</v>
      </c>
      <c r="BC47">
        <v>4</v>
      </c>
      <c r="BK47" t="s">
        <v>54</v>
      </c>
    </row>
    <row r="48" spans="1:63" hidden="1" x14ac:dyDescent="0.3">
      <c r="A48" t="s">
        <v>742</v>
      </c>
      <c r="B48" t="s">
        <v>98</v>
      </c>
      <c r="C48">
        <v>99137</v>
      </c>
      <c r="D48">
        <v>1</v>
      </c>
      <c r="E48" t="s">
        <v>64</v>
      </c>
      <c r="F48">
        <v>102</v>
      </c>
      <c r="G48" t="s">
        <v>52</v>
      </c>
      <c r="H48">
        <v>26</v>
      </c>
      <c r="J48">
        <v>102</v>
      </c>
      <c r="K48" t="s">
        <v>53</v>
      </c>
      <c r="L48">
        <v>160</v>
      </c>
      <c r="M48" t="s">
        <v>743</v>
      </c>
      <c r="N48" t="s">
        <v>323</v>
      </c>
      <c r="O48" t="s">
        <v>323</v>
      </c>
      <c r="P48" t="s">
        <v>979</v>
      </c>
      <c r="Q48">
        <v>-83.814762479999999</v>
      </c>
      <c r="R48">
        <v>45.418568569999998</v>
      </c>
      <c r="S48">
        <v>4</v>
      </c>
      <c r="X48">
        <v>63.45</v>
      </c>
      <c r="Y48">
        <v>31.725000000000001</v>
      </c>
      <c r="Z48">
        <v>52.75</v>
      </c>
      <c r="AA48">
        <v>74.16</v>
      </c>
      <c r="AB48">
        <v>49.86</v>
      </c>
      <c r="AC48">
        <v>24.93</v>
      </c>
      <c r="AD48">
        <v>37.700000000000003</v>
      </c>
      <c r="AE48">
        <v>62.02</v>
      </c>
      <c r="AF48">
        <v>58.86</v>
      </c>
      <c r="AG48">
        <v>29.43</v>
      </c>
      <c r="AH48">
        <v>46.98</v>
      </c>
      <c r="AI48">
        <v>70.75</v>
      </c>
      <c r="AJ48">
        <v>56.47</v>
      </c>
      <c r="AK48">
        <v>28.234999999999999</v>
      </c>
      <c r="AL48">
        <v>47.15</v>
      </c>
      <c r="AM48">
        <v>65.790000000000006</v>
      </c>
      <c r="AO48" s="1"/>
      <c r="AP48" s="1"/>
      <c r="AQ48" t="s">
        <v>215</v>
      </c>
      <c r="AR48" t="s">
        <v>215</v>
      </c>
      <c r="AT48">
        <v>0.226142240402089</v>
      </c>
      <c r="AU48" t="s">
        <v>980</v>
      </c>
      <c r="AV48">
        <v>8.4</v>
      </c>
      <c r="AW48">
        <v>1.0548535306006701</v>
      </c>
      <c r="AX48">
        <v>0</v>
      </c>
      <c r="AY48" t="s">
        <v>56</v>
      </c>
      <c r="AZ48" t="s">
        <v>54</v>
      </c>
      <c r="BA48" t="s">
        <v>583</v>
      </c>
      <c r="BC48">
        <v>4</v>
      </c>
      <c r="BK48" t="s">
        <v>54</v>
      </c>
    </row>
    <row r="49" spans="1:63" hidden="1" x14ac:dyDescent="0.3">
      <c r="A49" t="s">
        <v>744</v>
      </c>
      <c r="B49" t="s">
        <v>98</v>
      </c>
      <c r="C49">
        <v>99137</v>
      </c>
      <c r="D49">
        <v>2</v>
      </c>
      <c r="E49" t="s">
        <v>57</v>
      </c>
      <c r="F49">
        <v>102</v>
      </c>
      <c r="G49" t="s">
        <v>52</v>
      </c>
      <c r="H49">
        <v>1</v>
      </c>
      <c r="J49">
        <v>102</v>
      </c>
      <c r="K49" t="s">
        <v>58</v>
      </c>
      <c r="L49">
        <v>20</v>
      </c>
      <c r="M49" t="s">
        <v>745</v>
      </c>
      <c r="N49" t="s">
        <v>323</v>
      </c>
      <c r="O49" t="s">
        <v>323</v>
      </c>
      <c r="P49" t="s">
        <v>981</v>
      </c>
      <c r="Q49">
        <v>-84.059679000000003</v>
      </c>
      <c r="R49">
        <v>45.337508999999997</v>
      </c>
      <c r="S49">
        <v>4</v>
      </c>
      <c r="X49">
        <v>49.15</v>
      </c>
      <c r="Y49">
        <v>24.574999999999999</v>
      </c>
      <c r="Z49">
        <v>45.64</v>
      </c>
      <c r="AA49">
        <v>52.66</v>
      </c>
      <c r="AB49">
        <v>37.46</v>
      </c>
      <c r="AC49">
        <v>18.73</v>
      </c>
      <c r="AD49">
        <v>34.340000000000003</v>
      </c>
      <c r="AE49">
        <v>40.590000000000003</v>
      </c>
      <c r="AF49">
        <v>48.01</v>
      </c>
      <c r="AG49">
        <v>24.004999999999999</v>
      </c>
      <c r="AH49">
        <v>44.58</v>
      </c>
      <c r="AI49">
        <v>51.44</v>
      </c>
      <c r="AJ49">
        <v>49.78</v>
      </c>
      <c r="AK49">
        <v>24.89</v>
      </c>
      <c r="AL49">
        <v>44.16</v>
      </c>
      <c r="AM49">
        <v>55.4</v>
      </c>
      <c r="AO49" s="1"/>
      <c r="AP49" s="1"/>
      <c r="AQ49" t="s">
        <v>215</v>
      </c>
      <c r="AR49" t="s">
        <v>215</v>
      </c>
      <c r="AT49">
        <v>47.968675043834502</v>
      </c>
      <c r="AU49" t="s">
        <v>982</v>
      </c>
      <c r="AV49">
        <v>11.17</v>
      </c>
      <c r="AW49">
        <v>60.117776362225399</v>
      </c>
      <c r="AX49">
        <v>0</v>
      </c>
      <c r="AY49" t="s">
        <v>56</v>
      </c>
      <c r="AZ49" t="s">
        <v>54</v>
      </c>
      <c r="BA49" t="s">
        <v>583</v>
      </c>
      <c r="BC49">
        <v>4</v>
      </c>
      <c r="BK49" t="s">
        <v>54</v>
      </c>
    </row>
    <row r="50" spans="1:63" hidden="1" x14ac:dyDescent="0.3">
      <c r="A50" t="s">
        <v>855</v>
      </c>
      <c r="B50" t="s">
        <v>98</v>
      </c>
      <c r="C50">
        <v>99161</v>
      </c>
      <c r="D50">
        <v>96</v>
      </c>
      <c r="E50" t="s">
        <v>62</v>
      </c>
      <c r="F50">
        <v>102</v>
      </c>
      <c r="G50" t="s">
        <v>52</v>
      </c>
      <c r="H50">
        <v>8</v>
      </c>
      <c r="J50">
        <v>102</v>
      </c>
      <c r="K50" t="s">
        <v>60</v>
      </c>
      <c r="L50">
        <v>65</v>
      </c>
      <c r="M50" t="s">
        <v>856</v>
      </c>
      <c r="N50" t="s">
        <v>300</v>
      </c>
      <c r="O50" t="s">
        <v>300</v>
      </c>
      <c r="P50" t="s">
        <v>983</v>
      </c>
      <c r="Q50">
        <v>-84.225686999999994</v>
      </c>
      <c r="R50">
        <v>45.356912000000001</v>
      </c>
      <c r="V50">
        <v>0</v>
      </c>
      <c r="AO50" s="1"/>
      <c r="AP50" s="1"/>
      <c r="AQ50" t="s">
        <v>215</v>
      </c>
      <c r="AR50" t="s">
        <v>215</v>
      </c>
      <c r="AT50">
        <v>0</v>
      </c>
      <c r="AU50" t="s">
        <v>984</v>
      </c>
      <c r="AV50">
        <v>0.17</v>
      </c>
      <c r="AW50">
        <v>0</v>
      </c>
      <c r="AX50">
        <v>0</v>
      </c>
      <c r="AY50" t="s">
        <v>56</v>
      </c>
      <c r="AZ50" t="s">
        <v>54</v>
      </c>
      <c r="BA50" t="s">
        <v>583</v>
      </c>
      <c r="BD50" t="s">
        <v>432</v>
      </c>
      <c r="BE50" t="s">
        <v>298</v>
      </c>
      <c r="BJ50" t="s">
        <v>54</v>
      </c>
      <c r="BK50" t="s">
        <v>54</v>
      </c>
    </row>
    <row r="51" spans="1:63" hidden="1" x14ac:dyDescent="0.3">
      <c r="A51" t="s">
        <v>836</v>
      </c>
      <c r="B51" t="s">
        <v>98</v>
      </c>
      <c r="C51">
        <v>73535</v>
      </c>
      <c r="D51">
        <v>0</v>
      </c>
      <c r="E51" t="s">
        <v>62</v>
      </c>
      <c r="F51">
        <v>102</v>
      </c>
      <c r="G51" t="s">
        <v>60</v>
      </c>
      <c r="H51">
        <v>12</v>
      </c>
      <c r="J51">
        <v>102</v>
      </c>
      <c r="K51" t="s">
        <v>53</v>
      </c>
      <c r="L51">
        <v>210</v>
      </c>
      <c r="M51" t="s">
        <v>880</v>
      </c>
      <c r="N51" t="s">
        <v>302</v>
      </c>
      <c r="O51" t="s">
        <v>302</v>
      </c>
      <c r="P51" t="s">
        <v>985</v>
      </c>
      <c r="Q51">
        <v>-83.590537999999995</v>
      </c>
      <c r="R51">
        <v>45.130426</v>
      </c>
      <c r="X51">
        <v>12.97</v>
      </c>
      <c r="Y51">
        <v>12.97</v>
      </c>
      <c r="Z51">
        <v>11.88</v>
      </c>
      <c r="AA51">
        <v>14.05</v>
      </c>
      <c r="AB51">
        <v>8.69</v>
      </c>
      <c r="AC51">
        <v>8.69</v>
      </c>
      <c r="AD51">
        <v>2.17</v>
      </c>
      <c r="AE51">
        <v>15.21</v>
      </c>
      <c r="AF51">
        <v>13.04</v>
      </c>
      <c r="AG51">
        <v>13.04</v>
      </c>
      <c r="AH51">
        <v>11.95</v>
      </c>
      <c r="AI51">
        <v>14.13</v>
      </c>
      <c r="AJ51">
        <v>17.39</v>
      </c>
      <c r="AK51">
        <v>17.39</v>
      </c>
      <c r="AL51">
        <v>14.13</v>
      </c>
      <c r="AM51">
        <v>20.65</v>
      </c>
      <c r="AO51" s="1"/>
      <c r="AP51" s="1"/>
      <c r="AQ51" t="s">
        <v>215</v>
      </c>
      <c r="AR51" t="s">
        <v>215</v>
      </c>
      <c r="AT51">
        <v>3.8387646730576801</v>
      </c>
      <c r="AU51" t="s">
        <v>986</v>
      </c>
      <c r="AV51">
        <v>10.029999999999999</v>
      </c>
      <c r="AW51">
        <v>4.2535904571414003</v>
      </c>
      <c r="AX51">
        <v>0</v>
      </c>
      <c r="AY51" t="s">
        <v>56</v>
      </c>
      <c r="AZ51" t="s">
        <v>54</v>
      </c>
      <c r="BA51" t="s">
        <v>583</v>
      </c>
      <c r="BK51" t="s">
        <v>54</v>
      </c>
    </row>
    <row r="52" spans="1:63" hidden="1" x14ac:dyDescent="0.3">
      <c r="A52" t="s">
        <v>678</v>
      </c>
      <c r="B52" t="s">
        <v>98</v>
      </c>
      <c r="C52">
        <v>73539</v>
      </c>
      <c r="D52">
        <v>0</v>
      </c>
      <c r="E52" t="s">
        <v>64</v>
      </c>
      <c r="F52">
        <v>102</v>
      </c>
      <c r="G52" t="s">
        <v>53</v>
      </c>
      <c r="H52">
        <v>2</v>
      </c>
      <c r="J52">
        <v>102</v>
      </c>
      <c r="K52" t="s">
        <v>59</v>
      </c>
      <c r="L52">
        <v>185</v>
      </c>
      <c r="M52" t="s">
        <v>679</v>
      </c>
      <c r="N52" t="s">
        <v>303</v>
      </c>
      <c r="O52" t="s">
        <v>303</v>
      </c>
      <c r="P52" t="s">
        <v>987</v>
      </c>
      <c r="Q52">
        <v>-84.473200000000006</v>
      </c>
      <c r="R52">
        <v>45.647824</v>
      </c>
      <c r="S52">
        <v>18</v>
      </c>
      <c r="X52">
        <v>34.97</v>
      </c>
      <c r="Y52">
        <v>17.484999999999999</v>
      </c>
      <c r="Z52">
        <v>32.06</v>
      </c>
      <c r="AA52">
        <v>37.89</v>
      </c>
      <c r="AB52">
        <v>39.72</v>
      </c>
      <c r="AC52">
        <v>19.86</v>
      </c>
      <c r="AD52">
        <v>36.19</v>
      </c>
      <c r="AE52">
        <v>43.25</v>
      </c>
      <c r="AF52">
        <v>27.68</v>
      </c>
      <c r="AG52">
        <v>13.84</v>
      </c>
      <c r="AH52">
        <v>25.38</v>
      </c>
      <c r="AI52">
        <v>29.99</v>
      </c>
      <c r="AJ52">
        <v>32.299999999999997</v>
      </c>
      <c r="AK52">
        <v>16.149999999999999</v>
      </c>
      <c r="AL52">
        <v>29.99</v>
      </c>
      <c r="AM52">
        <v>34.6</v>
      </c>
      <c r="AO52" s="1"/>
      <c r="AP52" s="1"/>
      <c r="AQ52" t="s">
        <v>215</v>
      </c>
      <c r="AR52" t="s">
        <v>215</v>
      </c>
      <c r="AT52">
        <v>2.0530729976280502</v>
      </c>
      <c r="AU52" t="s">
        <v>988</v>
      </c>
      <c r="AV52">
        <v>5.66</v>
      </c>
      <c r="AW52">
        <v>6.2720578406006098</v>
      </c>
      <c r="AX52">
        <v>0</v>
      </c>
      <c r="AY52" t="s">
        <v>56</v>
      </c>
      <c r="AZ52" t="s">
        <v>54</v>
      </c>
      <c r="BA52" t="s">
        <v>583</v>
      </c>
      <c r="BC52">
        <v>18</v>
      </c>
      <c r="BK52" t="s">
        <v>54</v>
      </c>
    </row>
    <row r="53" spans="1:63" hidden="1" x14ac:dyDescent="0.3">
      <c r="A53" t="s">
        <v>765</v>
      </c>
      <c r="B53" t="s">
        <v>98</v>
      </c>
      <c r="C53">
        <v>73404</v>
      </c>
      <c r="D53">
        <v>8</v>
      </c>
      <c r="E53" t="s">
        <v>57</v>
      </c>
      <c r="F53">
        <v>102</v>
      </c>
      <c r="G53" t="s">
        <v>58</v>
      </c>
      <c r="H53">
        <v>4</v>
      </c>
      <c r="J53">
        <v>102</v>
      </c>
      <c r="K53" t="s">
        <v>58</v>
      </c>
      <c r="L53">
        <v>90</v>
      </c>
      <c r="M53" t="s">
        <v>1213</v>
      </c>
      <c r="N53" t="s">
        <v>323</v>
      </c>
      <c r="O53" t="s">
        <v>323</v>
      </c>
      <c r="P53" t="s">
        <v>1214</v>
      </c>
      <c r="Q53">
        <v>-84.626734999999996</v>
      </c>
      <c r="R53">
        <v>45.398693299999998</v>
      </c>
      <c r="X53">
        <v>48.78</v>
      </c>
      <c r="Y53">
        <v>24.39</v>
      </c>
      <c r="Z53">
        <v>41.3</v>
      </c>
      <c r="AA53">
        <v>56.27</v>
      </c>
      <c r="AB53">
        <v>47.46</v>
      </c>
      <c r="AC53">
        <v>23.73</v>
      </c>
      <c r="AD53">
        <v>43.51</v>
      </c>
      <c r="AE53">
        <v>51.42</v>
      </c>
      <c r="AF53">
        <v>56.34</v>
      </c>
      <c r="AG53">
        <v>28.17</v>
      </c>
      <c r="AH53">
        <v>52.31</v>
      </c>
      <c r="AI53">
        <v>60.36</v>
      </c>
      <c r="AJ53">
        <v>57.85</v>
      </c>
      <c r="AK53">
        <v>28.925000000000001</v>
      </c>
      <c r="AL53">
        <v>53.72</v>
      </c>
      <c r="AM53">
        <v>61.98</v>
      </c>
      <c r="AO53" s="1"/>
      <c r="AP53" s="1"/>
      <c r="AQ53" t="s">
        <v>215</v>
      </c>
      <c r="AR53" t="s">
        <v>215</v>
      </c>
      <c r="AT53">
        <v>0.992549174854223</v>
      </c>
      <c r="AU53" t="s">
        <v>1215</v>
      </c>
      <c r="AV53">
        <v>3.22</v>
      </c>
      <c r="AW53">
        <v>1.79080903157592</v>
      </c>
      <c r="AX53">
        <v>0</v>
      </c>
      <c r="AY53" t="s">
        <v>56</v>
      </c>
      <c r="AZ53" t="s">
        <v>56</v>
      </c>
      <c r="BA53" t="s">
        <v>583</v>
      </c>
      <c r="BK53" t="s">
        <v>56</v>
      </c>
    </row>
    <row r="54" spans="1:63" hidden="1" x14ac:dyDescent="0.3">
      <c r="A54" t="s">
        <v>680</v>
      </c>
      <c r="B54" t="s">
        <v>98</v>
      </c>
      <c r="C54">
        <v>73540</v>
      </c>
      <c r="D54">
        <v>0</v>
      </c>
      <c r="E54" t="s">
        <v>63</v>
      </c>
      <c r="F54">
        <v>102</v>
      </c>
      <c r="G54" t="s">
        <v>60</v>
      </c>
      <c r="H54">
        <v>11</v>
      </c>
      <c r="J54">
        <v>102</v>
      </c>
      <c r="K54" t="s">
        <v>53</v>
      </c>
      <c r="L54">
        <v>185</v>
      </c>
      <c r="M54" t="s">
        <v>681</v>
      </c>
      <c r="N54" t="s">
        <v>302</v>
      </c>
      <c r="O54" t="s">
        <v>302</v>
      </c>
      <c r="P54" t="s">
        <v>989</v>
      </c>
      <c r="Q54">
        <v>-83.699166000000005</v>
      </c>
      <c r="R54">
        <v>45.265707999999997</v>
      </c>
      <c r="S54">
        <v>12</v>
      </c>
      <c r="X54">
        <v>24.13</v>
      </c>
      <c r="Y54">
        <v>24.13</v>
      </c>
      <c r="Z54">
        <v>21.56</v>
      </c>
      <c r="AA54">
        <v>26.71</v>
      </c>
      <c r="AB54">
        <v>26.49</v>
      </c>
      <c r="AC54">
        <v>26.49</v>
      </c>
      <c r="AD54">
        <v>24.28</v>
      </c>
      <c r="AE54">
        <v>28.7</v>
      </c>
      <c r="AF54">
        <v>31.76</v>
      </c>
      <c r="AG54">
        <v>31.76</v>
      </c>
      <c r="AH54">
        <v>27.07</v>
      </c>
      <c r="AI54">
        <v>36.46</v>
      </c>
      <c r="AJ54">
        <v>43.94</v>
      </c>
      <c r="AK54">
        <v>43.94</v>
      </c>
      <c r="AL54">
        <v>35.700000000000003</v>
      </c>
      <c r="AM54">
        <v>52.18</v>
      </c>
      <c r="AO54" s="1"/>
      <c r="AP54" s="1"/>
      <c r="AQ54" t="s">
        <v>215</v>
      </c>
      <c r="AR54" t="s">
        <v>215</v>
      </c>
      <c r="AT54">
        <v>0.118168691475688</v>
      </c>
      <c r="AU54" t="s">
        <v>990</v>
      </c>
      <c r="AV54">
        <v>5.76</v>
      </c>
      <c r="AW54">
        <v>0.20257489196956199</v>
      </c>
      <c r="AX54">
        <v>0</v>
      </c>
      <c r="AY54" t="s">
        <v>56</v>
      </c>
      <c r="AZ54" t="s">
        <v>54</v>
      </c>
      <c r="BA54" t="s">
        <v>583</v>
      </c>
      <c r="BC54">
        <v>12</v>
      </c>
      <c r="BK54" t="s">
        <v>54</v>
      </c>
    </row>
    <row r="55" spans="1:63" hidden="1" x14ac:dyDescent="0.3">
      <c r="A55" t="s">
        <v>682</v>
      </c>
      <c r="B55" t="s">
        <v>98</v>
      </c>
      <c r="C55">
        <v>73543</v>
      </c>
      <c r="D55">
        <v>0</v>
      </c>
      <c r="E55" t="s">
        <v>62</v>
      </c>
      <c r="F55">
        <v>102</v>
      </c>
      <c r="G55" t="s">
        <v>59</v>
      </c>
      <c r="H55">
        <v>38</v>
      </c>
      <c r="J55">
        <v>102</v>
      </c>
      <c r="K55" t="s">
        <v>59</v>
      </c>
      <c r="L55">
        <v>170</v>
      </c>
      <c r="M55" t="s">
        <v>683</v>
      </c>
      <c r="N55" t="s">
        <v>300</v>
      </c>
      <c r="O55" t="s">
        <v>300</v>
      </c>
      <c r="P55" t="s">
        <v>1216</v>
      </c>
      <c r="Q55">
        <v>-84.753614999999996</v>
      </c>
      <c r="R55">
        <v>45.855020000000003</v>
      </c>
      <c r="S55">
        <v>8</v>
      </c>
      <c r="X55">
        <v>111.13</v>
      </c>
      <c r="Y55">
        <v>27.782499999999999</v>
      </c>
      <c r="Z55">
        <v>110.69</v>
      </c>
      <c r="AA55">
        <v>111.57</v>
      </c>
      <c r="AB55">
        <v>126.16</v>
      </c>
      <c r="AC55">
        <v>31.54</v>
      </c>
      <c r="AD55">
        <v>114.02</v>
      </c>
      <c r="AE55">
        <v>138.31</v>
      </c>
      <c r="AF55">
        <v>141.5</v>
      </c>
      <c r="AG55">
        <v>35.375</v>
      </c>
      <c r="AH55">
        <v>136.30000000000001</v>
      </c>
      <c r="AI55">
        <v>146.69999999999999</v>
      </c>
      <c r="AJ55">
        <v>145.97999999999999</v>
      </c>
      <c r="AK55">
        <v>36.494999999999997</v>
      </c>
      <c r="AL55">
        <v>124.23</v>
      </c>
      <c r="AM55">
        <v>167.73</v>
      </c>
      <c r="AO55" s="1"/>
      <c r="AP55" s="1"/>
      <c r="AQ55" t="s">
        <v>215</v>
      </c>
      <c r="AR55" t="s">
        <v>215</v>
      </c>
      <c r="AT55">
        <v>1.77889280685613</v>
      </c>
      <c r="AU55" t="s">
        <v>1217</v>
      </c>
      <c r="AV55">
        <v>10.7</v>
      </c>
      <c r="AW55">
        <v>2.8331244867295</v>
      </c>
      <c r="AX55">
        <v>0</v>
      </c>
      <c r="AY55" t="s">
        <v>56</v>
      </c>
      <c r="AZ55" t="s">
        <v>56</v>
      </c>
      <c r="BA55" t="s">
        <v>583</v>
      </c>
      <c r="BK55" t="s">
        <v>56</v>
      </c>
    </row>
    <row r="56" spans="1:63" hidden="1" x14ac:dyDescent="0.3">
      <c r="A56" t="s">
        <v>684</v>
      </c>
      <c r="B56" t="s">
        <v>98</v>
      </c>
      <c r="C56">
        <v>73544</v>
      </c>
      <c r="D56">
        <v>0</v>
      </c>
      <c r="E56" t="s">
        <v>63</v>
      </c>
      <c r="F56">
        <v>102</v>
      </c>
      <c r="G56" t="s">
        <v>58</v>
      </c>
      <c r="H56">
        <v>7</v>
      </c>
      <c r="J56">
        <v>102</v>
      </c>
      <c r="K56" t="s">
        <v>58</v>
      </c>
      <c r="L56">
        <v>160</v>
      </c>
      <c r="M56" t="s">
        <v>685</v>
      </c>
      <c r="N56" t="s">
        <v>303</v>
      </c>
      <c r="O56" t="s">
        <v>303</v>
      </c>
      <c r="P56" t="s">
        <v>1218</v>
      </c>
      <c r="Q56">
        <v>-84.785978999999998</v>
      </c>
      <c r="R56">
        <v>45.571489999999997</v>
      </c>
      <c r="S56">
        <v>4</v>
      </c>
      <c r="X56">
        <v>30.15</v>
      </c>
      <c r="Y56">
        <v>15.074999999999999</v>
      </c>
      <c r="Z56">
        <v>25.95</v>
      </c>
      <c r="AA56">
        <v>34.35</v>
      </c>
      <c r="AB56">
        <v>36.409999999999997</v>
      </c>
      <c r="AC56">
        <v>18.204999999999998</v>
      </c>
      <c r="AD56">
        <v>33.81</v>
      </c>
      <c r="AE56">
        <v>39.01</v>
      </c>
      <c r="AF56">
        <v>35.729999999999997</v>
      </c>
      <c r="AG56">
        <v>17.864999999999998</v>
      </c>
      <c r="AH56">
        <v>33.18</v>
      </c>
      <c r="AI56">
        <v>38.28</v>
      </c>
      <c r="AJ56">
        <v>30.63</v>
      </c>
      <c r="AK56">
        <v>15.315</v>
      </c>
      <c r="AL56">
        <v>28.08</v>
      </c>
      <c r="AM56">
        <v>33.18</v>
      </c>
      <c r="AO56" s="1"/>
      <c r="AP56" s="1"/>
      <c r="AQ56" t="s">
        <v>215</v>
      </c>
      <c r="AR56" t="s">
        <v>215</v>
      </c>
      <c r="AT56">
        <v>9.0818641540243306</v>
      </c>
      <c r="AU56" t="s">
        <v>1219</v>
      </c>
      <c r="AV56">
        <v>4.6399999999999997</v>
      </c>
      <c r="AW56">
        <v>11.556578241288699</v>
      </c>
      <c r="AX56">
        <v>0</v>
      </c>
      <c r="AY56" t="s">
        <v>56</v>
      </c>
      <c r="AZ56" t="s">
        <v>56</v>
      </c>
      <c r="BA56" t="s">
        <v>583</v>
      </c>
      <c r="BK56" t="s">
        <v>56</v>
      </c>
    </row>
    <row r="57" spans="1:63" hidden="1" x14ac:dyDescent="0.3">
      <c r="A57" t="s">
        <v>820</v>
      </c>
      <c r="B57" t="s">
        <v>98</v>
      </c>
      <c r="C57">
        <v>73547</v>
      </c>
      <c r="D57">
        <v>0</v>
      </c>
      <c r="E57" t="s">
        <v>62</v>
      </c>
      <c r="F57">
        <v>102</v>
      </c>
      <c r="G57" t="s">
        <v>59</v>
      </c>
      <c r="H57">
        <v>15</v>
      </c>
      <c r="J57">
        <v>102</v>
      </c>
      <c r="K57" t="s">
        <v>59</v>
      </c>
      <c r="L57">
        <v>120</v>
      </c>
      <c r="M57" t="s">
        <v>1220</v>
      </c>
      <c r="N57" t="s">
        <v>300</v>
      </c>
      <c r="O57" t="s">
        <v>300</v>
      </c>
      <c r="P57" t="s">
        <v>1221</v>
      </c>
      <c r="Q57">
        <v>-84.726083000000003</v>
      </c>
      <c r="R57">
        <v>45.868665999999997</v>
      </c>
      <c r="AB57">
        <v>8.84</v>
      </c>
      <c r="AC57">
        <v>2.21</v>
      </c>
      <c r="AD57">
        <v>-19.440000000000001</v>
      </c>
      <c r="AE57">
        <v>37.119999999999997</v>
      </c>
      <c r="AF57">
        <v>125.27</v>
      </c>
      <c r="AG57">
        <v>31.317499999999999</v>
      </c>
      <c r="AH57">
        <v>125.27</v>
      </c>
      <c r="AI57">
        <v>125.27</v>
      </c>
      <c r="AJ57">
        <v>23.45</v>
      </c>
      <c r="AK57">
        <v>5.8624999999999998</v>
      </c>
      <c r="AL57">
        <v>-105.51</v>
      </c>
      <c r="AM57">
        <v>152.4</v>
      </c>
      <c r="AO57" s="1"/>
      <c r="AP57" s="1"/>
      <c r="AQ57" t="s">
        <v>215</v>
      </c>
      <c r="AR57" t="s">
        <v>215</v>
      </c>
      <c r="AT57">
        <v>0.56572875027022995</v>
      </c>
      <c r="AU57" t="s">
        <v>1222</v>
      </c>
      <c r="AW57">
        <v>1.36229645647109</v>
      </c>
      <c r="AX57">
        <v>0</v>
      </c>
      <c r="AY57" t="s">
        <v>56</v>
      </c>
      <c r="AZ57" t="s">
        <v>56</v>
      </c>
      <c r="BA57" t="s">
        <v>583</v>
      </c>
      <c r="BH57" t="s">
        <v>1223</v>
      </c>
      <c r="BK57" t="s">
        <v>56</v>
      </c>
    </row>
    <row r="58" spans="1:63" hidden="1" x14ac:dyDescent="0.3">
      <c r="A58" t="s">
        <v>686</v>
      </c>
      <c r="B58" t="s">
        <v>98</v>
      </c>
      <c r="C58">
        <v>73549</v>
      </c>
      <c r="D58">
        <v>0</v>
      </c>
      <c r="E58" t="s">
        <v>64</v>
      </c>
      <c r="F58">
        <v>102</v>
      </c>
      <c r="G58" t="s">
        <v>60</v>
      </c>
      <c r="H58">
        <v>13</v>
      </c>
      <c r="J58">
        <v>102</v>
      </c>
      <c r="K58" t="s">
        <v>53</v>
      </c>
      <c r="L58">
        <v>205</v>
      </c>
      <c r="M58" t="s">
        <v>687</v>
      </c>
      <c r="N58" t="s">
        <v>303</v>
      </c>
      <c r="O58" t="s">
        <v>303</v>
      </c>
      <c r="P58" t="s">
        <v>991</v>
      </c>
      <c r="Q58">
        <v>-83.589849000000001</v>
      </c>
      <c r="R58">
        <v>45.179133999999998</v>
      </c>
      <c r="S58">
        <v>4</v>
      </c>
      <c r="X58">
        <v>50.04</v>
      </c>
      <c r="Y58">
        <v>25.02</v>
      </c>
      <c r="Z58">
        <v>33.04</v>
      </c>
      <c r="AA58">
        <v>67.040000000000006</v>
      </c>
      <c r="AB58">
        <v>56.12</v>
      </c>
      <c r="AC58">
        <v>28.06</v>
      </c>
      <c r="AD58">
        <v>38.770000000000003</v>
      </c>
      <c r="AE58">
        <v>73.48</v>
      </c>
      <c r="AF58">
        <v>52.92</v>
      </c>
      <c r="AG58">
        <v>26.46</v>
      </c>
      <c r="AH58">
        <v>34.94</v>
      </c>
      <c r="AI58">
        <v>70.900000000000006</v>
      </c>
      <c r="AJ58">
        <v>64.510000000000005</v>
      </c>
      <c r="AK58">
        <v>32.255000000000003</v>
      </c>
      <c r="AL58">
        <v>47.56</v>
      </c>
      <c r="AM58">
        <v>81.459999999999994</v>
      </c>
      <c r="AO58" s="1"/>
      <c r="AP58" s="1"/>
      <c r="AQ58" t="s">
        <v>215</v>
      </c>
      <c r="AR58" t="s">
        <v>215</v>
      </c>
      <c r="AT58">
        <v>11.089169310342299</v>
      </c>
      <c r="AU58" t="s">
        <v>992</v>
      </c>
      <c r="AV58">
        <v>10.69</v>
      </c>
      <c r="AW58">
        <v>12.119801873341199</v>
      </c>
      <c r="AX58">
        <v>0</v>
      </c>
      <c r="AY58" t="s">
        <v>56</v>
      </c>
      <c r="AZ58" t="s">
        <v>54</v>
      </c>
      <c r="BA58" t="s">
        <v>583</v>
      </c>
      <c r="BC58">
        <v>4</v>
      </c>
      <c r="BK58" t="s">
        <v>54</v>
      </c>
    </row>
    <row r="59" spans="1:63" hidden="1" x14ac:dyDescent="0.3">
      <c r="A59" t="s">
        <v>688</v>
      </c>
      <c r="B59" t="s">
        <v>98</v>
      </c>
      <c r="C59">
        <v>73557</v>
      </c>
      <c r="D59">
        <v>0</v>
      </c>
      <c r="E59" t="s">
        <v>63</v>
      </c>
      <c r="F59">
        <v>102</v>
      </c>
      <c r="G59" t="s">
        <v>53</v>
      </c>
      <c r="H59">
        <v>23</v>
      </c>
      <c r="J59">
        <v>102</v>
      </c>
      <c r="K59" t="s">
        <v>52</v>
      </c>
      <c r="L59">
        <v>65</v>
      </c>
      <c r="M59" t="s">
        <v>689</v>
      </c>
      <c r="N59" t="s">
        <v>300</v>
      </c>
      <c r="O59" t="s">
        <v>300</v>
      </c>
      <c r="P59" t="s">
        <v>993</v>
      </c>
      <c r="Q59">
        <v>-84.726622000000006</v>
      </c>
      <c r="R59">
        <v>45.781224000000002</v>
      </c>
      <c r="S59">
        <v>12</v>
      </c>
      <c r="AB59">
        <v>275.92</v>
      </c>
      <c r="AC59">
        <v>68.98</v>
      </c>
      <c r="AD59">
        <v>166.03</v>
      </c>
      <c r="AE59">
        <v>385.81</v>
      </c>
      <c r="AF59">
        <v>557.88</v>
      </c>
      <c r="AG59">
        <v>139.47</v>
      </c>
      <c r="AH59">
        <v>324.62</v>
      </c>
      <c r="AI59">
        <v>791.13</v>
      </c>
      <c r="AJ59">
        <v>0</v>
      </c>
      <c r="AK59">
        <v>0</v>
      </c>
      <c r="AL59">
        <v>0</v>
      </c>
      <c r="AM59">
        <v>0</v>
      </c>
      <c r="AO59" s="1"/>
      <c r="AP59" s="1"/>
      <c r="AQ59" t="s">
        <v>215</v>
      </c>
      <c r="AR59" t="s">
        <v>215</v>
      </c>
      <c r="AT59">
        <v>8.6782013704703696E-3</v>
      </c>
      <c r="AU59" t="s">
        <v>994</v>
      </c>
      <c r="AV59">
        <v>9.3000000000000007</v>
      </c>
      <c r="AW59">
        <v>5.2375141531228998E-2</v>
      </c>
      <c r="AX59">
        <v>0</v>
      </c>
      <c r="AY59" t="s">
        <v>56</v>
      </c>
      <c r="AZ59" t="s">
        <v>54</v>
      </c>
      <c r="BA59" t="s">
        <v>583</v>
      </c>
      <c r="BC59">
        <v>12</v>
      </c>
      <c r="BD59" t="s">
        <v>212</v>
      </c>
      <c r="BE59" t="s">
        <v>299</v>
      </c>
      <c r="BH59" t="s">
        <v>995</v>
      </c>
      <c r="BK59" t="s">
        <v>54</v>
      </c>
    </row>
    <row r="60" spans="1:63" hidden="1" x14ac:dyDescent="0.3">
      <c r="A60" t="s">
        <v>837</v>
      </c>
      <c r="B60" t="s">
        <v>98</v>
      </c>
      <c r="C60">
        <v>73558</v>
      </c>
      <c r="D60">
        <v>0</v>
      </c>
      <c r="E60" t="s">
        <v>64</v>
      </c>
      <c r="F60">
        <v>102</v>
      </c>
      <c r="G60" t="s">
        <v>60</v>
      </c>
      <c r="H60">
        <v>7</v>
      </c>
      <c r="J60">
        <v>102</v>
      </c>
      <c r="K60" t="s">
        <v>53</v>
      </c>
      <c r="L60">
        <v>40</v>
      </c>
      <c r="M60" t="s">
        <v>879</v>
      </c>
      <c r="N60" t="s">
        <v>298</v>
      </c>
      <c r="O60" t="s">
        <v>298</v>
      </c>
      <c r="P60" t="s">
        <v>996</v>
      </c>
      <c r="Q60">
        <v>-83.433038999999994</v>
      </c>
      <c r="R60">
        <v>45.243408000000002</v>
      </c>
      <c r="X60">
        <v>18.55</v>
      </c>
      <c r="Y60">
        <v>18.55</v>
      </c>
      <c r="Z60">
        <v>15.07</v>
      </c>
      <c r="AA60">
        <v>22.03</v>
      </c>
      <c r="AB60">
        <v>14</v>
      </c>
      <c r="AC60">
        <v>14</v>
      </c>
      <c r="AD60">
        <v>12.84</v>
      </c>
      <c r="AE60">
        <v>15.17</v>
      </c>
      <c r="AF60">
        <v>14</v>
      </c>
      <c r="AG60">
        <v>14</v>
      </c>
      <c r="AH60">
        <v>12.84</v>
      </c>
      <c r="AI60">
        <v>15.17</v>
      </c>
      <c r="AJ60">
        <v>14</v>
      </c>
      <c r="AK60">
        <v>14</v>
      </c>
      <c r="AL60">
        <v>12.84</v>
      </c>
      <c r="AM60">
        <v>15.17</v>
      </c>
      <c r="AO60" s="1"/>
      <c r="AP60" s="1"/>
      <c r="AQ60" t="s">
        <v>215</v>
      </c>
      <c r="AR60" t="s">
        <v>215</v>
      </c>
      <c r="AT60">
        <v>3.5988130905767899</v>
      </c>
      <c r="AU60" t="s">
        <v>997</v>
      </c>
      <c r="AV60">
        <v>3.17</v>
      </c>
      <c r="AW60">
        <v>4.24487140588462</v>
      </c>
      <c r="AX60">
        <v>0</v>
      </c>
      <c r="AY60" t="s">
        <v>56</v>
      </c>
      <c r="AZ60" t="s">
        <v>54</v>
      </c>
      <c r="BA60" t="s">
        <v>583</v>
      </c>
      <c r="BK60" t="s">
        <v>54</v>
      </c>
    </row>
    <row r="61" spans="1:63" hidden="1" x14ac:dyDescent="0.3">
      <c r="A61" t="s">
        <v>798</v>
      </c>
      <c r="B61" t="s">
        <v>98</v>
      </c>
      <c r="C61">
        <v>73559</v>
      </c>
      <c r="D61">
        <v>1</v>
      </c>
      <c r="E61" t="s">
        <v>62</v>
      </c>
      <c r="F61">
        <v>102</v>
      </c>
      <c r="G61" t="s">
        <v>52</v>
      </c>
      <c r="H61">
        <v>26</v>
      </c>
      <c r="J61">
        <v>102</v>
      </c>
      <c r="K61" t="s">
        <v>53</v>
      </c>
      <c r="L61">
        <v>150</v>
      </c>
      <c r="M61" t="s">
        <v>870</v>
      </c>
      <c r="N61" t="s">
        <v>298</v>
      </c>
      <c r="O61" t="s">
        <v>298</v>
      </c>
      <c r="P61" t="s">
        <v>998</v>
      </c>
      <c r="Q61">
        <v>-83.819108</v>
      </c>
      <c r="R61">
        <v>45.422936</v>
      </c>
      <c r="X61">
        <v>30.67</v>
      </c>
      <c r="Y61">
        <v>30.67</v>
      </c>
      <c r="Z61">
        <v>28.48</v>
      </c>
      <c r="AA61">
        <v>32.86</v>
      </c>
      <c r="AB61">
        <v>26.32</v>
      </c>
      <c r="AC61">
        <v>26.32</v>
      </c>
      <c r="AD61">
        <v>24.12</v>
      </c>
      <c r="AE61">
        <v>28.51</v>
      </c>
      <c r="AF61">
        <v>30.7</v>
      </c>
      <c r="AG61">
        <v>30.7</v>
      </c>
      <c r="AH61">
        <v>28.51</v>
      </c>
      <c r="AI61">
        <v>32.9</v>
      </c>
      <c r="AJ61">
        <v>23</v>
      </c>
      <c r="AK61">
        <v>23</v>
      </c>
      <c r="AL61">
        <v>18.690000000000001</v>
      </c>
      <c r="AM61">
        <v>27.32</v>
      </c>
      <c r="AO61" s="1"/>
      <c r="AP61" s="1"/>
      <c r="AQ61" t="s">
        <v>215</v>
      </c>
      <c r="AR61" t="s">
        <v>215</v>
      </c>
      <c r="AT61">
        <v>0.122686835247534</v>
      </c>
      <c r="AU61" t="s">
        <v>999</v>
      </c>
      <c r="AV61">
        <v>7.09</v>
      </c>
      <c r="AW61">
        <v>0.42848783917725097</v>
      </c>
      <c r="AX61">
        <v>0</v>
      </c>
      <c r="AY61" t="s">
        <v>56</v>
      </c>
      <c r="AZ61" t="s">
        <v>54</v>
      </c>
      <c r="BA61" t="s">
        <v>583</v>
      </c>
      <c r="BK61" t="s">
        <v>54</v>
      </c>
    </row>
    <row r="62" spans="1:63" hidden="1" x14ac:dyDescent="0.3">
      <c r="A62" t="s">
        <v>783</v>
      </c>
      <c r="B62" t="s">
        <v>98</v>
      </c>
      <c r="C62">
        <v>73561</v>
      </c>
      <c r="D62">
        <v>0</v>
      </c>
      <c r="E62" t="s">
        <v>63</v>
      </c>
      <c r="F62">
        <v>102</v>
      </c>
      <c r="G62" t="s">
        <v>53</v>
      </c>
      <c r="H62">
        <v>5</v>
      </c>
      <c r="J62">
        <v>102</v>
      </c>
      <c r="K62" t="s">
        <v>52</v>
      </c>
      <c r="L62">
        <v>180</v>
      </c>
      <c r="M62" t="s">
        <v>902</v>
      </c>
      <c r="N62" t="s">
        <v>299</v>
      </c>
      <c r="O62" t="s">
        <v>299</v>
      </c>
      <c r="P62" t="s">
        <v>1000</v>
      </c>
      <c r="Q62">
        <v>-84.481038999999996</v>
      </c>
      <c r="R62">
        <v>45.630915000000002</v>
      </c>
      <c r="X62">
        <v>10.63</v>
      </c>
      <c r="Y62">
        <v>10.63</v>
      </c>
      <c r="Z62">
        <v>9.75</v>
      </c>
      <c r="AA62">
        <v>11.52</v>
      </c>
      <c r="AB62">
        <v>14.25</v>
      </c>
      <c r="AC62">
        <v>14.25</v>
      </c>
      <c r="AD62">
        <v>11.58</v>
      </c>
      <c r="AE62">
        <v>16.920000000000002</v>
      </c>
      <c r="AF62">
        <v>10.69</v>
      </c>
      <c r="AG62">
        <v>10.69</v>
      </c>
      <c r="AH62">
        <v>9.8000000000000007</v>
      </c>
      <c r="AI62">
        <v>11.58</v>
      </c>
      <c r="AJ62">
        <v>10.69</v>
      </c>
      <c r="AK62">
        <v>10.69</v>
      </c>
      <c r="AL62">
        <v>9.8000000000000007</v>
      </c>
      <c r="AM62">
        <v>11.58</v>
      </c>
      <c r="AO62" s="1"/>
      <c r="AP62" s="1"/>
      <c r="AQ62" t="s">
        <v>215</v>
      </c>
      <c r="AR62" t="s">
        <v>215</v>
      </c>
      <c r="AT62">
        <v>0.63407626333530498</v>
      </c>
      <c r="AU62" t="s">
        <v>1001</v>
      </c>
      <c r="AV62">
        <v>1.85</v>
      </c>
      <c r="AW62">
        <v>1.6490726768970501</v>
      </c>
      <c r="AX62">
        <v>0</v>
      </c>
      <c r="AY62" t="s">
        <v>56</v>
      </c>
      <c r="AZ62" t="s">
        <v>54</v>
      </c>
      <c r="BA62" t="s">
        <v>583</v>
      </c>
      <c r="BK62" t="s">
        <v>54</v>
      </c>
    </row>
    <row r="63" spans="1:63" hidden="1" x14ac:dyDescent="0.3">
      <c r="A63" t="s">
        <v>690</v>
      </c>
      <c r="B63" t="s">
        <v>98</v>
      </c>
      <c r="C63">
        <v>73565</v>
      </c>
      <c r="D63">
        <v>0</v>
      </c>
      <c r="E63" t="s">
        <v>63</v>
      </c>
      <c r="F63">
        <v>102</v>
      </c>
      <c r="G63" t="s">
        <v>53</v>
      </c>
      <c r="H63">
        <v>2</v>
      </c>
      <c r="J63">
        <v>102</v>
      </c>
      <c r="K63" t="s">
        <v>52</v>
      </c>
      <c r="L63">
        <v>150</v>
      </c>
      <c r="M63" t="s">
        <v>691</v>
      </c>
      <c r="N63" t="s">
        <v>300</v>
      </c>
      <c r="O63" t="s">
        <v>300</v>
      </c>
      <c r="P63" t="s">
        <v>1002</v>
      </c>
      <c r="Q63">
        <v>-84.475703999999993</v>
      </c>
      <c r="R63">
        <v>45.646346999999999</v>
      </c>
      <c r="S63">
        <v>2</v>
      </c>
      <c r="X63">
        <v>44.24</v>
      </c>
      <c r="Y63">
        <v>11.06</v>
      </c>
      <c r="Z63">
        <v>4.92</v>
      </c>
      <c r="AA63">
        <v>83.56</v>
      </c>
      <c r="AB63">
        <v>132.49</v>
      </c>
      <c r="AC63">
        <v>33.122500000000002</v>
      </c>
      <c r="AD63">
        <v>91.05</v>
      </c>
      <c r="AE63">
        <v>173.92</v>
      </c>
      <c r="AF63">
        <v>152.82</v>
      </c>
      <c r="AG63">
        <v>38.204999999999998</v>
      </c>
      <c r="AH63">
        <v>115.41</v>
      </c>
      <c r="AI63">
        <v>190.24</v>
      </c>
      <c r="AJ63">
        <v>104.72</v>
      </c>
      <c r="AK63">
        <v>26.18</v>
      </c>
      <c r="AL63">
        <v>70.040000000000006</v>
      </c>
      <c r="AM63">
        <v>139.38999999999999</v>
      </c>
      <c r="AO63" s="1"/>
      <c r="AP63" s="1"/>
      <c r="AQ63" t="s">
        <v>215</v>
      </c>
      <c r="AR63" t="s">
        <v>215</v>
      </c>
      <c r="AT63">
        <v>2.0528169336105599</v>
      </c>
      <c r="AU63" t="s">
        <v>1003</v>
      </c>
      <c r="AW63">
        <v>5.8959283176809496</v>
      </c>
      <c r="AX63">
        <v>0</v>
      </c>
      <c r="AY63" t="s">
        <v>56</v>
      </c>
      <c r="AZ63" t="s">
        <v>54</v>
      </c>
      <c r="BA63" t="s">
        <v>583</v>
      </c>
      <c r="BC63">
        <v>2</v>
      </c>
      <c r="BD63" t="s">
        <v>212</v>
      </c>
      <c r="BE63" t="s">
        <v>299</v>
      </c>
      <c r="BH63" t="s">
        <v>1004</v>
      </c>
      <c r="BK63" t="s">
        <v>54</v>
      </c>
    </row>
    <row r="64" spans="1:63" hidden="1" x14ac:dyDescent="0.3">
      <c r="A64" t="s">
        <v>692</v>
      </c>
      <c r="B64" t="s">
        <v>98</v>
      </c>
      <c r="C64">
        <v>73566</v>
      </c>
      <c r="D64">
        <v>0</v>
      </c>
      <c r="E64" t="s">
        <v>62</v>
      </c>
      <c r="F64">
        <v>102</v>
      </c>
      <c r="G64" t="s">
        <v>59</v>
      </c>
      <c r="H64">
        <v>12</v>
      </c>
      <c r="J64">
        <v>102</v>
      </c>
      <c r="K64" t="s">
        <v>59</v>
      </c>
      <c r="L64">
        <v>130</v>
      </c>
      <c r="M64" t="s">
        <v>693</v>
      </c>
      <c r="N64" t="s">
        <v>300</v>
      </c>
      <c r="O64" t="s">
        <v>300</v>
      </c>
      <c r="P64" t="s">
        <v>1224</v>
      </c>
      <c r="Q64">
        <v>-84.724093999999994</v>
      </c>
      <c r="R64">
        <v>45.881262</v>
      </c>
      <c r="S64">
        <v>4</v>
      </c>
      <c r="AB64">
        <v>211.53</v>
      </c>
      <c r="AC64">
        <v>52.8825</v>
      </c>
      <c r="AD64">
        <v>134.88</v>
      </c>
      <c r="AE64">
        <v>288.18</v>
      </c>
      <c r="AF64">
        <v>326</v>
      </c>
      <c r="AG64">
        <v>81.5</v>
      </c>
      <c r="AH64">
        <v>282.95</v>
      </c>
      <c r="AI64">
        <v>369.04</v>
      </c>
      <c r="AJ64">
        <v>127.98</v>
      </c>
      <c r="AK64">
        <v>31.995000000000001</v>
      </c>
      <c r="AL64">
        <v>-63.99</v>
      </c>
      <c r="AM64">
        <v>319.95</v>
      </c>
      <c r="AO64" s="1"/>
      <c r="AP64" s="1"/>
      <c r="AQ64" t="s">
        <v>215</v>
      </c>
      <c r="AR64" t="s">
        <v>215</v>
      </c>
      <c r="AT64">
        <v>0.803750414190468</v>
      </c>
      <c r="AU64" t="s">
        <v>1225</v>
      </c>
      <c r="AW64">
        <v>2.59374959766865</v>
      </c>
      <c r="AX64">
        <v>0</v>
      </c>
      <c r="AY64" t="s">
        <v>56</v>
      </c>
      <c r="AZ64" t="s">
        <v>56</v>
      </c>
      <c r="BA64" t="s">
        <v>583</v>
      </c>
      <c r="BH64" t="s">
        <v>1226</v>
      </c>
      <c r="BK64" t="s">
        <v>56</v>
      </c>
    </row>
    <row r="65" spans="1:63" hidden="1" x14ac:dyDescent="0.3">
      <c r="A65" t="s">
        <v>821</v>
      </c>
      <c r="B65" t="s">
        <v>98</v>
      </c>
      <c r="C65">
        <v>73566</v>
      </c>
      <c r="D65">
        <v>1</v>
      </c>
      <c r="E65" t="s">
        <v>62</v>
      </c>
      <c r="F65">
        <v>102</v>
      </c>
      <c r="G65" t="s">
        <v>59</v>
      </c>
      <c r="H65">
        <v>13</v>
      </c>
      <c r="J65">
        <v>102</v>
      </c>
      <c r="K65" t="s">
        <v>59</v>
      </c>
      <c r="L65">
        <v>135</v>
      </c>
      <c r="M65" t="s">
        <v>1227</v>
      </c>
      <c r="N65" t="s">
        <v>300</v>
      </c>
      <c r="O65" t="s">
        <v>300</v>
      </c>
      <c r="P65" t="s">
        <v>1224</v>
      </c>
      <c r="Q65">
        <v>-84.724093999999994</v>
      </c>
      <c r="R65">
        <v>45.881262</v>
      </c>
      <c r="AB65">
        <v>22.24</v>
      </c>
      <c r="AC65">
        <v>5.56</v>
      </c>
      <c r="AD65">
        <v>0.36</v>
      </c>
      <c r="AE65">
        <v>44.12</v>
      </c>
      <c r="AF65">
        <v>3.63</v>
      </c>
      <c r="AG65">
        <v>0.90749999999999997</v>
      </c>
      <c r="AH65">
        <v>3.63</v>
      </c>
      <c r="AI65">
        <v>3.63</v>
      </c>
      <c r="AJ65">
        <v>1.4</v>
      </c>
      <c r="AK65">
        <v>0.35</v>
      </c>
      <c r="AL65">
        <v>-0.7</v>
      </c>
      <c r="AM65">
        <v>3.49</v>
      </c>
      <c r="AO65" s="1"/>
      <c r="AP65" s="1"/>
      <c r="AQ65" t="s">
        <v>215</v>
      </c>
      <c r="AR65" t="s">
        <v>215</v>
      </c>
      <c r="AT65">
        <v>0</v>
      </c>
      <c r="AU65" t="s">
        <v>1225</v>
      </c>
      <c r="AW65">
        <v>0</v>
      </c>
      <c r="AX65">
        <v>0</v>
      </c>
      <c r="AY65" t="s">
        <v>56</v>
      </c>
      <c r="AZ65" t="s">
        <v>56</v>
      </c>
      <c r="BA65" t="s">
        <v>583</v>
      </c>
      <c r="BH65" t="s">
        <v>1228</v>
      </c>
      <c r="BK65" t="s">
        <v>56</v>
      </c>
    </row>
    <row r="66" spans="1:63" hidden="1" x14ac:dyDescent="0.3">
      <c r="A66" t="s">
        <v>799</v>
      </c>
      <c r="B66" t="s">
        <v>98</v>
      </c>
      <c r="C66">
        <v>73568</v>
      </c>
      <c r="D66">
        <v>0</v>
      </c>
      <c r="E66" t="s">
        <v>63</v>
      </c>
      <c r="F66">
        <v>102</v>
      </c>
      <c r="G66" t="s">
        <v>52</v>
      </c>
      <c r="H66">
        <v>1</v>
      </c>
      <c r="J66">
        <v>102</v>
      </c>
      <c r="K66" t="s">
        <v>58</v>
      </c>
      <c r="L66">
        <v>15</v>
      </c>
      <c r="M66" t="s">
        <v>861</v>
      </c>
      <c r="N66" t="s">
        <v>298</v>
      </c>
      <c r="O66" t="s">
        <v>298</v>
      </c>
      <c r="P66" t="s">
        <v>1005</v>
      </c>
      <c r="Q66">
        <v>-84.060310000000001</v>
      </c>
      <c r="R66">
        <v>45.336019</v>
      </c>
      <c r="X66">
        <v>16.579999999999998</v>
      </c>
      <c r="Y66">
        <v>16.579999999999998</v>
      </c>
      <c r="Z66">
        <v>13.48</v>
      </c>
      <c r="AA66">
        <v>19.690000000000001</v>
      </c>
      <c r="AB66">
        <v>12.95</v>
      </c>
      <c r="AC66">
        <v>12.95</v>
      </c>
      <c r="AD66">
        <v>11.87</v>
      </c>
      <c r="AE66">
        <v>14.02</v>
      </c>
      <c r="AF66">
        <v>13.16</v>
      </c>
      <c r="AG66">
        <v>13.16</v>
      </c>
      <c r="AH66">
        <v>12.06</v>
      </c>
      <c r="AI66">
        <v>14.26</v>
      </c>
      <c r="AJ66">
        <v>17.600000000000001</v>
      </c>
      <c r="AK66">
        <v>17.600000000000001</v>
      </c>
      <c r="AL66">
        <v>14.3</v>
      </c>
      <c r="AM66">
        <v>20.9</v>
      </c>
      <c r="AO66" s="1"/>
      <c r="AP66" s="1"/>
      <c r="AQ66" t="s">
        <v>215</v>
      </c>
      <c r="AR66" t="s">
        <v>215</v>
      </c>
      <c r="AT66">
        <v>47.865148867356602</v>
      </c>
      <c r="AU66" t="s">
        <v>1006</v>
      </c>
      <c r="AW66">
        <v>59.869313545525102</v>
      </c>
      <c r="AX66">
        <v>0</v>
      </c>
      <c r="AY66" t="s">
        <v>56</v>
      </c>
      <c r="AZ66" t="s">
        <v>54</v>
      </c>
      <c r="BA66" t="s">
        <v>583</v>
      </c>
      <c r="BK66" t="s">
        <v>54</v>
      </c>
    </row>
    <row r="67" spans="1:63" hidden="1" x14ac:dyDescent="0.3">
      <c r="A67" t="s">
        <v>601</v>
      </c>
      <c r="B67" t="s">
        <v>98</v>
      </c>
      <c r="C67">
        <v>73569</v>
      </c>
      <c r="D67">
        <v>0</v>
      </c>
      <c r="E67" t="s">
        <v>64</v>
      </c>
      <c r="F67">
        <v>102</v>
      </c>
      <c r="G67" t="s">
        <v>60</v>
      </c>
      <c r="H67">
        <v>8</v>
      </c>
      <c r="J67">
        <v>102</v>
      </c>
      <c r="K67" t="s">
        <v>53</v>
      </c>
      <c r="L67">
        <v>45</v>
      </c>
      <c r="M67" t="s">
        <v>602</v>
      </c>
      <c r="N67" t="s">
        <v>300</v>
      </c>
      <c r="O67" t="s">
        <v>300</v>
      </c>
      <c r="P67" t="s">
        <v>1007</v>
      </c>
      <c r="Q67">
        <v>-83.573711000000003</v>
      </c>
      <c r="R67">
        <v>45.330810999999997</v>
      </c>
      <c r="S67">
        <v>55</v>
      </c>
      <c r="T67">
        <v>3</v>
      </c>
      <c r="U67" t="s">
        <v>149</v>
      </c>
      <c r="V67">
        <v>24</v>
      </c>
      <c r="W67">
        <v>0.66666666666666663</v>
      </c>
      <c r="X67">
        <v>16.690000000000001</v>
      </c>
      <c r="Y67">
        <v>4.1725000000000003</v>
      </c>
      <c r="Z67">
        <v>-22.44</v>
      </c>
      <c r="AA67">
        <v>55.81</v>
      </c>
      <c r="AB67">
        <v>70.19</v>
      </c>
      <c r="AC67">
        <v>17.547499999999999</v>
      </c>
      <c r="AD67">
        <v>55.09</v>
      </c>
      <c r="AE67">
        <v>85.28</v>
      </c>
      <c r="AF67">
        <v>78.010000000000005</v>
      </c>
      <c r="AG67">
        <v>19.502500000000001</v>
      </c>
      <c r="AH67">
        <v>61.81</v>
      </c>
      <c r="AI67">
        <v>94.21</v>
      </c>
      <c r="AJ67">
        <v>31.81</v>
      </c>
      <c r="AK67">
        <v>7.9524999999999997</v>
      </c>
      <c r="AL67">
        <v>-4.54</v>
      </c>
      <c r="AM67">
        <v>68.17</v>
      </c>
      <c r="AO67" s="1"/>
      <c r="AP67" s="1"/>
      <c r="AQ67" t="s">
        <v>215</v>
      </c>
      <c r="AR67" t="s">
        <v>215</v>
      </c>
      <c r="AT67">
        <v>10.7019200402476</v>
      </c>
      <c r="AU67" t="s">
        <v>1008</v>
      </c>
      <c r="AW67">
        <v>12.237588070333</v>
      </c>
      <c r="AX67">
        <v>0</v>
      </c>
      <c r="AY67" t="s">
        <v>56</v>
      </c>
      <c r="AZ67" t="s">
        <v>54</v>
      </c>
      <c r="BA67" t="s">
        <v>583</v>
      </c>
      <c r="BC67">
        <v>55</v>
      </c>
      <c r="BD67" t="s">
        <v>435</v>
      </c>
      <c r="BE67" t="s">
        <v>301</v>
      </c>
      <c r="BF67" t="s">
        <v>58</v>
      </c>
      <c r="BG67" t="s">
        <v>54</v>
      </c>
      <c r="BH67" t="s">
        <v>1009</v>
      </c>
      <c r="BK67" t="s">
        <v>54</v>
      </c>
    </row>
    <row r="68" spans="1:63" hidden="1" x14ac:dyDescent="0.3">
      <c r="A68" t="s">
        <v>784</v>
      </c>
      <c r="B68" t="s">
        <v>98</v>
      </c>
      <c r="C68">
        <v>73575</v>
      </c>
      <c r="D68">
        <v>0</v>
      </c>
      <c r="E68" t="s">
        <v>64</v>
      </c>
      <c r="F68">
        <v>102</v>
      </c>
      <c r="G68" t="s">
        <v>53</v>
      </c>
      <c r="H68">
        <v>17</v>
      </c>
      <c r="J68">
        <v>102</v>
      </c>
      <c r="K68" t="s">
        <v>52</v>
      </c>
      <c r="L68">
        <v>155</v>
      </c>
      <c r="M68" t="s">
        <v>901</v>
      </c>
      <c r="N68" t="s">
        <v>299</v>
      </c>
      <c r="O68" t="s">
        <v>299</v>
      </c>
      <c r="P68" t="s">
        <v>1010</v>
      </c>
      <c r="Q68">
        <v>-84.475633000000002</v>
      </c>
      <c r="R68">
        <v>45.646332999999998</v>
      </c>
      <c r="X68">
        <v>0</v>
      </c>
      <c r="Y68">
        <v>0</v>
      </c>
      <c r="Z68">
        <v>0</v>
      </c>
      <c r="AA68">
        <v>0</v>
      </c>
      <c r="AB68">
        <v>30.48</v>
      </c>
      <c r="AC68">
        <v>30.48</v>
      </c>
      <c r="AD68">
        <v>18.11</v>
      </c>
      <c r="AE68">
        <v>42.84</v>
      </c>
      <c r="AF68">
        <v>32.89</v>
      </c>
      <c r="AG68">
        <v>32.89</v>
      </c>
      <c r="AH68">
        <v>28.01</v>
      </c>
      <c r="AI68">
        <v>37.78</v>
      </c>
      <c r="AJ68">
        <v>0</v>
      </c>
      <c r="AK68">
        <v>0</v>
      </c>
      <c r="AL68">
        <v>0</v>
      </c>
      <c r="AM68">
        <v>0</v>
      </c>
      <c r="AO68" s="1"/>
      <c r="AP68" s="1"/>
      <c r="AQ68" t="s">
        <v>215</v>
      </c>
      <c r="AR68" t="s">
        <v>215</v>
      </c>
      <c r="AT68">
        <v>4.2172925914148798E-2</v>
      </c>
      <c r="AU68" t="s">
        <v>1011</v>
      </c>
      <c r="AW68">
        <v>0.13099186867475501</v>
      </c>
      <c r="AX68">
        <v>0</v>
      </c>
      <c r="AY68" t="s">
        <v>56</v>
      </c>
      <c r="AZ68" t="s">
        <v>54</v>
      </c>
      <c r="BA68" t="s">
        <v>583</v>
      </c>
      <c r="BH68" t="s">
        <v>1012</v>
      </c>
      <c r="BK68" t="s">
        <v>54</v>
      </c>
    </row>
    <row r="69" spans="1:63" hidden="1" x14ac:dyDescent="0.3">
      <c r="A69" t="s">
        <v>766</v>
      </c>
      <c r="B69" t="s">
        <v>98</v>
      </c>
      <c r="C69">
        <v>73576</v>
      </c>
      <c r="D69">
        <v>0</v>
      </c>
      <c r="E69" t="s">
        <v>57</v>
      </c>
      <c r="F69">
        <v>102</v>
      </c>
      <c r="G69" t="s">
        <v>58</v>
      </c>
      <c r="H69">
        <v>3</v>
      </c>
      <c r="J69">
        <v>102</v>
      </c>
      <c r="K69" t="s">
        <v>58</v>
      </c>
      <c r="L69">
        <v>105</v>
      </c>
      <c r="M69" t="s">
        <v>1229</v>
      </c>
      <c r="N69" t="s">
        <v>300</v>
      </c>
      <c r="O69" t="s">
        <v>300</v>
      </c>
      <c r="P69" t="s">
        <v>1230</v>
      </c>
      <c r="Q69">
        <v>-84.630063300000003</v>
      </c>
      <c r="R69">
        <v>45.386125</v>
      </c>
      <c r="X69">
        <v>63.6</v>
      </c>
      <c r="Y69">
        <v>15.9</v>
      </c>
      <c r="Z69">
        <v>63.36</v>
      </c>
      <c r="AA69">
        <v>63.84</v>
      </c>
      <c r="AB69">
        <v>63.99</v>
      </c>
      <c r="AC69">
        <v>15.9975</v>
      </c>
      <c r="AD69">
        <v>63.99</v>
      </c>
      <c r="AE69">
        <v>63.99</v>
      </c>
      <c r="AF69">
        <v>71.95</v>
      </c>
      <c r="AG69">
        <v>17.987500000000001</v>
      </c>
      <c r="AH69">
        <v>66.81</v>
      </c>
      <c r="AI69">
        <v>77.09</v>
      </c>
      <c r="AJ69">
        <v>68.38</v>
      </c>
      <c r="AK69">
        <v>17.094999999999999</v>
      </c>
      <c r="AL69">
        <v>68.38</v>
      </c>
      <c r="AM69">
        <v>68.38</v>
      </c>
      <c r="AO69" s="1"/>
      <c r="AP69" s="1"/>
      <c r="AQ69" t="s">
        <v>215</v>
      </c>
      <c r="AR69" t="s">
        <v>215</v>
      </c>
      <c r="AT69">
        <v>8.4742507018647606E-2</v>
      </c>
      <c r="AU69" t="s">
        <v>1231</v>
      </c>
      <c r="AW69">
        <v>0.43070275150239501</v>
      </c>
      <c r="AX69">
        <v>0</v>
      </c>
      <c r="AY69" t="s">
        <v>56</v>
      </c>
      <c r="AZ69" t="s">
        <v>56</v>
      </c>
      <c r="BA69" t="s">
        <v>583</v>
      </c>
      <c r="BK69" t="s">
        <v>56</v>
      </c>
    </row>
    <row r="70" spans="1:63" hidden="1" x14ac:dyDescent="0.3">
      <c r="A70" t="s">
        <v>694</v>
      </c>
      <c r="B70" t="s">
        <v>98</v>
      </c>
      <c r="C70">
        <v>73577</v>
      </c>
      <c r="D70">
        <v>0</v>
      </c>
      <c r="E70" t="s">
        <v>57</v>
      </c>
      <c r="F70">
        <v>102</v>
      </c>
      <c r="G70" t="s">
        <v>53</v>
      </c>
      <c r="H70">
        <v>25</v>
      </c>
      <c r="J70">
        <v>102</v>
      </c>
      <c r="K70" t="s">
        <v>59</v>
      </c>
      <c r="L70">
        <v>180</v>
      </c>
      <c r="M70" t="s">
        <v>695</v>
      </c>
      <c r="N70" t="s">
        <v>300</v>
      </c>
      <c r="O70" t="s">
        <v>300</v>
      </c>
      <c r="P70" t="s">
        <v>1013</v>
      </c>
      <c r="Q70">
        <v>-84.477244999999996</v>
      </c>
      <c r="R70">
        <v>45.648505</v>
      </c>
      <c r="S70">
        <v>8</v>
      </c>
      <c r="X70">
        <v>83.3</v>
      </c>
      <c r="Y70">
        <v>20.824999999999999</v>
      </c>
      <c r="Z70">
        <v>63.35</v>
      </c>
      <c r="AA70">
        <v>103.24</v>
      </c>
      <c r="AB70">
        <v>93.31</v>
      </c>
      <c r="AC70">
        <v>23.327500000000001</v>
      </c>
      <c r="AD70">
        <v>67.59</v>
      </c>
      <c r="AE70">
        <v>119.03</v>
      </c>
      <c r="AF70">
        <v>97.24</v>
      </c>
      <c r="AG70">
        <v>24.31</v>
      </c>
      <c r="AH70">
        <v>74.650000000000006</v>
      </c>
      <c r="AI70">
        <v>119.83</v>
      </c>
      <c r="AJ70">
        <v>109.88</v>
      </c>
      <c r="AK70">
        <v>27.47</v>
      </c>
      <c r="AL70">
        <v>86.8</v>
      </c>
      <c r="AM70">
        <v>132.96</v>
      </c>
      <c r="AO70" s="1"/>
      <c r="AP70" s="1"/>
      <c r="AQ70" t="s">
        <v>215</v>
      </c>
      <c r="AR70" t="s">
        <v>215</v>
      </c>
      <c r="AT70">
        <v>26.560728859110998</v>
      </c>
      <c r="AU70" t="s">
        <v>1014</v>
      </c>
      <c r="AW70">
        <v>32.709726285189397</v>
      </c>
      <c r="AX70">
        <v>0</v>
      </c>
      <c r="AY70" t="s">
        <v>56</v>
      </c>
      <c r="AZ70" t="s">
        <v>54</v>
      </c>
      <c r="BA70" t="s">
        <v>583</v>
      </c>
      <c r="BC70">
        <v>8</v>
      </c>
      <c r="BD70" t="s">
        <v>432</v>
      </c>
      <c r="BE70" t="s">
        <v>298</v>
      </c>
      <c r="BJ70" t="s">
        <v>54</v>
      </c>
      <c r="BK70" t="s">
        <v>54</v>
      </c>
    </row>
    <row r="71" spans="1:63" hidden="1" x14ac:dyDescent="0.3">
      <c r="A71" t="s">
        <v>696</v>
      </c>
      <c r="B71" t="s">
        <v>98</v>
      </c>
      <c r="C71">
        <v>73578</v>
      </c>
      <c r="D71">
        <v>0</v>
      </c>
      <c r="E71" t="s">
        <v>63</v>
      </c>
      <c r="F71">
        <v>102</v>
      </c>
      <c r="G71" t="s">
        <v>58</v>
      </c>
      <c r="H71">
        <v>9</v>
      </c>
      <c r="J71">
        <v>102</v>
      </c>
      <c r="K71" t="s">
        <v>58</v>
      </c>
      <c r="L71">
        <v>150</v>
      </c>
      <c r="M71" t="s">
        <v>697</v>
      </c>
      <c r="N71" t="s">
        <v>300</v>
      </c>
      <c r="O71" t="s">
        <v>300</v>
      </c>
      <c r="P71" t="s">
        <v>1232</v>
      </c>
      <c r="Q71">
        <v>-84.756686999999999</v>
      </c>
      <c r="R71">
        <v>45.505090000000003</v>
      </c>
      <c r="S71">
        <v>4</v>
      </c>
      <c r="AB71">
        <v>134.13999999999999</v>
      </c>
      <c r="AC71">
        <v>33.534999999999997</v>
      </c>
      <c r="AD71">
        <v>14.9</v>
      </c>
      <c r="AE71">
        <v>253.37</v>
      </c>
      <c r="AF71">
        <v>137.79</v>
      </c>
      <c r="AG71">
        <v>34.447499999999998</v>
      </c>
      <c r="AH71">
        <v>-19.68</v>
      </c>
      <c r="AI71">
        <v>295.26</v>
      </c>
      <c r="AO71" s="1"/>
      <c r="AP71" s="1"/>
      <c r="AQ71" t="s">
        <v>215</v>
      </c>
      <c r="AR71" t="s">
        <v>215</v>
      </c>
      <c r="AT71">
        <v>5.2517056594185298</v>
      </c>
      <c r="AU71" t="s">
        <v>1233</v>
      </c>
      <c r="AW71">
        <v>8.3195060826837999</v>
      </c>
      <c r="AX71">
        <v>0</v>
      </c>
      <c r="AY71" t="s">
        <v>56</v>
      </c>
      <c r="AZ71" t="s">
        <v>56</v>
      </c>
      <c r="BA71" t="s">
        <v>583</v>
      </c>
      <c r="BH71" t="s">
        <v>1234</v>
      </c>
      <c r="BK71" t="s">
        <v>56</v>
      </c>
    </row>
    <row r="72" spans="1:63" hidden="1" x14ac:dyDescent="0.3">
      <c r="A72" t="s">
        <v>722</v>
      </c>
      <c r="B72" t="s">
        <v>98</v>
      </c>
      <c r="C72">
        <v>99031</v>
      </c>
      <c r="D72">
        <v>172</v>
      </c>
      <c r="E72" t="s">
        <v>62</v>
      </c>
      <c r="F72">
        <v>102</v>
      </c>
      <c r="G72" t="s">
        <v>52</v>
      </c>
      <c r="H72">
        <v>5</v>
      </c>
      <c r="J72">
        <v>102</v>
      </c>
      <c r="K72" t="s">
        <v>60</v>
      </c>
      <c r="L72">
        <v>20</v>
      </c>
      <c r="M72" t="s">
        <v>723</v>
      </c>
      <c r="N72" t="s">
        <v>300</v>
      </c>
      <c r="O72" t="s">
        <v>300</v>
      </c>
      <c r="P72" t="s">
        <v>1015</v>
      </c>
      <c r="Q72">
        <v>-84.234345000000005</v>
      </c>
      <c r="R72">
        <v>45.354374</v>
      </c>
      <c r="S72">
        <v>4</v>
      </c>
      <c r="X72">
        <v>93.34</v>
      </c>
      <c r="Y72">
        <v>23.335000000000001</v>
      </c>
      <c r="Z72">
        <v>64.45</v>
      </c>
      <c r="AA72">
        <v>122.23</v>
      </c>
      <c r="AB72">
        <v>96.04</v>
      </c>
      <c r="AC72">
        <v>24.01</v>
      </c>
      <c r="AD72">
        <v>61.72</v>
      </c>
      <c r="AE72">
        <v>130.37</v>
      </c>
      <c r="AF72">
        <v>94.63</v>
      </c>
      <c r="AG72">
        <v>23.657499999999999</v>
      </c>
      <c r="AH72">
        <v>59.77</v>
      </c>
      <c r="AI72">
        <v>129.49</v>
      </c>
      <c r="AJ72">
        <v>102.05</v>
      </c>
      <c r="AK72">
        <v>25.512499999999999</v>
      </c>
      <c r="AL72">
        <v>77.52</v>
      </c>
      <c r="AM72">
        <v>126.58</v>
      </c>
      <c r="AO72" s="1"/>
      <c r="AP72" s="1"/>
      <c r="AQ72" t="s">
        <v>215</v>
      </c>
      <c r="AR72" t="s">
        <v>215</v>
      </c>
      <c r="AT72">
        <v>0.36459371476618802</v>
      </c>
      <c r="AU72" t="s">
        <v>1016</v>
      </c>
      <c r="AW72">
        <v>0.55789577774703503</v>
      </c>
      <c r="AX72">
        <v>0</v>
      </c>
      <c r="AY72" t="s">
        <v>56</v>
      </c>
      <c r="AZ72" t="s">
        <v>54</v>
      </c>
      <c r="BA72" t="s">
        <v>583</v>
      </c>
      <c r="BC72">
        <v>4</v>
      </c>
      <c r="BD72" t="s">
        <v>432</v>
      </c>
      <c r="BE72" t="s">
        <v>298</v>
      </c>
      <c r="BJ72" t="s">
        <v>54</v>
      </c>
      <c r="BK72" t="s">
        <v>54</v>
      </c>
    </row>
    <row r="73" spans="1:63" hidden="1" x14ac:dyDescent="0.3">
      <c r="A73" t="s">
        <v>1235</v>
      </c>
      <c r="B73" t="s">
        <v>98</v>
      </c>
      <c r="C73">
        <v>233684</v>
      </c>
      <c r="D73">
        <v>0</v>
      </c>
      <c r="E73" t="s">
        <v>57</v>
      </c>
      <c r="F73">
        <v>102</v>
      </c>
      <c r="G73" t="s">
        <v>58</v>
      </c>
      <c r="H73">
        <v>14</v>
      </c>
      <c r="J73">
        <v>102</v>
      </c>
      <c r="K73" t="s">
        <v>58</v>
      </c>
      <c r="L73">
        <v>155</v>
      </c>
      <c r="M73" t="s">
        <v>1236</v>
      </c>
      <c r="N73" t="s">
        <v>303</v>
      </c>
      <c r="O73" t="s">
        <v>303</v>
      </c>
      <c r="P73" t="s">
        <v>1237</v>
      </c>
      <c r="Q73">
        <v>-84.783553999999995</v>
      </c>
      <c r="R73">
        <v>45.564515</v>
      </c>
      <c r="X73">
        <v>16.57</v>
      </c>
      <c r="Y73">
        <v>8.2850000000000001</v>
      </c>
      <c r="Z73">
        <v>4.97</v>
      </c>
      <c r="AA73">
        <v>28.17</v>
      </c>
      <c r="AB73">
        <v>29.78</v>
      </c>
      <c r="AC73">
        <v>14.89</v>
      </c>
      <c r="AD73">
        <v>27.65</v>
      </c>
      <c r="AE73">
        <v>31.9</v>
      </c>
      <c r="AF73">
        <v>30.55</v>
      </c>
      <c r="AG73">
        <v>15.275</v>
      </c>
      <c r="AH73">
        <v>28.37</v>
      </c>
      <c r="AI73">
        <v>32.729999999999997</v>
      </c>
      <c r="AJ73">
        <v>27.07</v>
      </c>
      <c r="AK73">
        <v>13.535</v>
      </c>
      <c r="AL73">
        <v>24.81</v>
      </c>
      <c r="AM73">
        <v>29.32</v>
      </c>
      <c r="AO73" s="1"/>
      <c r="AP73" s="1"/>
      <c r="AQ73" t="s">
        <v>215</v>
      </c>
      <c r="AR73" t="s">
        <v>215</v>
      </c>
      <c r="AT73">
        <v>5.2517056594185298</v>
      </c>
      <c r="AU73" t="s">
        <v>1238</v>
      </c>
      <c r="AW73">
        <v>8.5120691563934106</v>
      </c>
      <c r="AX73">
        <v>0</v>
      </c>
      <c r="AY73" t="s">
        <v>56</v>
      </c>
      <c r="AZ73" t="s">
        <v>56</v>
      </c>
      <c r="BA73" t="s">
        <v>583</v>
      </c>
      <c r="BK73" t="s">
        <v>56</v>
      </c>
    </row>
    <row r="74" spans="1:63" hidden="1" x14ac:dyDescent="0.3">
      <c r="A74" t="s">
        <v>698</v>
      </c>
      <c r="B74" t="s">
        <v>98</v>
      </c>
      <c r="C74">
        <v>73580</v>
      </c>
      <c r="D74">
        <v>0</v>
      </c>
      <c r="E74" t="s">
        <v>64</v>
      </c>
      <c r="F74">
        <v>102</v>
      </c>
      <c r="G74" t="s">
        <v>59</v>
      </c>
      <c r="H74">
        <v>34</v>
      </c>
      <c r="J74">
        <v>102</v>
      </c>
      <c r="K74" t="s">
        <v>59</v>
      </c>
      <c r="L74">
        <v>145</v>
      </c>
      <c r="M74" t="s">
        <v>699</v>
      </c>
      <c r="N74" t="s">
        <v>303</v>
      </c>
      <c r="O74" t="s">
        <v>303</v>
      </c>
      <c r="P74" t="s">
        <v>1239</v>
      </c>
      <c r="Q74">
        <v>-84.726726999999997</v>
      </c>
      <c r="R74">
        <v>45.889830000000003</v>
      </c>
      <c r="S74">
        <v>8</v>
      </c>
      <c r="X74">
        <v>82.49</v>
      </c>
      <c r="Y74">
        <v>41.244999999999997</v>
      </c>
      <c r="Z74">
        <v>59.27</v>
      </c>
      <c r="AA74">
        <v>105.7</v>
      </c>
      <c r="AB74">
        <v>143.66999999999999</v>
      </c>
      <c r="AC74">
        <v>71.834999999999994</v>
      </c>
      <c r="AD74">
        <v>75.77</v>
      </c>
      <c r="AE74">
        <v>211.58</v>
      </c>
      <c r="AF74">
        <v>145.24</v>
      </c>
      <c r="AG74">
        <v>72.62</v>
      </c>
      <c r="AH74">
        <v>105.65</v>
      </c>
      <c r="AI74">
        <v>184.83</v>
      </c>
      <c r="AJ74">
        <v>130.18</v>
      </c>
      <c r="AK74">
        <v>65.09</v>
      </c>
      <c r="AL74">
        <v>81.180000000000007</v>
      </c>
      <c r="AM74">
        <v>179.19</v>
      </c>
      <c r="AO74" s="1"/>
      <c r="AP74" s="1"/>
      <c r="AQ74" t="s">
        <v>215</v>
      </c>
      <c r="AR74" t="s">
        <v>215</v>
      </c>
      <c r="AT74">
        <v>0.60924173131436399</v>
      </c>
      <c r="AU74" t="s">
        <v>1240</v>
      </c>
      <c r="AW74">
        <v>1.75200007669628</v>
      </c>
      <c r="AX74">
        <v>0</v>
      </c>
      <c r="AY74" t="s">
        <v>56</v>
      </c>
      <c r="AZ74" t="s">
        <v>56</v>
      </c>
      <c r="BA74" t="s">
        <v>583</v>
      </c>
      <c r="BK74" t="s">
        <v>56</v>
      </c>
    </row>
    <row r="75" spans="1:63" hidden="1" x14ac:dyDescent="0.3">
      <c r="A75" t="s">
        <v>785</v>
      </c>
      <c r="B75" t="s">
        <v>98</v>
      </c>
      <c r="C75">
        <v>70613</v>
      </c>
      <c r="D75">
        <v>3</v>
      </c>
      <c r="E75" t="s">
        <v>64</v>
      </c>
      <c r="F75">
        <v>102</v>
      </c>
      <c r="G75" t="s">
        <v>53</v>
      </c>
      <c r="H75">
        <v>16</v>
      </c>
      <c r="J75">
        <v>102</v>
      </c>
      <c r="K75" t="s">
        <v>59</v>
      </c>
      <c r="L75">
        <v>190</v>
      </c>
      <c r="M75" t="s">
        <v>904</v>
      </c>
      <c r="N75" t="s">
        <v>297</v>
      </c>
      <c r="O75" t="s">
        <v>297</v>
      </c>
      <c r="P75" t="s">
        <v>1017</v>
      </c>
      <c r="Q75">
        <v>-84.474800000000002</v>
      </c>
      <c r="R75">
        <v>45.646512999999999</v>
      </c>
      <c r="X75">
        <v>10.06</v>
      </c>
      <c r="Y75">
        <v>10.06</v>
      </c>
      <c r="Z75">
        <v>9.2200000000000006</v>
      </c>
      <c r="AA75">
        <v>10.89</v>
      </c>
      <c r="AB75">
        <v>10.55</v>
      </c>
      <c r="AC75">
        <v>10.55</v>
      </c>
      <c r="AD75">
        <v>9.67</v>
      </c>
      <c r="AE75">
        <v>11.43</v>
      </c>
      <c r="AF75">
        <v>14.09</v>
      </c>
      <c r="AG75">
        <v>14.09</v>
      </c>
      <c r="AH75">
        <v>11.44</v>
      </c>
      <c r="AI75">
        <v>16.73</v>
      </c>
      <c r="AJ75">
        <v>10.73</v>
      </c>
      <c r="AK75">
        <v>10.73</v>
      </c>
      <c r="AL75">
        <v>9.84</v>
      </c>
      <c r="AM75">
        <v>11.62</v>
      </c>
      <c r="AO75" s="1"/>
      <c r="AP75" s="1"/>
      <c r="AQ75" t="s">
        <v>215</v>
      </c>
      <c r="AR75" t="s">
        <v>215</v>
      </c>
      <c r="AT75">
        <v>0.222959616023341</v>
      </c>
      <c r="AU75" t="s">
        <v>1018</v>
      </c>
      <c r="AW75">
        <v>0.74540729634463798</v>
      </c>
      <c r="AX75">
        <v>0</v>
      </c>
      <c r="AY75" t="s">
        <v>56</v>
      </c>
      <c r="AZ75" t="s">
        <v>54</v>
      </c>
      <c r="BA75" t="s">
        <v>583</v>
      </c>
      <c r="BK75" t="s">
        <v>54</v>
      </c>
    </row>
    <row r="76" spans="1:63" hidden="1" x14ac:dyDescent="0.3">
      <c r="A76" t="s">
        <v>724</v>
      </c>
      <c r="B76" t="s">
        <v>98</v>
      </c>
      <c r="C76">
        <v>99031</v>
      </c>
      <c r="D76">
        <v>180</v>
      </c>
      <c r="E76" t="s">
        <v>57</v>
      </c>
      <c r="F76">
        <v>102</v>
      </c>
      <c r="G76" t="s">
        <v>52</v>
      </c>
      <c r="H76">
        <v>7</v>
      </c>
      <c r="J76">
        <v>102</v>
      </c>
      <c r="K76" t="s">
        <v>60</v>
      </c>
      <c r="L76">
        <v>50</v>
      </c>
      <c r="M76" t="s">
        <v>725</v>
      </c>
      <c r="N76" t="s">
        <v>300</v>
      </c>
      <c r="O76" t="s">
        <v>300</v>
      </c>
      <c r="P76" t="s">
        <v>1019</v>
      </c>
      <c r="Q76">
        <v>-84.233642000000003</v>
      </c>
      <c r="R76">
        <v>45.353847000000002</v>
      </c>
      <c r="S76">
        <v>6</v>
      </c>
      <c r="X76">
        <v>83.84</v>
      </c>
      <c r="Y76">
        <v>20.96</v>
      </c>
      <c r="Z76">
        <v>59.99</v>
      </c>
      <c r="AA76">
        <v>107.69</v>
      </c>
      <c r="AB76">
        <v>84.2</v>
      </c>
      <c r="AC76">
        <v>21.05</v>
      </c>
      <c r="AD76">
        <v>52.84</v>
      </c>
      <c r="AE76">
        <v>115.57</v>
      </c>
      <c r="AF76">
        <v>92.3</v>
      </c>
      <c r="AG76">
        <v>23.074999999999999</v>
      </c>
      <c r="AH76">
        <v>51.32</v>
      </c>
      <c r="AI76">
        <v>133.28</v>
      </c>
      <c r="AJ76">
        <v>82.9</v>
      </c>
      <c r="AK76">
        <v>20.725000000000001</v>
      </c>
      <c r="AL76">
        <v>52.94</v>
      </c>
      <c r="AM76">
        <v>112.85</v>
      </c>
      <c r="AO76" s="1"/>
      <c r="AP76" s="1"/>
      <c r="AQ76" t="s">
        <v>215</v>
      </c>
      <c r="AR76" t="s">
        <v>215</v>
      </c>
      <c r="AT76">
        <v>4.7032437554304897E-2</v>
      </c>
      <c r="AU76" t="s">
        <v>1020</v>
      </c>
      <c r="AW76">
        <v>0.192082649096847</v>
      </c>
      <c r="AX76">
        <v>0</v>
      </c>
      <c r="AY76" t="s">
        <v>56</v>
      </c>
      <c r="AZ76" t="s">
        <v>54</v>
      </c>
      <c r="BA76" t="s">
        <v>583</v>
      </c>
      <c r="BC76">
        <v>6</v>
      </c>
      <c r="BD76" t="s">
        <v>432</v>
      </c>
      <c r="BE76" t="s">
        <v>298</v>
      </c>
      <c r="BJ76" t="s">
        <v>54</v>
      </c>
      <c r="BK76" t="s">
        <v>54</v>
      </c>
    </row>
    <row r="77" spans="1:63" hidden="1" x14ac:dyDescent="0.3">
      <c r="A77" t="s">
        <v>726</v>
      </c>
      <c r="B77" t="s">
        <v>98</v>
      </c>
      <c r="C77">
        <v>99031</v>
      </c>
      <c r="D77">
        <v>181</v>
      </c>
      <c r="E77" t="s">
        <v>57</v>
      </c>
      <c r="F77">
        <v>102</v>
      </c>
      <c r="G77" t="s">
        <v>58</v>
      </c>
      <c r="H77">
        <v>7</v>
      </c>
      <c r="J77">
        <v>102</v>
      </c>
      <c r="K77" t="s">
        <v>58</v>
      </c>
      <c r="L77">
        <v>45</v>
      </c>
      <c r="M77" t="s">
        <v>727</v>
      </c>
      <c r="N77" t="s">
        <v>300</v>
      </c>
      <c r="O77" t="s">
        <v>300</v>
      </c>
      <c r="P77" t="s">
        <v>1241</v>
      </c>
      <c r="Q77">
        <v>-84.61645747</v>
      </c>
      <c r="R77">
        <v>45.40442797</v>
      </c>
      <c r="S77">
        <v>8</v>
      </c>
      <c r="X77">
        <v>124.29</v>
      </c>
      <c r="Y77">
        <v>31.072500000000002</v>
      </c>
      <c r="Z77">
        <v>44.41</v>
      </c>
      <c r="AA77">
        <v>204.17</v>
      </c>
      <c r="AB77">
        <v>275.54000000000002</v>
      </c>
      <c r="AC77">
        <v>68.885000000000005</v>
      </c>
      <c r="AD77">
        <v>197.55</v>
      </c>
      <c r="AE77">
        <v>353.52</v>
      </c>
      <c r="AF77">
        <v>355.43</v>
      </c>
      <c r="AG77">
        <v>88.857500000000002</v>
      </c>
      <c r="AH77">
        <v>291.82</v>
      </c>
      <c r="AI77">
        <v>419.04</v>
      </c>
      <c r="AJ77">
        <v>228.41</v>
      </c>
      <c r="AK77">
        <v>57.102499999999999</v>
      </c>
      <c r="AL77">
        <v>167.43</v>
      </c>
      <c r="AM77">
        <v>289.39</v>
      </c>
      <c r="AO77" s="1"/>
      <c r="AP77" s="1"/>
      <c r="AQ77" t="s">
        <v>215</v>
      </c>
      <c r="AR77" t="s">
        <v>215</v>
      </c>
      <c r="AT77">
        <v>9.1578759903436405E-2</v>
      </c>
      <c r="AU77" t="s">
        <v>1242</v>
      </c>
      <c r="AW77">
        <v>0.95624952018261</v>
      </c>
      <c r="AX77">
        <v>0</v>
      </c>
      <c r="AY77" t="s">
        <v>56</v>
      </c>
      <c r="AZ77" t="s">
        <v>56</v>
      </c>
      <c r="BA77" t="s">
        <v>583</v>
      </c>
      <c r="BK77" t="s">
        <v>56</v>
      </c>
    </row>
    <row r="78" spans="1:63" hidden="1" x14ac:dyDescent="0.3">
      <c r="A78" t="s">
        <v>607</v>
      </c>
      <c r="B78" t="s">
        <v>98</v>
      </c>
      <c r="C78">
        <v>99031</v>
      </c>
      <c r="D78">
        <v>182</v>
      </c>
      <c r="E78" t="s">
        <v>62</v>
      </c>
      <c r="F78">
        <v>102</v>
      </c>
      <c r="G78" t="s">
        <v>59</v>
      </c>
      <c r="H78">
        <v>41</v>
      </c>
      <c r="J78">
        <v>102</v>
      </c>
      <c r="K78" t="s">
        <v>52</v>
      </c>
      <c r="L78">
        <v>120</v>
      </c>
      <c r="M78" t="s">
        <v>608</v>
      </c>
      <c r="N78" t="s">
        <v>300</v>
      </c>
      <c r="O78" t="s">
        <v>300</v>
      </c>
      <c r="P78" t="s">
        <v>1021</v>
      </c>
      <c r="Q78">
        <v>-84.733458999999996</v>
      </c>
      <c r="R78">
        <v>45.783405000000002</v>
      </c>
      <c r="S78">
        <v>2</v>
      </c>
      <c r="X78">
        <v>46.69</v>
      </c>
      <c r="Y78">
        <v>11.672499999999999</v>
      </c>
      <c r="Z78">
        <v>27.18</v>
      </c>
      <c r="AA78">
        <v>66.209999999999994</v>
      </c>
      <c r="AB78">
        <v>84.06</v>
      </c>
      <c r="AC78">
        <v>21.015000000000001</v>
      </c>
      <c r="AD78">
        <v>50.43</v>
      </c>
      <c r="AE78">
        <v>117.7</v>
      </c>
      <c r="AF78">
        <v>79.91</v>
      </c>
      <c r="AG78">
        <v>19.977499999999999</v>
      </c>
      <c r="AH78">
        <v>33.39</v>
      </c>
      <c r="AI78">
        <v>126.43</v>
      </c>
      <c r="AJ78">
        <v>82.31</v>
      </c>
      <c r="AK78">
        <v>20.577500000000001</v>
      </c>
      <c r="AL78">
        <v>40.25</v>
      </c>
      <c r="AM78">
        <v>124.36</v>
      </c>
      <c r="AO78" s="1"/>
      <c r="AP78" s="1"/>
      <c r="AQ78" t="s">
        <v>215</v>
      </c>
      <c r="AR78" t="s">
        <v>215</v>
      </c>
      <c r="AT78">
        <v>5.6508667230853504</v>
      </c>
      <c r="AU78" t="s">
        <v>1022</v>
      </c>
      <c r="AW78">
        <v>8.9017490390688199</v>
      </c>
      <c r="AX78">
        <v>0</v>
      </c>
      <c r="AY78" t="s">
        <v>56</v>
      </c>
      <c r="AZ78" t="s">
        <v>54</v>
      </c>
      <c r="BA78" t="s">
        <v>583</v>
      </c>
      <c r="BC78">
        <v>2</v>
      </c>
      <c r="BD78" t="s">
        <v>434</v>
      </c>
      <c r="BE78" t="s">
        <v>303</v>
      </c>
      <c r="BF78" t="s">
        <v>58</v>
      </c>
      <c r="BI78" t="s">
        <v>54</v>
      </c>
      <c r="BK78" t="s">
        <v>54</v>
      </c>
    </row>
    <row r="79" spans="1:63" hidden="1" x14ac:dyDescent="0.3">
      <c r="A79" t="s">
        <v>611</v>
      </c>
      <c r="B79" t="s">
        <v>98</v>
      </c>
      <c r="C79">
        <v>99031</v>
      </c>
      <c r="D79">
        <v>189</v>
      </c>
      <c r="E79" t="s">
        <v>63</v>
      </c>
      <c r="F79">
        <v>102</v>
      </c>
      <c r="G79" t="s">
        <v>53</v>
      </c>
      <c r="H79">
        <v>7</v>
      </c>
      <c r="J79">
        <v>102</v>
      </c>
      <c r="K79" t="s">
        <v>58</v>
      </c>
      <c r="L79">
        <v>180</v>
      </c>
      <c r="M79" t="s">
        <v>612</v>
      </c>
      <c r="N79" t="s">
        <v>300</v>
      </c>
      <c r="O79" t="s">
        <v>300</v>
      </c>
      <c r="P79" t="s">
        <v>1023</v>
      </c>
      <c r="Q79">
        <v>-84.474945320000003</v>
      </c>
      <c r="R79">
        <v>45.60023528</v>
      </c>
      <c r="S79">
        <v>4</v>
      </c>
      <c r="X79">
        <v>109.21</v>
      </c>
      <c r="Y79">
        <v>27.302499999999998</v>
      </c>
      <c r="Z79">
        <v>65.56</v>
      </c>
      <c r="AA79">
        <v>152.86000000000001</v>
      </c>
      <c r="AB79">
        <v>129.11000000000001</v>
      </c>
      <c r="AC79">
        <v>32.277500000000003</v>
      </c>
      <c r="AD79">
        <v>98.47</v>
      </c>
      <c r="AE79">
        <v>159.76</v>
      </c>
      <c r="AF79">
        <v>75.23</v>
      </c>
      <c r="AG79">
        <v>18.807500000000001</v>
      </c>
      <c r="AH79">
        <v>26.08</v>
      </c>
      <c r="AI79">
        <v>124.38</v>
      </c>
      <c r="AJ79">
        <v>120.79</v>
      </c>
      <c r="AK79">
        <v>30.197500000000002</v>
      </c>
      <c r="AL79">
        <v>65.05</v>
      </c>
      <c r="AM79">
        <v>176.52</v>
      </c>
      <c r="AO79" s="1"/>
      <c r="AP79" s="1"/>
      <c r="AQ79" t="s">
        <v>215</v>
      </c>
      <c r="AR79" t="s">
        <v>215</v>
      </c>
      <c r="AT79">
        <v>2.2092174813854499</v>
      </c>
      <c r="AU79" t="s">
        <v>1024</v>
      </c>
      <c r="AW79">
        <v>3.4287267643958299</v>
      </c>
      <c r="AX79">
        <v>0</v>
      </c>
      <c r="AY79" t="s">
        <v>56</v>
      </c>
      <c r="AZ79" t="s">
        <v>54</v>
      </c>
      <c r="BA79" t="s">
        <v>583</v>
      </c>
      <c r="BC79">
        <v>4</v>
      </c>
      <c r="BD79" t="s">
        <v>434</v>
      </c>
      <c r="BE79" t="s">
        <v>303</v>
      </c>
      <c r="BF79" t="s">
        <v>59</v>
      </c>
      <c r="BH79" t="s">
        <v>1025</v>
      </c>
      <c r="BI79" t="s">
        <v>54</v>
      </c>
      <c r="BK79" t="s">
        <v>54</v>
      </c>
    </row>
    <row r="80" spans="1:63" hidden="1" x14ac:dyDescent="0.3">
      <c r="A80" t="s">
        <v>728</v>
      </c>
      <c r="B80" t="s">
        <v>98</v>
      </c>
      <c r="C80">
        <v>99031</v>
      </c>
      <c r="D80">
        <v>190</v>
      </c>
      <c r="E80" t="s">
        <v>57</v>
      </c>
      <c r="F80">
        <v>102</v>
      </c>
      <c r="G80" t="s">
        <v>58</v>
      </c>
      <c r="H80">
        <v>9</v>
      </c>
      <c r="J80">
        <v>102</v>
      </c>
      <c r="K80" t="s">
        <v>58</v>
      </c>
      <c r="L80">
        <v>130</v>
      </c>
      <c r="M80" t="s">
        <v>729</v>
      </c>
      <c r="N80" t="s">
        <v>300</v>
      </c>
      <c r="O80" t="s">
        <v>300</v>
      </c>
      <c r="P80" t="s">
        <v>1243</v>
      </c>
      <c r="Q80">
        <v>-84.772182000000001</v>
      </c>
      <c r="R80">
        <v>45.442355999999997</v>
      </c>
      <c r="S80">
        <v>38</v>
      </c>
      <c r="T80">
        <v>1</v>
      </c>
      <c r="U80" t="s">
        <v>88</v>
      </c>
      <c r="V80">
        <v>8</v>
      </c>
      <c r="W80">
        <v>0.88732394366197187</v>
      </c>
      <c r="X80">
        <v>248.26</v>
      </c>
      <c r="Y80">
        <v>62.064999999999998</v>
      </c>
      <c r="Z80">
        <v>198.11</v>
      </c>
      <c r="AA80">
        <v>298.39999999999998</v>
      </c>
      <c r="AB80">
        <v>236.25</v>
      </c>
      <c r="AC80">
        <v>59.0625</v>
      </c>
      <c r="AD80">
        <v>180.89</v>
      </c>
      <c r="AE80">
        <v>291.60000000000002</v>
      </c>
      <c r="AF80">
        <v>304.82</v>
      </c>
      <c r="AG80">
        <v>76.204999999999998</v>
      </c>
      <c r="AH80">
        <v>210.69</v>
      </c>
      <c r="AI80">
        <v>398.95</v>
      </c>
      <c r="AJ80">
        <v>279.01</v>
      </c>
      <c r="AK80">
        <v>69.752499999999998</v>
      </c>
      <c r="AL80">
        <v>217.79</v>
      </c>
      <c r="AM80">
        <v>340.23</v>
      </c>
      <c r="AO80" s="1"/>
      <c r="AP80" s="1"/>
      <c r="AQ80" t="s">
        <v>215</v>
      </c>
      <c r="AR80" t="s">
        <v>215</v>
      </c>
      <c r="AT80">
        <v>8.5564100221361201</v>
      </c>
      <c r="AU80" t="s">
        <v>1244</v>
      </c>
      <c r="AW80">
        <v>9.8514656312763709</v>
      </c>
      <c r="AX80">
        <v>0</v>
      </c>
      <c r="AY80" t="s">
        <v>56</v>
      </c>
      <c r="AZ80" t="s">
        <v>56</v>
      </c>
      <c r="BA80" t="s">
        <v>583</v>
      </c>
      <c r="BK80" t="s">
        <v>56</v>
      </c>
    </row>
    <row r="81" spans="1:63" hidden="1" x14ac:dyDescent="0.3">
      <c r="A81" t="s">
        <v>730</v>
      </c>
      <c r="B81" t="s">
        <v>98</v>
      </c>
      <c r="C81">
        <v>99031</v>
      </c>
      <c r="D81">
        <v>191</v>
      </c>
      <c r="E81" t="s">
        <v>63</v>
      </c>
      <c r="F81">
        <v>102</v>
      </c>
      <c r="G81" t="s">
        <v>53</v>
      </c>
      <c r="H81">
        <v>28</v>
      </c>
      <c r="J81">
        <v>102</v>
      </c>
      <c r="K81" t="s">
        <v>52</v>
      </c>
      <c r="L81">
        <v>30</v>
      </c>
      <c r="M81" t="s">
        <v>731</v>
      </c>
      <c r="N81" t="s">
        <v>300</v>
      </c>
      <c r="O81" t="s">
        <v>300</v>
      </c>
      <c r="P81" t="s">
        <v>1026</v>
      </c>
      <c r="Q81">
        <v>-84.473687799999993</v>
      </c>
      <c r="R81">
        <v>45.648064499999997</v>
      </c>
      <c r="S81">
        <v>8</v>
      </c>
      <c r="V81">
        <v>1</v>
      </c>
      <c r="X81">
        <v>178.5</v>
      </c>
      <c r="Y81">
        <v>44.625</v>
      </c>
      <c r="Z81">
        <v>121.55</v>
      </c>
      <c r="AA81">
        <v>235.45</v>
      </c>
      <c r="AB81">
        <v>189.7</v>
      </c>
      <c r="AC81">
        <v>47.424999999999997</v>
      </c>
      <c r="AD81">
        <v>136.33000000000001</v>
      </c>
      <c r="AE81">
        <v>243.07</v>
      </c>
      <c r="AF81">
        <v>221.89</v>
      </c>
      <c r="AG81">
        <v>55.472499999999997</v>
      </c>
      <c r="AH81">
        <v>167.4</v>
      </c>
      <c r="AI81">
        <v>276.38</v>
      </c>
      <c r="AJ81">
        <v>191.61</v>
      </c>
      <c r="AK81">
        <v>47.902500000000003</v>
      </c>
      <c r="AL81">
        <v>149.15</v>
      </c>
      <c r="AM81">
        <v>234.07</v>
      </c>
      <c r="AO81" s="1"/>
      <c r="AP81" s="1"/>
      <c r="AQ81" t="s">
        <v>215</v>
      </c>
      <c r="AR81" t="s">
        <v>215</v>
      </c>
      <c r="AT81">
        <v>0.21992048466102099</v>
      </c>
      <c r="AU81" t="s">
        <v>1027</v>
      </c>
      <c r="AW81">
        <v>0.58317545801401105</v>
      </c>
      <c r="AX81">
        <v>0</v>
      </c>
      <c r="AY81" t="s">
        <v>56</v>
      </c>
      <c r="AZ81" t="s">
        <v>54</v>
      </c>
      <c r="BA81" t="s">
        <v>583</v>
      </c>
      <c r="BC81">
        <v>8</v>
      </c>
      <c r="BD81" t="s">
        <v>212</v>
      </c>
      <c r="BE81" t="s">
        <v>299</v>
      </c>
      <c r="BK81" t="s">
        <v>54</v>
      </c>
    </row>
    <row r="82" spans="1:63" hidden="1" x14ac:dyDescent="0.3">
      <c r="A82" t="s">
        <v>748</v>
      </c>
      <c r="B82" t="s">
        <v>98</v>
      </c>
      <c r="C82">
        <v>99189</v>
      </c>
      <c r="D82">
        <v>1</v>
      </c>
      <c r="E82" t="s">
        <v>63</v>
      </c>
      <c r="F82">
        <v>102</v>
      </c>
      <c r="G82" t="s">
        <v>58</v>
      </c>
      <c r="H82">
        <v>2</v>
      </c>
      <c r="J82">
        <v>102</v>
      </c>
      <c r="K82" t="s">
        <v>58</v>
      </c>
      <c r="L82">
        <v>65</v>
      </c>
      <c r="M82" t="s">
        <v>749</v>
      </c>
      <c r="N82" t="s">
        <v>300</v>
      </c>
      <c r="O82" t="s">
        <v>300</v>
      </c>
      <c r="P82" t="s">
        <v>1245</v>
      </c>
      <c r="Q82">
        <v>-84.596968000000004</v>
      </c>
      <c r="R82">
        <v>45.477781</v>
      </c>
      <c r="S82">
        <v>2</v>
      </c>
      <c r="T82">
        <v>2</v>
      </c>
      <c r="U82" t="s">
        <v>133</v>
      </c>
      <c r="V82">
        <v>8</v>
      </c>
      <c r="W82">
        <v>0.61538461538461542</v>
      </c>
      <c r="X82">
        <v>73.819999999999993</v>
      </c>
      <c r="Y82">
        <v>18.454999999999998</v>
      </c>
      <c r="Z82">
        <v>52.74</v>
      </c>
      <c r="AA82">
        <v>94.9</v>
      </c>
      <c r="AB82">
        <v>74.88</v>
      </c>
      <c r="AC82">
        <v>18.72</v>
      </c>
      <c r="AD82">
        <v>52.47</v>
      </c>
      <c r="AE82">
        <v>97.3</v>
      </c>
      <c r="AF82">
        <v>89.87</v>
      </c>
      <c r="AG82">
        <v>22.467500000000001</v>
      </c>
      <c r="AH82">
        <v>67.010000000000005</v>
      </c>
      <c r="AI82">
        <v>112.73</v>
      </c>
      <c r="AJ82">
        <v>69.78</v>
      </c>
      <c r="AK82">
        <v>17.445</v>
      </c>
      <c r="AL82">
        <v>46</v>
      </c>
      <c r="AM82">
        <v>93.56</v>
      </c>
      <c r="AO82" s="1"/>
      <c r="AP82" s="1"/>
      <c r="AQ82" t="s">
        <v>215</v>
      </c>
      <c r="AR82" t="s">
        <v>215</v>
      </c>
      <c r="AT82">
        <v>13.4564435689049</v>
      </c>
      <c r="AU82" t="s">
        <v>1246</v>
      </c>
      <c r="AW82">
        <v>13.015606934204699</v>
      </c>
      <c r="AX82">
        <v>0</v>
      </c>
      <c r="AY82" t="s">
        <v>56</v>
      </c>
      <c r="AZ82" t="s">
        <v>56</v>
      </c>
      <c r="BA82" t="s">
        <v>583</v>
      </c>
      <c r="BK82" t="s">
        <v>56</v>
      </c>
    </row>
    <row r="83" spans="1:63" hidden="1" x14ac:dyDescent="0.3">
      <c r="A83" t="s">
        <v>750</v>
      </c>
      <c r="B83" t="s">
        <v>98</v>
      </c>
      <c r="C83">
        <v>99189</v>
      </c>
      <c r="D83">
        <v>2</v>
      </c>
      <c r="E83" t="s">
        <v>64</v>
      </c>
      <c r="F83">
        <v>102</v>
      </c>
      <c r="G83" t="s">
        <v>58</v>
      </c>
      <c r="H83">
        <v>25</v>
      </c>
      <c r="J83">
        <v>102</v>
      </c>
      <c r="K83" t="s">
        <v>58</v>
      </c>
      <c r="L83">
        <v>30</v>
      </c>
      <c r="M83" t="s">
        <v>751</v>
      </c>
      <c r="N83" t="s">
        <v>323</v>
      </c>
      <c r="O83" t="s">
        <v>323</v>
      </c>
      <c r="P83" t="s">
        <v>1247</v>
      </c>
      <c r="Q83">
        <v>-84.579290999999998</v>
      </c>
      <c r="R83">
        <v>45.410679999999999</v>
      </c>
      <c r="S83">
        <v>2</v>
      </c>
      <c r="X83">
        <v>48.65</v>
      </c>
      <c r="Y83">
        <v>24.324999999999999</v>
      </c>
      <c r="Z83">
        <v>45.17</v>
      </c>
      <c r="AA83">
        <v>52.12</v>
      </c>
      <c r="AB83">
        <v>44.31</v>
      </c>
      <c r="AC83">
        <v>22.155000000000001</v>
      </c>
      <c r="AD83">
        <v>40.619999999999997</v>
      </c>
      <c r="AE83">
        <v>48</v>
      </c>
      <c r="AF83">
        <v>55.99</v>
      </c>
      <c r="AG83">
        <v>27.995000000000001</v>
      </c>
      <c r="AH83">
        <v>51.99</v>
      </c>
      <c r="AI83">
        <v>59.99</v>
      </c>
      <c r="AJ83">
        <v>57.74</v>
      </c>
      <c r="AK83">
        <v>28.87</v>
      </c>
      <c r="AL83">
        <v>53.62</v>
      </c>
      <c r="AM83">
        <v>61.87</v>
      </c>
      <c r="AO83" s="1"/>
      <c r="AP83" s="1"/>
      <c r="AQ83" t="s">
        <v>215</v>
      </c>
      <c r="AR83" t="s">
        <v>215</v>
      </c>
      <c r="AT83">
        <v>6.4191589230757398</v>
      </c>
      <c r="AU83" t="s">
        <v>1248</v>
      </c>
      <c r="AW83">
        <v>8.4312215130776202</v>
      </c>
      <c r="AX83">
        <v>0</v>
      </c>
      <c r="AY83" t="s">
        <v>56</v>
      </c>
      <c r="AZ83" t="s">
        <v>56</v>
      </c>
      <c r="BA83" t="s">
        <v>583</v>
      </c>
      <c r="BK83" t="s">
        <v>56</v>
      </c>
    </row>
    <row r="84" spans="1:63" hidden="1" x14ac:dyDescent="0.3">
      <c r="A84" t="s">
        <v>822</v>
      </c>
      <c r="B84" t="s">
        <v>98</v>
      </c>
      <c r="C84">
        <v>73584</v>
      </c>
      <c r="D84">
        <v>0</v>
      </c>
      <c r="E84" t="s">
        <v>63</v>
      </c>
      <c r="F84">
        <v>102</v>
      </c>
      <c r="G84" t="s">
        <v>59</v>
      </c>
      <c r="H84">
        <v>17</v>
      </c>
      <c r="J84">
        <v>102</v>
      </c>
      <c r="K84" t="s">
        <v>59</v>
      </c>
      <c r="L84">
        <v>40</v>
      </c>
      <c r="M84" t="s">
        <v>1249</v>
      </c>
      <c r="N84" t="s">
        <v>300</v>
      </c>
      <c r="O84" t="s">
        <v>300</v>
      </c>
      <c r="P84" t="s">
        <v>1250</v>
      </c>
      <c r="Q84">
        <v>-84.702566000000004</v>
      </c>
      <c r="R84">
        <v>45.854405</v>
      </c>
      <c r="AB84">
        <v>85.69</v>
      </c>
      <c r="AC84">
        <v>21.422499999999999</v>
      </c>
      <c r="AD84">
        <v>60.23</v>
      </c>
      <c r="AE84">
        <v>111.15</v>
      </c>
      <c r="AF84">
        <v>128.74</v>
      </c>
      <c r="AG84">
        <v>32.185000000000002</v>
      </c>
      <c r="AH84">
        <v>123.17</v>
      </c>
      <c r="AI84">
        <v>134.31</v>
      </c>
      <c r="AJ84">
        <v>30.43</v>
      </c>
      <c r="AK84">
        <v>7.6074999999999999</v>
      </c>
      <c r="AL84">
        <v>-71</v>
      </c>
      <c r="AM84">
        <v>131.86000000000001</v>
      </c>
      <c r="AO84" s="1"/>
      <c r="AP84" s="1"/>
      <c r="AQ84" t="s">
        <v>215</v>
      </c>
      <c r="AR84" t="s">
        <v>215</v>
      </c>
      <c r="AT84">
        <v>6.8979440158199401E-2</v>
      </c>
      <c r="AU84" t="s">
        <v>1167</v>
      </c>
      <c r="AW84">
        <v>0.35185854509472803</v>
      </c>
      <c r="AX84">
        <v>0</v>
      </c>
      <c r="AY84" t="s">
        <v>56</v>
      </c>
      <c r="AZ84" t="s">
        <v>56</v>
      </c>
      <c r="BA84" t="s">
        <v>583</v>
      </c>
      <c r="BH84" t="s">
        <v>1170</v>
      </c>
      <c r="BK84" t="s">
        <v>56</v>
      </c>
    </row>
    <row r="85" spans="1:63" hidden="1" x14ac:dyDescent="0.3">
      <c r="A85" t="s">
        <v>700</v>
      </c>
      <c r="B85" t="s">
        <v>98</v>
      </c>
      <c r="C85">
        <v>73586</v>
      </c>
      <c r="D85">
        <v>0</v>
      </c>
      <c r="E85" t="s">
        <v>63</v>
      </c>
      <c r="F85">
        <v>102</v>
      </c>
      <c r="G85" t="s">
        <v>60</v>
      </c>
      <c r="H85">
        <v>1</v>
      </c>
      <c r="J85">
        <v>102</v>
      </c>
      <c r="K85" t="s">
        <v>60</v>
      </c>
      <c r="L85">
        <v>110</v>
      </c>
      <c r="M85" t="s">
        <v>701</v>
      </c>
      <c r="N85" t="s">
        <v>300</v>
      </c>
      <c r="O85" t="s">
        <v>300</v>
      </c>
      <c r="P85" t="s">
        <v>1190</v>
      </c>
      <c r="Q85">
        <v>-83.570402000000001</v>
      </c>
      <c r="R85">
        <v>45.077407999999998</v>
      </c>
      <c r="S85">
        <v>11</v>
      </c>
      <c r="T85">
        <v>1</v>
      </c>
      <c r="U85" t="s">
        <v>313</v>
      </c>
      <c r="V85">
        <v>2</v>
      </c>
      <c r="W85">
        <v>0.81818181818181823</v>
      </c>
      <c r="X85">
        <v>44.93</v>
      </c>
      <c r="Y85">
        <v>11.2325</v>
      </c>
      <c r="Z85">
        <v>44.75</v>
      </c>
      <c r="AA85">
        <v>45.11</v>
      </c>
      <c r="AB85">
        <v>47.34</v>
      </c>
      <c r="AC85">
        <v>11.835000000000001</v>
      </c>
      <c r="AD85">
        <v>46</v>
      </c>
      <c r="AE85">
        <v>48.68</v>
      </c>
      <c r="AF85">
        <v>48.31</v>
      </c>
      <c r="AG85">
        <v>12.077500000000001</v>
      </c>
      <c r="AH85">
        <v>48.31</v>
      </c>
      <c r="AI85">
        <v>48.31</v>
      </c>
      <c r="AJ85">
        <v>49.01</v>
      </c>
      <c r="AK85">
        <v>12.2525</v>
      </c>
      <c r="AL85">
        <v>47.83</v>
      </c>
      <c r="AM85">
        <v>50.19</v>
      </c>
      <c r="AO85" s="1"/>
      <c r="AP85" s="1"/>
      <c r="AQ85" t="s">
        <v>215</v>
      </c>
      <c r="AR85" t="s">
        <v>215</v>
      </c>
      <c r="AT85">
        <v>9.0377011925997905</v>
      </c>
      <c r="AU85" t="s">
        <v>1251</v>
      </c>
      <c r="AW85">
        <v>16.056792618706801</v>
      </c>
      <c r="AX85">
        <v>0</v>
      </c>
      <c r="AY85" t="s">
        <v>56</v>
      </c>
      <c r="AZ85" t="s">
        <v>56</v>
      </c>
      <c r="BA85" t="s">
        <v>583</v>
      </c>
      <c r="BK85" t="s">
        <v>56</v>
      </c>
    </row>
    <row r="86" spans="1:63" hidden="1" x14ac:dyDescent="0.3">
      <c r="A86" t="s">
        <v>857</v>
      </c>
      <c r="B86" t="s">
        <v>98</v>
      </c>
      <c r="C86">
        <v>73588</v>
      </c>
      <c r="D86">
        <v>0</v>
      </c>
      <c r="E86" t="s">
        <v>62</v>
      </c>
      <c r="F86">
        <v>102</v>
      </c>
      <c r="G86" t="s">
        <v>58</v>
      </c>
      <c r="H86">
        <v>1</v>
      </c>
      <c r="J86">
        <v>102</v>
      </c>
      <c r="K86" t="s">
        <v>60</v>
      </c>
      <c r="L86">
        <v>35</v>
      </c>
      <c r="M86" t="s">
        <v>858</v>
      </c>
      <c r="N86" t="s">
        <v>300</v>
      </c>
      <c r="O86" t="s">
        <v>300</v>
      </c>
      <c r="P86" t="s">
        <v>1028</v>
      </c>
      <c r="Q86">
        <v>-84.455976000000007</v>
      </c>
      <c r="R86">
        <v>45.374971000000002</v>
      </c>
      <c r="X86">
        <v>254.96</v>
      </c>
      <c r="Y86">
        <v>63.74</v>
      </c>
      <c r="Z86">
        <v>241.6</v>
      </c>
      <c r="AA86">
        <v>268.31</v>
      </c>
      <c r="AB86">
        <v>240.13</v>
      </c>
      <c r="AC86">
        <v>60.032499999999999</v>
      </c>
      <c r="AD86">
        <v>221.43</v>
      </c>
      <c r="AE86">
        <v>258.83999999999997</v>
      </c>
      <c r="AF86">
        <v>238.11</v>
      </c>
      <c r="AG86">
        <v>59.527500000000003</v>
      </c>
      <c r="AH86">
        <v>183.88</v>
      </c>
      <c r="AI86">
        <v>292.33999999999997</v>
      </c>
      <c r="AJ86">
        <v>245.68</v>
      </c>
      <c r="AK86">
        <v>61.42</v>
      </c>
      <c r="AL86">
        <v>231.27</v>
      </c>
      <c r="AM86">
        <v>260.08999999999997</v>
      </c>
      <c r="AO86" s="1"/>
      <c r="AP86" s="1"/>
      <c r="AQ86" t="s">
        <v>215</v>
      </c>
      <c r="AR86" t="s">
        <v>215</v>
      </c>
      <c r="AT86">
        <v>69.318483696243405</v>
      </c>
      <c r="AU86" t="s">
        <v>1029</v>
      </c>
      <c r="AW86">
        <v>75.998974995687604</v>
      </c>
      <c r="AX86">
        <v>0</v>
      </c>
      <c r="AY86" t="s">
        <v>56</v>
      </c>
      <c r="AZ86" t="s">
        <v>54</v>
      </c>
      <c r="BA86" t="s">
        <v>583</v>
      </c>
      <c r="BD86" t="s">
        <v>434</v>
      </c>
      <c r="BE86" t="s">
        <v>297</v>
      </c>
      <c r="BF86" t="s">
        <v>52</v>
      </c>
      <c r="BJ86" t="s">
        <v>54</v>
      </c>
      <c r="BK86" t="s">
        <v>54</v>
      </c>
    </row>
    <row r="87" spans="1:63" hidden="1" x14ac:dyDescent="0.3">
      <c r="A87" t="s">
        <v>613</v>
      </c>
      <c r="B87" t="s">
        <v>98</v>
      </c>
      <c r="C87">
        <v>73590</v>
      </c>
      <c r="D87">
        <v>0</v>
      </c>
      <c r="E87" t="s">
        <v>62</v>
      </c>
      <c r="F87">
        <v>102</v>
      </c>
      <c r="G87" t="s">
        <v>52</v>
      </c>
      <c r="H87">
        <v>11</v>
      </c>
      <c r="J87">
        <v>102</v>
      </c>
      <c r="K87" t="s">
        <v>53</v>
      </c>
      <c r="L87">
        <v>100</v>
      </c>
      <c r="M87" t="s">
        <v>614</v>
      </c>
      <c r="N87" t="s">
        <v>300</v>
      </c>
      <c r="O87" t="s">
        <v>300</v>
      </c>
      <c r="P87" t="s">
        <v>1030</v>
      </c>
      <c r="Q87">
        <v>-83.828776000000005</v>
      </c>
      <c r="R87">
        <v>45.411490000000001</v>
      </c>
      <c r="S87">
        <v>12</v>
      </c>
      <c r="X87">
        <v>127.69</v>
      </c>
      <c r="Y87">
        <v>31.922499999999999</v>
      </c>
      <c r="Z87">
        <v>127.69</v>
      </c>
      <c r="AA87">
        <v>127.69</v>
      </c>
      <c r="AB87">
        <v>97.4</v>
      </c>
      <c r="AC87">
        <v>24.35</v>
      </c>
      <c r="AD87">
        <v>78.760000000000005</v>
      </c>
      <c r="AE87">
        <v>116.04</v>
      </c>
      <c r="AF87">
        <v>83.94</v>
      </c>
      <c r="AG87">
        <v>20.984999999999999</v>
      </c>
      <c r="AH87">
        <v>83.94</v>
      </c>
      <c r="AI87">
        <v>83.94</v>
      </c>
      <c r="AJ87">
        <v>91.97</v>
      </c>
      <c r="AK87">
        <v>22.9925</v>
      </c>
      <c r="AL87">
        <v>85.4</v>
      </c>
      <c r="AM87">
        <v>98.54</v>
      </c>
      <c r="AO87" s="1"/>
      <c r="AP87" s="1"/>
      <c r="AQ87" t="s">
        <v>215</v>
      </c>
      <c r="AR87" t="s">
        <v>215</v>
      </c>
      <c r="AT87">
        <v>0.12555951196041501</v>
      </c>
      <c r="AU87" t="s">
        <v>1031</v>
      </c>
      <c r="AW87">
        <v>0.70871382579207398</v>
      </c>
      <c r="AX87">
        <v>0</v>
      </c>
      <c r="AY87" t="s">
        <v>56</v>
      </c>
      <c r="AZ87" t="s">
        <v>54</v>
      </c>
      <c r="BA87" t="s">
        <v>583</v>
      </c>
      <c r="BC87">
        <v>12</v>
      </c>
      <c r="BD87" t="s">
        <v>434</v>
      </c>
      <c r="BE87" t="s">
        <v>303</v>
      </c>
      <c r="BF87" t="s">
        <v>60</v>
      </c>
      <c r="BI87" t="s">
        <v>54</v>
      </c>
      <c r="BK87" t="s">
        <v>54</v>
      </c>
    </row>
    <row r="88" spans="1:63" hidden="1" x14ac:dyDescent="0.3">
      <c r="A88" t="s">
        <v>897</v>
      </c>
      <c r="B88" t="s">
        <v>98</v>
      </c>
      <c r="C88">
        <v>73591</v>
      </c>
      <c r="D88">
        <v>0</v>
      </c>
      <c r="E88" t="s">
        <v>62</v>
      </c>
      <c r="F88">
        <v>102</v>
      </c>
      <c r="G88" t="s">
        <v>53</v>
      </c>
      <c r="H88">
        <v>12</v>
      </c>
      <c r="J88">
        <v>102</v>
      </c>
      <c r="K88" t="s">
        <v>52</v>
      </c>
      <c r="L88">
        <v>35</v>
      </c>
      <c r="M88" t="s">
        <v>898</v>
      </c>
      <c r="N88" t="s">
        <v>303</v>
      </c>
      <c r="O88" t="s">
        <v>303</v>
      </c>
      <c r="P88" t="s">
        <v>1032</v>
      </c>
      <c r="Q88">
        <v>-84.476248999999996</v>
      </c>
      <c r="R88">
        <v>45.645733999999997</v>
      </c>
      <c r="X88">
        <v>33.18</v>
      </c>
      <c r="Y88">
        <v>16.59</v>
      </c>
      <c r="Z88">
        <v>30.41</v>
      </c>
      <c r="AA88">
        <v>35.94</v>
      </c>
      <c r="AB88">
        <v>39.97</v>
      </c>
      <c r="AC88">
        <v>19.984999999999999</v>
      </c>
      <c r="AD88">
        <v>37.119999999999997</v>
      </c>
      <c r="AE88">
        <v>42.83</v>
      </c>
      <c r="AF88">
        <v>36.25</v>
      </c>
      <c r="AG88">
        <v>18.125</v>
      </c>
      <c r="AH88">
        <v>33.229999999999997</v>
      </c>
      <c r="AI88">
        <v>39.28</v>
      </c>
      <c r="AJ88">
        <v>44.84</v>
      </c>
      <c r="AK88">
        <v>22.42</v>
      </c>
      <c r="AL88">
        <v>41.64</v>
      </c>
      <c r="AM88">
        <v>48.04</v>
      </c>
      <c r="AO88" s="1"/>
      <c r="AP88" s="1"/>
      <c r="AQ88" t="s">
        <v>215</v>
      </c>
      <c r="AR88" t="s">
        <v>215</v>
      </c>
      <c r="AT88">
        <v>0.14201926338078399</v>
      </c>
      <c r="AU88" t="s">
        <v>1033</v>
      </c>
      <c r="AW88">
        <v>0.58126662299037002</v>
      </c>
      <c r="AX88">
        <v>0</v>
      </c>
      <c r="AY88" t="s">
        <v>56</v>
      </c>
      <c r="AZ88" t="s">
        <v>54</v>
      </c>
      <c r="BA88" t="s">
        <v>583</v>
      </c>
      <c r="BK88" t="s">
        <v>54</v>
      </c>
    </row>
    <row r="89" spans="1:63" hidden="1" x14ac:dyDescent="0.3">
      <c r="A89" t="s">
        <v>702</v>
      </c>
      <c r="B89" t="s">
        <v>98</v>
      </c>
      <c r="C89">
        <v>73595</v>
      </c>
      <c r="D89">
        <v>0</v>
      </c>
      <c r="E89" t="s">
        <v>63</v>
      </c>
      <c r="F89">
        <v>102</v>
      </c>
      <c r="G89" t="s">
        <v>58</v>
      </c>
      <c r="H89">
        <v>12</v>
      </c>
      <c r="J89">
        <v>102</v>
      </c>
      <c r="K89" t="s">
        <v>58</v>
      </c>
      <c r="L89">
        <v>140</v>
      </c>
      <c r="M89" t="s">
        <v>703</v>
      </c>
      <c r="N89" t="s">
        <v>300</v>
      </c>
      <c r="O89" t="s">
        <v>300</v>
      </c>
      <c r="P89" t="s">
        <v>1252</v>
      </c>
      <c r="Q89">
        <v>-84.864710000000002</v>
      </c>
      <c r="R89">
        <v>45.416679999999999</v>
      </c>
      <c r="S89">
        <v>2</v>
      </c>
      <c r="X89">
        <v>170.49</v>
      </c>
      <c r="Y89">
        <v>42.622500000000002</v>
      </c>
      <c r="Z89">
        <v>159.16999999999999</v>
      </c>
      <c r="AA89">
        <v>181.8</v>
      </c>
      <c r="AB89">
        <v>160.32</v>
      </c>
      <c r="AC89">
        <v>40.08</v>
      </c>
      <c r="AD89">
        <v>151.28</v>
      </c>
      <c r="AE89">
        <v>169.35</v>
      </c>
      <c r="AF89">
        <v>153.31</v>
      </c>
      <c r="AG89">
        <v>38.327500000000001</v>
      </c>
      <c r="AH89">
        <v>142.46</v>
      </c>
      <c r="AI89">
        <v>164.17</v>
      </c>
      <c r="AJ89">
        <v>135.32</v>
      </c>
      <c r="AK89">
        <v>33.83</v>
      </c>
      <c r="AL89">
        <v>114.5</v>
      </c>
      <c r="AM89">
        <v>156.13</v>
      </c>
      <c r="AO89" s="1"/>
      <c r="AP89" s="1"/>
      <c r="AQ89" t="s">
        <v>215</v>
      </c>
      <c r="AR89" t="s">
        <v>215</v>
      </c>
      <c r="AT89">
        <v>5.07332401803985</v>
      </c>
      <c r="AU89" t="s">
        <v>1253</v>
      </c>
      <c r="AW89">
        <v>7.4032524544745701</v>
      </c>
      <c r="AX89">
        <v>0</v>
      </c>
      <c r="AY89" t="s">
        <v>56</v>
      </c>
      <c r="AZ89" t="s">
        <v>56</v>
      </c>
      <c r="BA89" t="s">
        <v>583</v>
      </c>
      <c r="BK89" t="s">
        <v>56</v>
      </c>
    </row>
    <row r="90" spans="1:63" hidden="1" x14ac:dyDescent="0.3">
      <c r="A90" t="s">
        <v>752</v>
      </c>
      <c r="B90" t="s">
        <v>98</v>
      </c>
      <c r="C90">
        <v>99189</v>
      </c>
      <c r="D90">
        <v>3</v>
      </c>
      <c r="E90" t="s">
        <v>64</v>
      </c>
      <c r="F90">
        <v>102</v>
      </c>
      <c r="G90" t="s">
        <v>58</v>
      </c>
      <c r="H90">
        <v>3</v>
      </c>
      <c r="J90">
        <v>102</v>
      </c>
      <c r="K90" t="s">
        <v>58</v>
      </c>
      <c r="L90">
        <v>115</v>
      </c>
      <c r="M90" t="s">
        <v>753</v>
      </c>
      <c r="N90" t="s">
        <v>323</v>
      </c>
      <c r="O90" t="s">
        <v>323</v>
      </c>
      <c r="P90" t="s">
        <v>1254</v>
      </c>
      <c r="Q90">
        <v>-84.603892000000002</v>
      </c>
      <c r="R90">
        <v>45.273879000000001</v>
      </c>
      <c r="S90">
        <v>2</v>
      </c>
      <c r="AB90">
        <v>35.72</v>
      </c>
      <c r="AC90">
        <v>17.86</v>
      </c>
      <c r="AD90">
        <v>25.07</v>
      </c>
      <c r="AE90">
        <v>46.38</v>
      </c>
      <c r="AF90">
        <v>50.3</v>
      </c>
      <c r="AG90">
        <v>25.15</v>
      </c>
      <c r="AH90">
        <v>46.71</v>
      </c>
      <c r="AI90">
        <v>53.9</v>
      </c>
      <c r="AJ90">
        <v>39.659999999999997</v>
      </c>
      <c r="AK90">
        <v>19.829999999999998</v>
      </c>
      <c r="AL90">
        <v>32.799999999999997</v>
      </c>
      <c r="AM90">
        <v>46.52</v>
      </c>
      <c r="AO90" s="1"/>
      <c r="AP90" s="1"/>
      <c r="AQ90" t="s">
        <v>215</v>
      </c>
      <c r="AR90" t="s">
        <v>215</v>
      </c>
      <c r="AT90">
        <v>9.4743422283266807E-2</v>
      </c>
      <c r="AU90" t="s">
        <v>1255</v>
      </c>
      <c r="AW90">
        <v>0.41912833228707302</v>
      </c>
      <c r="AX90">
        <v>0</v>
      </c>
      <c r="AY90" t="s">
        <v>56</v>
      </c>
      <c r="AZ90" t="s">
        <v>56</v>
      </c>
      <c r="BA90" t="s">
        <v>583</v>
      </c>
      <c r="BK90" t="s">
        <v>56</v>
      </c>
    </row>
    <row r="91" spans="1:63" hidden="1" x14ac:dyDescent="0.3">
      <c r="A91" t="s">
        <v>638</v>
      </c>
      <c r="B91" t="s">
        <v>98</v>
      </c>
      <c r="C91">
        <v>70897</v>
      </c>
      <c r="D91">
        <v>4</v>
      </c>
      <c r="E91" t="s">
        <v>63</v>
      </c>
      <c r="F91">
        <v>102</v>
      </c>
      <c r="G91" t="s">
        <v>53</v>
      </c>
      <c r="H91">
        <v>21</v>
      </c>
      <c r="J91">
        <v>102</v>
      </c>
      <c r="K91" t="s">
        <v>52</v>
      </c>
      <c r="L91">
        <v>135</v>
      </c>
      <c r="M91" t="s">
        <v>639</v>
      </c>
      <c r="N91" t="s">
        <v>300</v>
      </c>
      <c r="O91" t="s">
        <v>300</v>
      </c>
      <c r="P91" t="s">
        <v>1034</v>
      </c>
      <c r="Q91">
        <v>-84.728078999999994</v>
      </c>
      <c r="R91">
        <v>45.780752</v>
      </c>
      <c r="S91">
        <v>2</v>
      </c>
      <c r="AB91">
        <v>14.13</v>
      </c>
      <c r="AC91">
        <v>3.5325000000000002</v>
      </c>
      <c r="AD91">
        <v>-155.47</v>
      </c>
      <c r="AE91">
        <v>183.74</v>
      </c>
      <c r="AF91">
        <v>89.8</v>
      </c>
      <c r="AG91">
        <v>22.45</v>
      </c>
      <c r="AH91">
        <v>24.07</v>
      </c>
      <c r="AI91">
        <v>155.53</v>
      </c>
      <c r="AO91" s="1"/>
      <c r="AP91" s="1"/>
      <c r="AQ91" t="s">
        <v>215</v>
      </c>
      <c r="AR91" t="s">
        <v>215</v>
      </c>
      <c r="AT91">
        <v>5.3406891235423498E-2</v>
      </c>
      <c r="AU91" t="s">
        <v>1035</v>
      </c>
      <c r="AW91">
        <v>0.76282337680459</v>
      </c>
      <c r="AX91">
        <v>0</v>
      </c>
      <c r="AY91" t="s">
        <v>56</v>
      </c>
      <c r="AZ91" t="s">
        <v>54</v>
      </c>
      <c r="BA91" t="s">
        <v>583</v>
      </c>
      <c r="BC91">
        <v>2</v>
      </c>
      <c r="BD91" t="s">
        <v>212</v>
      </c>
      <c r="BE91" t="s">
        <v>299</v>
      </c>
      <c r="BH91" t="s">
        <v>1036</v>
      </c>
      <c r="BK91" t="s">
        <v>54</v>
      </c>
    </row>
    <row r="92" spans="1:63" hidden="1" x14ac:dyDescent="0.3">
      <c r="A92" t="s">
        <v>663</v>
      </c>
      <c r="B92" t="s">
        <v>98</v>
      </c>
      <c r="C92">
        <v>73470</v>
      </c>
      <c r="D92">
        <v>3</v>
      </c>
      <c r="E92" t="s">
        <v>63</v>
      </c>
      <c r="F92">
        <v>102</v>
      </c>
      <c r="G92" t="s">
        <v>58</v>
      </c>
      <c r="H92">
        <v>15</v>
      </c>
      <c r="J92">
        <v>102</v>
      </c>
      <c r="K92" t="s">
        <v>58</v>
      </c>
      <c r="L92">
        <v>35</v>
      </c>
      <c r="M92" t="s">
        <v>665</v>
      </c>
      <c r="N92" t="s">
        <v>300</v>
      </c>
      <c r="O92" t="s">
        <v>300</v>
      </c>
      <c r="P92" t="s">
        <v>1256</v>
      </c>
      <c r="Q92">
        <v>-84.610099000000005</v>
      </c>
      <c r="R92">
        <v>45.401743000000003</v>
      </c>
      <c r="S92">
        <v>2</v>
      </c>
      <c r="AF92">
        <v>4.12</v>
      </c>
      <c r="AG92">
        <v>1.03</v>
      </c>
      <c r="AH92">
        <v>-45.28</v>
      </c>
      <c r="AI92">
        <v>53.51</v>
      </c>
      <c r="AJ92">
        <v>53.22</v>
      </c>
      <c r="AK92">
        <v>13.305</v>
      </c>
      <c r="AL92">
        <v>49.2</v>
      </c>
      <c r="AM92">
        <v>57.25</v>
      </c>
      <c r="AO92" s="1"/>
      <c r="AP92" s="1"/>
      <c r="AQ92" t="s">
        <v>215</v>
      </c>
      <c r="AR92" t="s">
        <v>215</v>
      </c>
      <c r="AT92">
        <v>1.2544636397874001</v>
      </c>
      <c r="AU92" t="s">
        <v>1257</v>
      </c>
      <c r="AW92">
        <v>2.27676053345203</v>
      </c>
      <c r="AX92">
        <v>0</v>
      </c>
      <c r="AY92" t="s">
        <v>56</v>
      </c>
      <c r="AZ92" t="s">
        <v>56</v>
      </c>
      <c r="BA92" t="s">
        <v>583</v>
      </c>
      <c r="BH92" t="s">
        <v>1258</v>
      </c>
      <c r="BK92" t="s">
        <v>56</v>
      </c>
    </row>
    <row r="93" spans="1:63" hidden="1" x14ac:dyDescent="0.3">
      <c r="A93" t="s">
        <v>767</v>
      </c>
      <c r="B93" t="s">
        <v>98</v>
      </c>
      <c r="C93">
        <v>73063</v>
      </c>
      <c r="D93">
        <v>15</v>
      </c>
      <c r="E93" t="s">
        <v>64</v>
      </c>
      <c r="F93">
        <v>102</v>
      </c>
      <c r="G93" t="s">
        <v>58</v>
      </c>
      <c r="H93">
        <v>9</v>
      </c>
      <c r="J93">
        <v>102</v>
      </c>
      <c r="K93" t="s">
        <v>58</v>
      </c>
      <c r="L93">
        <v>55</v>
      </c>
      <c r="M93" t="s">
        <v>1259</v>
      </c>
      <c r="N93" t="s">
        <v>323</v>
      </c>
      <c r="O93" t="s">
        <v>323</v>
      </c>
      <c r="P93" t="s">
        <v>1260</v>
      </c>
      <c r="Q93">
        <v>-84.612696</v>
      </c>
      <c r="R93">
        <v>45.407134999999997</v>
      </c>
      <c r="AJ93">
        <v>24.75</v>
      </c>
      <c r="AK93">
        <v>12.375</v>
      </c>
      <c r="AL93">
        <v>21.25</v>
      </c>
      <c r="AM93">
        <v>28.25</v>
      </c>
      <c r="AO93" s="1"/>
      <c r="AP93" s="1"/>
      <c r="AQ93" t="s">
        <v>215</v>
      </c>
      <c r="AR93" t="s">
        <v>215</v>
      </c>
      <c r="AT93">
        <v>0.49975817861559002</v>
      </c>
      <c r="AU93" t="s">
        <v>1261</v>
      </c>
      <c r="AW93">
        <v>1.5028583444654899</v>
      </c>
      <c r="AX93">
        <v>0</v>
      </c>
      <c r="AY93" t="s">
        <v>56</v>
      </c>
      <c r="AZ93" t="s">
        <v>56</v>
      </c>
      <c r="BA93" t="s">
        <v>583</v>
      </c>
      <c r="BK93" t="s">
        <v>56</v>
      </c>
    </row>
    <row r="94" spans="1:63" hidden="1" x14ac:dyDescent="0.3">
      <c r="A94" t="s">
        <v>704</v>
      </c>
      <c r="B94" t="s">
        <v>98</v>
      </c>
      <c r="C94">
        <v>73610</v>
      </c>
      <c r="D94">
        <v>0</v>
      </c>
      <c r="E94" t="s">
        <v>62</v>
      </c>
      <c r="F94">
        <v>102</v>
      </c>
      <c r="G94" t="s">
        <v>53</v>
      </c>
      <c r="H94">
        <v>28</v>
      </c>
      <c r="J94">
        <v>102</v>
      </c>
      <c r="K94" t="s">
        <v>59</v>
      </c>
      <c r="L94">
        <v>1</v>
      </c>
      <c r="M94" t="s">
        <v>705</v>
      </c>
      <c r="N94" t="s">
        <v>300</v>
      </c>
      <c r="O94" t="s">
        <v>300</v>
      </c>
      <c r="P94" t="s">
        <v>1037</v>
      </c>
      <c r="Q94">
        <v>-84.729455000000002</v>
      </c>
      <c r="R94">
        <v>45.890529000000001</v>
      </c>
      <c r="S94">
        <v>2258</v>
      </c>
      <c r="T94">
        <v>18</v>
      </c>
      <c r="U94" t="s">
        <v>768</v>
      </c>
      <c r="V94">
        <v>290</v>
      </c>
      <c r="W94">
        <v>0.86359610274579268</v>
      </c>
      <c r="AJ94">
        <v>1310.5</v>
      </c>
      <c r="AK94">
        <v>327.625</v>
      </c>
      <c r="AL94">
        <v>167.99</v>
      </c>
      <c r="AM94">
        <v>2453.0100000000002</v>
      </c>
      <c r="AO94" s="1"/>
      <c r="AP94" s="1"/>
      <c r="AQ94" t="s">
        <v>215</v>
      </c>
      <c r="AR94" t="s">
        <v>215</v>
      </c>
      <c r="AT94">
        <v>10.903500210756</v>
      </c>
      <c r="AW94">
        <v>17.6494798138738</v>
      </c>
      <c r="AX94">
        <v>0</v>
      </c>
      <c r="AY94" t="s">
        <v>56</v>
      </c>
      <c r="AZ94" t="s">
        <v>54</v>
      </c>
      <c r="BA94" t="s">
        <v>583</v>
      </c>
      <c r="BC94">
        <v>2258</v>
      </c>
      <c r="BD94" t="s">
        <v>432</v>
      </c>
      <c r="BE94" t="s">
        <v>298</v>
      </c>
      <c r="BJ94" t="s">
        <v>54</v>
      </c>
      <c r="BK94" t="s">
        <v>54</v>
      </c>
    </row>
    <row r="95" spans="1:63" hidden="1" x14ac:dyDescent="0.3">
      <c r="A95" t="s">
        <v>800</v>
      </c>
      <c r="B95" t="s">
        <v>98</v>
      </c>
      <c r="C95">
        <v>73611</v>
      </c>
      <c r="D95">
        <v>0</v>
      </c>
      <c r="E95" t="s">
        <v>62</v>
      </c>
      <c r="F95">
        <v>102</v>
      </c>
      <c r="G95" t="s">
        <v>52</v>
      </c>
      <c r="H95">
        <v>15</v>
      </c>
      <c r="J95">
        <v>102</v>
      </c>
      <c r="K95" t="s">
        <v>53</v>
      </c>
      <c r="L95">
        <v>1</v>
      </c>
      <c r="M95" t="s">
        <v>864</v>
      </c>
      <c r="N95" t="s">
        <v>299</v>
      </c>
      <c r="O95" t="s">
        <v>299</v>
      </c>
      <c r="P95" t="s">
        <v>1038</v>
      </c>
      <c r="Q95">
        <v>-83.822452999999996</v>
      </c>
      <c r="R95">
        <v>45.414757999999999</v>
      </c>
      <c r="AJ95">
        <v>9.9</v>
      </c>
      <c r="AK95">
        <v>9.9</v>
      </c>
      <c r="AL95">
        <v>-12.37</v>
      </c>
      <c r="AM95">
        <v>32.17</v>
      </c>
      <c r="AO95" s="1"/>
      <c r="AP95" s="1"/>
      <c r="AQ95" t="s">
        <v>215</v>
      </c>
      <c r="AR95" t="s">
        <v>215</v>
      </c>
      <c r="AT95">
        <v>0.218388222494524</v>
      </c>
      <c r="AU95" t="s">
        <v>1039</v>
      </c>
      <c r="AW95">
        <v>0.48386967182159402</v>
      </c>
      <c r="AX95">
        <v>0</v>
      </c>
      <c r="AY95" t="s">
        <v>56</v>
      </c>
      <c r="AZ95" t="s">
        <v>54</v>
      </c>
      <c r="BA95" t="s">
        <v>583</v>
      </c>
      <c r="BK95" t="s">
        <v>54</v>
      </c>
    </row>
    <row r="96" spans="1:63" hidden="1" x14ac:dyDescent="0.3">
      <c r="A96" t="s">
        <v>823</v>
      </c>
      <c r="B96" t="s">
        <v>98</v>
      </c>
      <c r="C96">
        <v>70010</v>
      </c>
      <c r="D96">
        <v>0</v>
      </c>
      <c r="E96" t="s">
        <v>62</v>
      </c>
      <c r="F96">
        <v>102</v>
      </c>
      <c r="G96" t="s">
        <v>59</v>
      </c>
      <c r="H96">
        <v>5</v>
      </c>
      <c r="J96">
        <v>102</v>
      </c>
      <c r="K96" t="s">
        <v>52</v>
      </c>
      <c r="L96">
        <v>125</v>
      </c>
      <c r="M96" t="s">
        <v>758</v>
      </c>
      <c r="N96" t="s">
        <v>300</v>
      </c>
      <c r="O96" t="s">
        <v>300</v>
      </c>
      <c r="P96" t="s">
        <v>1040</v>
      </c>
      <c r="Q96">
        <v>-84.734566299999997</v>
      </c>
      <c r="R96">
        <v>45.786223550000003</v>
      </c>
      <c r="AB96">
        <v>224.35</v>
      </c>
      <c r="AC96">
        <v>56.087499999999999</v>
      </c>
      <c r="AD96">
        <v>143.58000000000001</v>
      </c>
      <c r="AE96">
        <v>305.13</v>
      </c>
      <c r="AF96">
        <v>319.27</v>
      </c>
      <c r="AG96">
        <v>79.817499999999995</v>
      </c>
      <c r="AH96">
        <v>316.95999999999998</v>
      </c>
      <c r="AI96">
        <v>321.58999999999997</v>
      </c>
      <c r="AJ96">
        <v>74.010000000000005</v>
      </c>
      <c r="AK96">
        <v>18.502500000000001</v>
      </c>
      <c r="AL96">
        <v>-172.68</v>
      </c>
      <c r="AM96">
        <v>320.7</v>
      </c>
      <c r="AO96" s="1"/>
      <c r="AP96" s="1"/>
      <c r="AQ96" t="s">
        <v>215</v>
      </c>
      <c r="AR96" t="s">
        <v>215</v>
      </c>
      <c r="AT96">
        <v>0.37384355101370997</v>
      </c>
      <c r="AU96" t="s">
        <v>1041</v>
      </c>
      <c r="AW96">
        <v>1.11001692526042</v>
      </c>
      <c r="AX96">
        <v>0</v>
      </c>
      <c r="AY96" t="s">
        <v>56</v>
      </c>
      <c r="AZ96" t="s">
        <v>54</v>
      </c>
      <c r="BA96" t="s">
        <v>583</v>
      </c>
      <c r="BD96" t="s">
        <v>434</v>
      </c>
      <c r="BE96" t="s">
        <v>303</v>
      </c>
      <c r="BF96" t="s">
        <v>58</v>
      </c>
      <c r="BH96" t="s">
        <v>1042</v>
      </c>
      <c r="BI96" t="s">
        <v>54</v>
      </c>
      <c r="BK96" t="s">
        <v>54</v>
      </c>
    </row>
    <row r="97" spans="1:63" hidden="1" x14ac:dyDescent="0.3">
      <c r="A97" t="s">
        <v>597</v>
      </c>
      <c r="B97" t="s">
        <v>98</v>
      </c>
      <c r="C97">
        <v>70011</v>
      </c>
      <c r="D97">
        <v>0</v>
      </c>
      <c r="E97" t="s">
        <v>63</v>
      </c>
      <c r="F97">
        <v>102</v>
      </c>
      <c r="G97" t="s">
        <v>59</v>
      </c>
      <c r="H97">
        <v>2</v>
      </c>
      <c r="J97">
        <v>102</v>
      </c>
      <c r="K97" t="s">
        <v>52</v>
      </c>
      <c r="L97">
        <v>100</v>
      </c>
      <c r="M97" t="s">
        <v>598</v>
      </c>
      <c r="N97" t="s">
        <v>300</v>
      </c>
      <c r="O97" t="s">
        <v>300</v>
      </c>
      <c r="P97" t="s">
        <v>1043</v>
      </c>
      <c r="Q97">
        <v>-84.726983500000003</v>
      </c>
      <c r="R97">
        <v>45.781895499999997</v>
      </c>
      <c r="S97">
        <v>2</v>
      </c>
      <c r="AB97">
        <v>79.94</v>
      </c>
      <c r="AC97">
        <v>19.984999999999999</v>
      </c>
      <c r="AD97">
        <v>39.97</v>
      </c>
      <c r="AE97">
        <v>119.91</v>
      </c>
      <c r="AF97">
        <v>112.56</v>
      </c>
      <c r="AG97">
        <v>28.14</v>
      </c>
      <c r="AH97">
        <v>112.4</v>
      </c>
      <c r="AI97">
        <v>112.71</v>
      </c>
      <c r="AJ97">
        <v>34.619999999999997</v>
      </c>
      <c r="AK97">
        <v>8.6549999999999994</v>
      </c>
      <c r="AL97">
        <v>-43.27</v>
      </c>
      <c r="AM97">
        <v>112.5</v>
      </c>
      <c r="AO97" s="1"/>
      <c r="AP97" s="1"/>
      <c r="AQ97" t="s">
        <v>215</v>
      </c>
      <c r="AR97" t="s">
        <v>215</v>
      </c>
      <c r="AT97">
        <v>8.2484922609721595E-2</v>
      </c>
      <c r="AU97" t="s">
        <v>1044</v>
      </c>
      <c r="AW97">
        <v>0.531316893175244</v>
      </c>
      <c r="AX97">
        <v>0</v>
      </c>
      <c r="AY97" t="s">
        <v>56</v>
      </c>
      <c r="AZ97" t="s">
        <v>54</v>
      </c>
      <c r="BA97" t="s">
        <v>583</v>
      </c>
      <c r="BC97">
        <v>2</v>
      </c>
      <c r="BD97" t="s">
        <v>434</v>
      </c>
      <c r="BE97" t="s">
        <v>303</v>
      </c>
      <c r="BF97" t="s">
        <v>58</v>
      </c>
      <c r="BH97" t="s">
        <v>1045</v>
      </c>
      <c r="BI97" t="s">
        <v>54</v>
      </c>
      <c r="BK97" t="s">
        <v>54</v>
      </c>
    </row>
    <row r="98" spans="1:63" hidden="1" x14ac:dyDescent="0.3">
      <c r="A98" t="s">
        <v>599</v>
      </c>
      <c r="B98" t="s">
        <v>98</v>
      </c>
      <c r="C98">
        <v>70013</v>
      </c>
      <c r="D98">
        <v>0</v>
      </c>
      <c r="E98" t="s">
        <v>62</v>
      </c>
      <c r="F98">
        <v>102</v>
      </c>
      <c r="G98" t="s">
        <v>59</v>
      </c>
      <c r="H98">
        <v>4</v>
      </c>
      <c r="J98">
        <v>102</v>
      </c>
      <c r="K98" t="s">
        <v>52</v>
      </c>
      <c r="L98">
        <v>115</v>
      </c>
      <c r="M98" t="s">
        <v>600</v>
      </c>
      <c r="N98" t="s">
        <v>300</v>
      </c>
      <c r="O98" t="s">
        <v>300</v>
      </c>
      <c r="P98" t="s">
        <v>1046</v>
      </c>
      <c r="Q98">
        <v>-84.733535700000004</v>
      </c>
      <c r="R98">
        <v>45.782027200000002</v>
      </c>
      <c r="S98">
        <v>30</v>
      </c>
      <c r="T98">
        <v>1</v>
      </c>
      <c r="U98" t="s">
        <v>88</v>
      </c>
      <c r="V98">
        <v>15</v>
      </c>
      <c r="W98">
        <v>0.53333333333333333</v>
      </c>
      <c r="AB98">
        <v>24.18</v>
      </c>
      <c r="AC98">
        <v>6.0449999999999999</v>
      </c>
      <c r="AD98">
        <v>3.02</v>
      </c>
      <c r="AE98">
        <v>45.33</v>
      </c>
      <c r="AF98">
        <v>55.45</v>
      </c>
      <c r="AG98">
        <v>13.862500000000001</v>
      </c>
      <c r="AH98">
        <v>48.11</v>
      </c>
      <c r="AI98">
        <v>62.78</v>
      </c>
      <c r="AO98" s="1"/>
      <c r="AP98" s="1"/>
      <c r="AQ98" t="s">
        <v>215</v>
      </c>
      <c r="AR98" t="s">
        <v>215</v>
      </c>
      <c r="AT98">
        <v>0.277127128327745</v>
      </c>
      <c r="AU98" t="s">
        <v>1047</v>
      </c>
      <c r="AW98">
        <v>1.18457091972232</v>
      </c>
      <c r="AX98">
        <v>0</v>
      </c>
      <c r="AY98" t="s">
        <v>56</v>
      </c>
      <c r="AZ98" t="s">
        <v>54</v>
      </c>
      <c r="BA98" t="s">
        <v>583</v>
      </c>
      <c r="BC98">
        <v>30</v>
      </c>
      <c r="BD98" t="s">
        <v>434</v>
      </c>
      <c r="BE98" t="s">
        <v>303</v>
      </c>
      <c r="BF98" t="s">
        <v>58</v>
      </c>
      <c r="BH98" t="s">
        <v>1048</v>
      </c>
      <c r="BI98" t="s">
        <v>54</v>
      </c>
      <c r="BK98" t="s">
        <v>54</v>
      </c>
    </row>
    <row r="99" spans="1:63" hidden="1" x14ac:dyDescent="0.3">
      <c r="A99" t="s">
        <v>824</v>
      </c>
      <c r="B99" t="s">
        <v>98</v>
      </c>
      <c r="C99">
        <v>70900</v>
      </c>
      <c r="D99">
        <v>4</v>
      </c>
      <c r="E99" t="s">
        <v>62</v>
      </c>
      <c r="F99">
        <v>102</v>
      </c>
      <c r="G99" t="s">
        <v>59</v>
      </c>
      <c r="H99">
        <v>27</v>
      </c>
      <c r="J99">
        <v>102</v>
      </c>
      <c r="K99" t="s">
        <v>59</v>
      </c>
      <c r="L99">
        <v>100</v>
      </c>
      <c r="M99" t="s">
        <v>1262</v>
      </c>
      <c r="N99" t="s">
        <v>300</v>
      </c>
      <c r="O99" t="s">
        <v>300</v>
      </c>
      <c r="P99" t="s">
        <v>1263</v>
      </c>
      <c r="Q99">
        <v>-84.702566000000004</v>
      </c>
      <c r="R99">
        <v>45.854405</v>
      </c>
      <c r="AB99">
        <v>117.06</v>
      </c>
      <c r="AC99">
        <v>29.265000000000001</v>
      </c>
      <c r="AD99">
        <v>74.489999999999995</v>
      </c>
      <c r="AE99">
        <v>159.62</v>
      </c>
      <c r="AF99">
        <v>157.75</v>
      </c>
      <c r="AG99">
        <v>39.4375</v>
      </c>
      <c r="AH99">
        <v>146.81</v>
      </c>
      <c r="AI99">
        <v>168.69</v>
      </c>
      <c r="AJ99">
        <v>43.07</v>
      </c>
      <c r="AK99">
        <v>10.7675</v>
      </c>
      <c r="AL99">
        <v>-53.83</v>
      </c>
      <c r="AM99">
        <v>139.97</v>
      </c>
      <c r="AO99" s="1"/>
      <c r="AP99" s="1"/>
      <c r="AQ99" t="s">
        <v>215</v>
      </c>
      <c r="AR99" t="s">
        <v>215</v>
      </c>
      <c r="AT99">
        <v>0</v>
      </c>
      <c r="AU99" t="s">
        <v>1167</v>
      </c>
      <c r="AW99">
        <v>0</v>
      </c>
      <c r="AX99">
        <v>0</v>
      </c>
      <c r="AY99" t="s">
        <v>56</v>
      </c>
      <c r="AZ99" t="s">
        <v>56</v>
      </c>
      <c r="BA99" t="s">
        <v>583</v>
      </c>
      <c r="BH99" t="s">
        <v>1170</v>
      </c>
      <c r="BK99" t="s">
        <v>56</v>
      </c>
    </row>
    <row r="100" spans="1:63" hidden="1" x14ac:dyDescent="0.3">
      <c r="A100" t="s">
        <v>825</v>
      </c>
      <c r="B100" t="s">
        <v>98</v>
      </c>
      <c r="C100">
        <v>73474</v>
      </c>
      <c r="D100">
        <v>1</v>
      </c>
      <c r="E100" t="s">
        <v>62</v>
      </c>
      <c r="F100">
        <v>102</v>
      </c>
      <c r="G100" t="s">
        <v>59</v>
      </c>
      <c r="H100">
        <v>34</v>
      </c>
      <c r="J100">
        <v>102</v>
      </c>
      <c r="K100" t="s">
        <v>59</v>
      </c>
      <c r="L100">
        <v>85</v>
      </c>
      <c r="M100" t="s">
        <v>1264</v>
      </c>
      <c r="N100" t="s">
        <v>300</v>
      </c>
      <c r="O100" t="s">
        <v>300</v>
      </c>
      <c r="P100" t="s">
        <v>1265</v>
      </c>
      <c r="Q100">
        <v>-84.702566000000004</v>
      </c>
      <c r="R100">
        <v>45.854405</v>
      </c>
      <c r="AB100">
        <v>92.44</v>
      </c>
      <c r="AC100">
        <v>23.11</v>
      </c>
      <c r="AD100">
        <v>46.22</v>
      </c>
      <c r="AE100">
        <v>138.66</v>
      </c>
      <c r="AF100">
        <v>133.52000000000001</v>
      </c>
      <c r="AG100">
        <v>33.380000000000003</v>
      </c>
      <c r="AH100">
        <v>133.52000000000001</v>
      </c>
      <c r="AI100">
        <v>133.52000000000001</v>
      </c>
      <c r="AJ100">
        <v>41.24</v>
      </c>
      <c r="AK100">
        <v>10.31</v>
      </c>
      <c r="AL100">
        <v>-51.55</v>
      </c>
      <c r="AM100">
        <v>134.04</v>
      </c>
      <c r="AO100" s="1"/>
      <c r="AP100" s="1"/>
      <c r="AQ100" t="s">
        <v>215</v>
      </c>
      <c r="AR100" t="s">
        <v>215</v>
      </c>
      <c r="AT100">
        <v>0</v>
      </c>
      <c r="AU100" t="s">
        <v>1167</v>
      </c>
      <c r="AW100">
        <v>0</v>
      </c>
      <c r="AX100">
        <v>0</v>
      </c>
      <c r="AY100" t="s">
        <v>56</v>
      </c>
      <c r="AZ100" t="s">
        <v>56</v>
      </c>
      <c r="BA100" t="s">
        <v>583</v>
      </c>
      <c r="BH100" t="s">
        <v>1170</v>
      </c>
      <c r="BK100" t="s">
        <v>56</v>
      </c>
    </row>
    <row r="101" spans="1:63" hidden="1" x14ac:dyDescent="0.3">
      <c r="A101" t="s">
        <v>911</v>
      </c>
      <c r="B101" t="s">
        <v>98</v>
      </c>
      <c r="C101">
        <v>70021</v>
      </c>
      <c r="D101">
        <v>0</v>
      </c>
      <c r="E101" t="s">
        <v>57</v>
      </c>
      <c r="F101">
        <v>102</v>
      </c>
      <c r="G101" t="s">
        <v>52</v>
      </c>
      <c r="H101">
        <v>2</v>
      </c>
      <c r="J101">
        <v>102</v>
      </c>
      <c r="K101" t="s">
        <v>60</v>
      </c>
      <c r="L101">
        <v>70</v>
      </c>
      <c r="M101" t="s">
        <v>912</v>
      </c>
      <c r="N101" t="s">
        <v>303</v>
      </c>
      <c r="O101" t="s">
        <v>303</v>
      </c>
      <c r="P101" t="s">
        <v>1049</v>
      </c>
      <c r="Q101">
        <v>-84.224948999999995</v>
      </c>
      <c r="R101">
        <v>45.357768</v>
      </c>
      <c r="X101">
        <v>7.95</v>
      </c>
      <c r="Y101">
        <v>3.9750000000000001</v>
      </c>
      <c r="Z101">
        <v>-0.79</v>
      </c>
      <c r="AA101">
        <v>16.690000000000001</v>
      </c>
      <c r="AB101">
        <v>18.07</v>
      </c>
      <c r="AC101">
        <v>9.0350000000000001</v>
      </c>
      <c r="AD101">
        <v>14.2</v>
      </c>
      <c r="AE101">
        <v>21.95</v>
      </c>
      <c r="AF101">
        <v>18.96</v>
      </c>
      <c r="AG101">
        <v>9.48</v>
      </c>
      <c r="AH101">
        <v>17.38</v>
      </c>
      <c r="AI101">
        <v>20.54</v>
      </c>
      <c r="AJ101">
        <v>6.32</v>
      </c>
      <c r="AK101">
        <v>3.16</v>
      </c>
      <c r="AL101">
        <v>-7.9</v>
      </c>
      <c r="AM101">
        <v>20.54</v>
      </c>
      <c r="AO101" s="1"/>
      <c r="AP101" s="1"/>
      <c r="AQ101" t="s">
        <v>215</v>
      </c>
      <c r="AR101" t="s">
        <v>215</v>
      </c>
      <c r="AT101">
        <v>9.3418527193649705</v>
      </c>
      <c r="AU101" t="s">
        <v>1050</v>
      </c>
      <c r="AV101">
        <v>8.42</v>
      </c>
      <c r="AW101">
        <v>10.4241391383111</v>
      </c>
      <c r="AX101">
        <v>0</v>
      </c>
      <c r="AY101" t="s">
        <v>56</v>
      </c>
      <c r="AZ101" t="s">
        <v>54</v>
      </c>
      <c r="BA101" t="s">
        <v>583</v>
      </c>
      <c r="BH101" t="s">
        <v>1051</v>
      </c>
      <c r="BK101" t="s">
        <v>54</v>
      </c>
    </row>
    <row r="102" spans="1:63" hidden="1" x14ac:dyDescent="0.3">
      <c r="A102" t="s">
        <v>593</v>
      </c>
      <c r="B102" t="s">
        <v>98</v>
      </c>
      <c r="C102">
        <v>70024</v>
      </c>
      <c r="D102">
        <v>0</v>
      </c>
      <c r="E102" t="s">
        <v>57</v>
      </c>
      <c r="F102">
        <v>102</v>
      </c>
      <c r="G102" t="s">
        <v>60</v>
      </c>
      <c r="H102">
        <v>12</v>
      </c>
      <c r="J102">
        <v>102</v>
      </c>
      <c r="K102" t="s">
        <v>53</v>
      </c>
      <c r="L102">
        <v>55</v>
      </c>
      <c r="M102" t="s">
        <v>594</v>
      </c>
      <c r="N102" t="s">
        <v>300</v>
      </c>
      <c r="O102" t="s">
        <v>300</v>
      </c>
      <c r="P102" t="s">
        <v>1052</v>
      </c>
      <c r="Q102">
        <v>-83.814699500000003</v>
      </c>
      <c r="R102">
        <v>45.4092202</v>
      </c>
      <c r="S102">
        <v>110</v>
      </c>
      <c r="T102">
        <v>5</v>
      </c>
      <c r="U102" t="s">
        <v>401</v>
      </c>
      <c r="V102">
        <v>41</v>
      </c>
      <c r="W102">
        <v>0.63636363636363635</v>
      </c>
      <c r="X102">
        <v>116.25</v>
      </c>
      <c r="Y102">
        <v>29.0625</v>
      </c>
      <c r="Z102">
        <v>115.78</v>
      </c>
      <c r="AA102">
        <v>116.72</v>
      </c>
      <c r="AB102">
        <v>120.61</v>
      </c>
      <c r="AC102">
        <v>30.1525</v>
      </c>
      <c r="AD102">
        <v>120.61</v>
      </c>
      <c r="AE102">
        <v>120.61</v>
      </c>
      <c r="AF102">
        <v>120.61</v>
      </c>
      <c r="AG102">
        <v>30.1525</v>
      </c>
      <c r="AH102">
        <v>120.61</v>
      </c>
      <c r="AI102">
        <v>120.61</v>
      </c>
      <c r="AJ102">
        <v>120.71</v>
      </c>
      <c r="AK102">
        <v>30.177499999999998</v>
      </c>
      <c r="AL102">
        <v>110.74</v>
      </c>
      <c r="AM102">
        <v>130.68</v>
      </c>
      <c r="AO102" s="1"/>
      <c r="AP102" s="1"/>
      <c r="AQ102" t="s">
        <v>215</v>
      </c>
      <c r="AR102" t="s">
        <v>215</v>
      </c>
      <c r="AT102">
        <v>3.4355620645820699E-2</v>
      </c>
      <c r="AU102" t="s">
        <v>1053</v>
      </c>
      <c r="AV102">
        <v>5.4</v>
      </c>
      <c r="AW102">
        <v>0.113986706361175</v>
      </c>
      <c r="AX102">
        <v>0</v>
      </c>
      <c r="AY102" t="s">
        <v>56</v>
      </c>
      <c r="AZ102" t="s">
        <v>54</v>
      </c>
      <c r="BA102" t="s">
        <v>583</v>
      </c>
      <c r="BC102">
        <v>110</v>
      </c>
      <c r="BD102" t="s">
        <v>435</v>
      </c>
      <c r="BE102" t="s">
        <v>301</v>
      </c>
      <c r="BF102" t="s">
        <v>58</v>
      </c>
      <c r="BG102" t="s">
        <v>54</v>
      </c>
      <c r="BK102" t="s">
        <v>54</v>
      </c>
    </row>
    <row r="103" spans="1:63" hidden="1" x14ac:dyDescent="0.3">
      <c r="A103" t="s">
        <v>826</v>
      </c>
      <c r="B103" t="s">
        <v>98</v>
      </c>
      <c r="C103">
        <v>70901</v>
      </c>
      <c r="D103">
        <v>1</v>
      </c>
      <c r="E103" t="s">
        <v>57</v>
      </c>
      <c r="F103">
        <v>102</v>
      </c>
      <c r="G103" t="s">
        <v>59</v>
      </c>
      <c r="H103">
        <v>28</v>
      </c>
      <c r="J103">
        <v>102</v>
      </c>
      <c r="K103" t="s">
        <v>59</v>
      </c>
      <c r="L103">
        <v>90</v>
      </c>
      <c r="M103" t="s">
        <v>1266</v>
      </c>
      <c r="N103" t="s">
        <v>300</v>
      </c>
      <c r="O103" t="s">
        <v>300</v>
      </c>
      <c r="P103" t="s">
        <v>1267</v>
      </c>
      <c r="Q103">
        <v>-84.702566000000004</v>
      </c>
      <c r="R103">
        <v>45.854405</v>
      </c>
      <c r="AB103">
        <v>131.47999999999999</v>
      </c>
      <c r="AC103">
        <v>32.869999999999997</v>
      </c>
      <c r="AD103">
        <v>94.78</v>
      </c>
      <c r="AE103">
        <v>168.18</v>
      </c>
      <c r="AF103">
        <v>183.7</v>
      </c>
      <c r="AG103">
        <v>45.924999999999997</v>
      </c>
      <c r="AH103">
        <v>183.7</v>
      </c>
      <c r="AI103">
        <v>183.7</v>
      </c>
      <c r="AJ103">
        <v>46.74</v>
      </c>
      <c r="AK103">
        <v>11.685</v>
      </c>
      <c r="AL103">
        <v>-58.43</v>
      </c>
      <c r="AM103">
        <v>151.91</v>
      </c>
      <c r="AO103" s="1"/>
      <c r="AP103" s="1"/>
      <c r="AQ103" t="s">
        <v>215</v>
      </c>
      <c r="AR103" t="s">
        <v>215</v>
      </c>
      <c r="AT103">
        <v>0</v>
      </c>
      <c r="AU103" t="s">
        <v>1167</v>
      </c>
      <c r="AW103">
        <v>0</v>
      </c>
      <c r="AX103">
        <v>0</v>
      </c>
      <c r="AY103" t="s">
        <v>56</v>
      </c>
      <c r="AZ103" t="s">
        <v>56</v>
      </c>
      <c r="BA103" t="s">
        <v>583</v>
      </c>
      <c r="BH103" t="s">
        <v>1170</v>
      </c>
      <c r="BK103" t="s">
        <v>56</v>
      </c>
    </row>
    <row r="104" spans="1:63" hidden="1" x14ac:dyDescent="0.3">
      <c r="A104" t="s">
        <v>786</v>
      </c>
      <c r="B104" t="s">
        <v>98</v>
      </c>
      <c r="C104">
        <v>99138</v>
      </c>
      <c r="D104">
        <v>0</v>
      </c>
      <c r="E104" t="s">
        <v>63</v>
      </c>
      <c r="F104">
        <v>102</v>
      </c>
      <c r="G104" t="s">
        <v>53</v>
      </c>
      <c r="H104">
        <v>16</v>
      </c>
      <c r="J104">
        <v>102</v>
      </c>
      <c r="K104" t="s">
        <v>52</v>
      </c>
      <c r="L104">
        <v>85</v>
      </c>
      <c r="M104" t="s">
        <v>890</v>
      </c>
      <c r="N104" t="s">
        <v>300</v>
      </c>
      <c r="O104" t="s">
        <v>300</v>
      </c>
      <c r="P104" t="s">
        <v>1054</v>
      </c>
      <c r="Q104">
        <v>-84.726742000000002</v>
      </c>
      <c r="R104">
        <v>45.778343999999997</v>
      </c>
      <c r="V104">
        <v>1</v>
      </c>
      <c r="AB104">
        <v>142.59</v>
      </c>
      <c r="AC104">
        <v>35.647500000000001</v>
      </c>
      <c r="AD104">
        <v>71.3</v>
      </c>
      <c r="AE104">
        <v>213.89</v>
      </c>
      <c r="AF104">
        <v>235.96</v>
      </c>
      <c r="AG104">
        <v>58.99</v>
      </c>
      <c r="AH104">
        <v>228.89</v>
      </c>
      <c r="AI104">
        <v>243.04</v>
      </c>
      <c r="AJ104">
        <v>36.15</v>
      </c>
      <c r="AK104">
        <v>9.0374999999999996</v>
      </c>
      <c r="AL104">
        <v>-162.69</v>
      </c>
      <c r="AM104">
        <v>234.99</v>
      </c>
      <c r="AO104" s="1"/>
      <c r="AP104" s="1"/>
      <c r="AQ104" t="s">
        <v>215</v>
      </c>
      <c r="AR104" t="s">
        <v>215</v>
      </c>
      <c r="AT104">
        <v>4.2818124365761198E-2</v>
      </c>
      <c r="AU104" t="s">
        <v>1055</v>
      </c>
      <c r="AW104">
        <v>0.14385265111923201</v>
      </c>
      <c r="AX104">
        <v>0</v>
      </c>
      <c r="AY104" t="s">
        <v>56</v>
      </c>
      <c r="AZ104" t="s">
        <v>54</v>
      </c>
      <c r="BA104" t="s">
        <v>583</v>
      </c>
      <c r="BD104" t="s">
        <v>212</v>
      </c>
      <c r="BE104" t="s">
        <v>299</v>
      </c>
      <c r="BH104" t="s">
        <v>1056</v>
      </c>
      <c r="BK104" t="s">
        <v>54</v>
      </c>
    </row>
    <row r="105" spans="1:63" hidden="1" x14ac:dyDescent="0.3">
      <c r="A105" t="s">
        <v>801</v>
      </c>
      <c r="B105" t="s">
        <v>98</v>
      </c>
      <c r="C105">
        <v>70324</v>
      </c>
      <c r="D105">
        <v>0</v>
      </c>
      <c r="E105" t="s">
        <v>63</v>
      </c>
      <c r="F105">
        <v>102</v>
      </c>
      <c r="G105" t="s">
        <v>52</v>
      </c>
      <c r="H105">
        <v>13</v>
      </c>
      <c r="J105">
        <v>102</v>
      </c>
      <c r="K105" t="s">
        <v>60</v>
      </c>
      <c r="L105">
        <v>40</v>
      </c>
      <c r="M105" t="s">
        <v>913</v>
      </c>
      <c r="N105" t="s">
        <v>299</v>
      </c>
      <c r="O105" t="s">
        <v>299</v>
      </c>
      <c r="P105" t="s">
        <v>1057</v>
      </c>
      <c r="Q105">
        <v>-84.235742999999999</v>
      </c>
      <c r="R105">
        <v>45.353454999999997</v>
      </c>
      <c r="X105">
        <v>37.64</v>
      </c>
      <c r="Y105">
        <v>37.64</v>
      </c>
      <c r="Z105">
        <v>30.59</v>
      </c>
      <c r="AA105">
        <v>44.7</v>
      </c>
      <c r="AB105">
        <v>17.149999999999999</v>
      </c>
      <c r="AC105">
        <v>17.149999999999999</v>
      </c>
      <c r="AD105">
        <v>11.79</v>
      </c>
      <c r="AE105">
        <v>22.51</v>
      </c>
      <c r="AF105">
        <v>5.66</v>
      </c>
      <c r="AG105">
        <v>5.66</v>
      </c>
      <c r="AH105">
        <v>-7.08</v>
      </c>
      <c r="AI105">
        <v>18.41</v>
      </c>
      <c r="AJ105">
        <v>20.9</v>
      </c>
      <c r="AK105">
        <v>20.9</v>
      </c>
      <c r="AL105">
        <v>7.84</v>
      </c>
      <c r="AM105">
        <v>33.97</v>
      </c>
      <c r="AO105" s="1"/>
      <c r="AP105" s="1"/>
      <c r="AQ105" t="s">
        <v>215</v>
      </c>
      <c r="AR105" t="s">
        <v>215</v>
      </c>
      <c r="AT105">
        <v>0.295985081595948</v>
      </c>
      <c r="AU105" t="s">
        <v>1058</v>
      </c>
      <c r="AV105">
        <v>2.62</v>
      </c>
      <c r="AW105">
        <v>0.42268761061131999</v>
      </c>
      <c r="AX105">
        <v>0</v>
      </c>
      <c r="AY105" t="s">
        <v>56</v>
      </c>
      <c r="AZ105" t="s">
        <v>54</v>
      </c>
      <c r="BA105" t="s">
        <v>583</v>
      </c>
      <c r="BH105" t="s">
        <v>429</v>
      </c>
      <c r="BK105" t="s">
        <v>54</v>
      </c>
    </row>
    <row r="106" spans="1:63" hidden="1" x14ac:dyDescent="0.3">
      <c r="A106" t="s">
        <v>591</v>
      </c>
      <c r="B106" t="s">
        <v>98</v>
      </c>
      <c r="C106">
        <v>70537</v>
      </c>
      <c r="D106">
        <v>0</v>
      </c>
      <c r="E106" t="s">
        <v>57</v>
      </c>
      <c r="F106">
        <v>102</v>
      </c>
      <c r="G106" t="s">
        <v>60</v>
      </c>
      <c r="H106">
        <v>16</v>
      </c>
      <c r="J106">
        <v>102</v>
      </c>
      <c r="K106" t="s">
        <v>53</v>
      </c>
      <c r="L106">
        <v>15</v>
      </c>
      <c r="M106" t="s">
        <v>592</v>
      </c>
      <c r="N106" t="s">
        <v>300</v>
      </c>
      <c r="O106" t="s">
        <v>300</v>
      </c>
      <c r="P106" t="s">
        <v>1059</v>
      </c>
      <c r="Q106">
        <v>-83.431765999999996</v>
      </c>
      <c r="R106">
        <v>45.072319999999998</v>
      </c>
      <c r="S106">
        <v>2</v>
      </c>
      <c r="X106">
        <v>94.43</v>
      </c>
      <c r="Y106">
        <v>23.607500000000002</v>
      </c>
      <c r="Z106">
        <v>87.91</v>
      </c>
      <c r="AA106">
        <v>100.95</v>
      </c>
      <c r="AB106">
        <v>80.61</v>
      </c>
      <c r="AC106">
        <v>20.1525</v>
      </c>
      <c r="AD106">
        <v>58.33</v>
      </c>
      <c r="AE106">
        <v>102.88</v>
      </c>
      <c r="AF106">
        <v>70.75</v>
      </c>
      <c r="AG106">
        <v>17.6875</v>
      </c>
      <c r="AH106">
        <v>55.54</v>
      </c>
      <c r="AI106">
        <v>85.95</v>
      </c>
      <c r="AJ106">
        <v>89.67</v>
      </c>
      <c r="AK106">
        <v>22.4175</v>
      </c>
      <c r="AL106">
        <v>67.27</v>
      </c>
      <c r="AM106">
        <v>112.07</v>
      </c>
      <c r="AO106" s="1"/>
      <c r="AP106" s="1"/>
      <c r="AQ106" t="s">
        <v>215</v>
      </c>
      <c r="AR106" t="s">
        <v>215</v>
      </c>
      <c r="AT106">
        <v>5.5615641662971402</v>
      </c>
      <c r="AU106" t="s">
        <v>1060</v>
      </c>
      <c r="AV106">
        <v>9.85</v>
      </c>
      <c r="AW106">
        <v>7.7628466617315999</v>
      </c>
      <c r="AX106">
        <v>0</v>
      </c>
      <c r="AY106" t="s">
        <v>56</v>
      </c>
      <c r="AZ106" t="s">
        <v>54</v>
      </c>
      <c r="BA106" t="s">
        <v>583</v>
      </c>
      <c r="BC106">
        <v>2</v>
      </c>
      <c r="BD106" t="s">
        <v>435</v>
      </c>
      <c r="BE106" t="s">
        <v>301</v>
      </c>
      <c r="BF106" t="s">
        <v>58</v>
      </c>
      <c r="BG106" t="s">
        <v>54</v>
      </c>
      <c r="BK106" t="s">
        <v>54</v>
      </c>
    </row>
    <row r="107" spans="1:63" hidden="1" x14ac:dyDescent="0.3">
      <c r="A107" t="s">
        <v>838</v>
      </c>
      <c r="B107" t="s">
        <v>98</v>
      </c>
      <c r="C107">
        <v>70559</v>
      </c>
      <c r="D107">
        <v>0</v>
      </c>
      <c r="E107" t="s">
        <v>62</v>
      </c>
      <c r="F107">
        <v>102</v>
      </c>
      <c r="G107" t="s">
        <v>60</v>
      </c>
      <c r="H107">
        <v>19</v>
      </c>
      <c r="J107">
        <v>102</v>
      </c>
      <c r="K107" t="s">
        <v>60</v>
      </c>
      <c r="L107">
        <v>125</v>
      </c>
      <c r="M107" t="s">
        <v>1268</v>
      </c>
      <c r="N107" t="s">
        <v>323</v>
      </c>
      <c r="O107" t="s">
        <v>323</v>
      </c>
      <c r="P107" t="s">
        <v>1269</v>
      </c>
      <c r="Q107">
        <v>-83.569435459999994</v>
      </c>
      <c r="R107">
        <v>45.082392179999999</v>
      </c>
      <c r="X107">
        <v>39.51</v>
      </c>
      <c r="Y107">
        <v>19.754999999999999</v>
      </c>
      <c r="Z107">
        <v>16.829999999999998</v>
      </c>
      <c r="AA107">
        <v>62.2</v>
      </c>
      <c r="AB107">
        <v>30</v>
      </c>
      <c r="AC107">
        <v>15</v>
      </c>
      <c r="AD107">
        <v>24.73</v>
      </c>
      <c r="AE107">
        <v>35.28</v>
      </c>
      <c r="AF107">
        <v>40.69</v>
      </c>
      <c r="AG107">
        <v>20.344999999999999</v>
      </c>
      <c r="AH107">
        <v>37.78</v>
      </c>
      <c r="AI107">
        <v>43.59</v>
      </c>
      <c r="AJ107">
        <v>29.11</v>
      </c>
      <c r="AK107">
        <v>14.555</v>
      </c>
      <c r="AL107">
        <v>25.7</v>
      </c>
      <c r="AM107">
        <v>32.53</v>
      </c>
      <c r="AO107" s="1"/>
      <c r="AP107" s="1"/>
      <c r="AQ107" t="s">
        <v>215</v>
      </c>
      <c r="AR107" t="s">
        <v>215</v>
      </c>
      <c r="AT107">
        <v>0.45802008481555301</v>
      </c>
      <c r="AU107" t="s">
        <v>1270</v>
      </c>
      <c r="AV107">
        <v>7.37</v>
      </c>
      <c r="AW107">
        <v>1.28604810684919</v>
      </c>
      <c r="AX107">
        <v>0</v>
      </c>
      <c r="AY107" t="s">
        <v>56</v>
      </c>
      <c r="AZ107" t="s">
        <v>56</v>
      </c>
      <c r="BA107" t="s">
        <v>583</v>
      </c>
      <c r="BK107" t="s">
        <v>56</v>
      </c>
    </row>
    <row r="108" spans="1:63" hidden="1" x14ac:dyDescent="0.3">
      <c r="A108" t="s">
        <v>839</v>
      </c>
      <c r="B108" t="s">
        <v>98</v>
      </c>
      <c r="C108">
        <v>70618</v>
      </c>
      <c r="D108">
        <v>0</v>
      </c>
      <c r="E108" t="s">
        <v>64</v>
      </c>
      <c r="F108">
        <v>102</v>
      </c>
      <c r="G108" t="s">
        <v>60</v>
      </c>
      <c r="H108">
        <v>2</v>
      </c>
      <c r="J108">
        <v>102</v>
      </c>
      <c r="K108" t="s">
        <v>53</v>
      </c>
      <c r="L108">
        <v>25</v>
      </c>
      <c r="M108" t="s">
        <v>873</v>
      </c>
      <c r="N108" t="s">
        <v>298</v>
      </c>
      <c r="O108" t="s">
        <v>298</v>
      </c>
      <c r="P108" t="s">
        <v>1061</v>
      </c>
      <c r="Q108">
        <v>-83.413194500000003</v>
      </c>
      <c r="R108">
        <v>45.128571299999997</v>
      </c>
      <c r="AB108">
        <v>7.97</v>
      </c>
      <c r="AC108">
        <v>7.97</v>
      </c>
      <c r="AD108">
        <v>1.99</v>
      </c>
      <c r="AE108">
        <v>13.95</v>
      </c>
      <c r="AF108">
        <v>11.96</v>
      </c>
      <c r="AG108">
        <v>11.96</v>
      </c>
      <c r="AH108">
        <v>10.96</v>
      </c>
      <c r="AI108">
        <v>12.95</v>
      </c>
      <c r="AJ108">
        <v>3.99</v>
      </c>
      <c r="AK108">
        <v>3.99</v>
      </c>
      <c r="AL108">
        <v>-2.4900000000000002</v>
      </c>
      <c r="AM108">
        <v>10.46</v>
      </c>
      <c r="AO108" s="1"/>
      <c r="AP108" s="1"/>
      <c r="AQ108" t="s">
        <v>215</v>
      </c>
      <c r="AR108" t="s">
        <v>215</v>
      </c>
      <c r="AT108">
        <v>4.0719600080561102</v>
      </c>
      <c r="AU108" t="s">
        <v>1062</v>
      </c>
      <c r="AW108">
        <v>6.3058212865143997</v>
      </c>
      <c r="AX108">
        <v>0</v>
      </c>
      <c r="AY108" t="s">
        <v>56</v>
      </c>
      <c r="AZ108" t="s">
        <v>54</v>
      </c>
      <c r="BA108" t="s">
        <v>583</v>
      </c>
      <c r="BH108" t="s">
        <v>1009</v>
      </c>
      <c r="BK108" t="s">
        <v>54</v>
      </c>
    </row>
    <row r="109" spans="1:63" hidden="1" x14ac:dyDescent="0.3">
      <c r="A109" t="s">
        <v>874</v>
      </c>
      <c r="B109" t="s">
        <v>98</v>
      </c>
      <c r="C109">
        <v>99052</v>
      </c>
      <c r="D109">
        <v>9</v>
      </c>
      <c r="E109" t="s">
        <v>64</v>
      </c>
      <c r="F109">
        <v>102</v>
      </c>
      <c r="G109" t="s">
        <v>60</v>
      </c>
      <c r="H109">
        <v>5</v>
      </c>
      <c r="J109">
        <v>102</v>
      </c>
      <c r="K109" t="s">
        <v>53</v>
      </c>
      <c r="L109">
        <v>35</v>
      </c>
      <c r="M109" t="s">
        <v>875</v>
      </c>
      <c r="N109" t="s">
        <v>303</v>
      </c>
      <c r="O109" t="s">
        <v>303</v>
      </c>
      <c r="P109" t="s">
        <v>1063</v>
      </c>
      <c r="Q109">
        <v>-83.425815</v>
      </c>
      <c r="R109">
        <v>45.157881000000003</v>
      </c>
      <c r="X109">
        <v>30.87</v>
      </c>
      <c r="Y109">
        <v>15.435</v>
      </c>
      <c r="Z109">
        <v>28.17</v>
      </c>
      <c r="AA109">
        <v>33.57</v>
      </c>
      <c r="AB109">
        <v>30.08</v>
      </c>
      <c r="AC109">
        <v>15.04</v>
      </c>
      <c r="AD109">
        <v>27.57</v>
      </c>
      <c r="AE109">
        <v>32.58</v>
      </c>
      <c r="AF109">
        <v>31.29</v>
      </c>
      <c r="AG109">
        <v>15.645</v>
      </c>
      <c r="AH109">
        <v>28.68</v>
      </c>
      <c r="AI109">
        <v>33.9</v>
      </c>
      <c r="AJ109">
        <v>31.45</v>
      </c>
      <c r="AK109">
        <v>15.725</v>
      </c>
      <c r="AL109">
        <v>25.25</v>
      </c>
      <c r="AM109">
        <v>37.65</v>
      </c>
      <c r="AO109" s="1"/>
      <c r="AP109" s="1"/>
      <c r="AQ109" t="s">
        <v>215</v>
      </c>
      <c r="AR109" t="s">
        <v>215</v>
      </c>
      <c r="AT109">
        <v>2.6731395539779599</v>
      </c>
      <c r="AU109" t="s">
        <v>1064</v>
      </c>
      <c r="AV109">
        <v>5.68</v>
      </c>
      <c r="AW109">
        <v>4.4250879548490003</v>
      </c>
      <c r="AX109">
        <v>0</v>
      </c>
      <c r="AY109" t="s">
        <v>56</v>
      </c>
      <c r="AZ109" t="s">
        <v>54</v>
      </c>
      <c r="BA109" t="s">
        <v>583</v>
      </c>
      <c r="BK109" t="s">
        <v>54</v>
      </c>
    </row>
    <row r="110" spans="1:63" hidden="1" x14ac:dyDescent="0.3">
      <c r="A110" t="s">
        <v>768</v>
      </c>
      <c r="B110" t="s">
        <v>98</v>
      </c>
      <c r="C110">
        <v>70832</v>
      </c>
      <c r="D110">
        <v>0</v>
      </c>
      <c r="E110" t="s">
        <v>57</v>
      </c>
      <c r="F110">
        <v>102</v>
      </c>
      <c r="G110" t="s">
        <v>58</v>
      </c>
      <c r="H110">
        <v>5</v>
      </c>
      <c r="J110">
        <v>102</v>
      </c>
      <c r="K110" t="s">
        <v>58</v>
      </c>
      <c r="L110">
        <v>85</v>
      </c>
      <c r="M110" t="s">
        <v>1271</v>
      </c>
      <c r="N110" t="s">
        <v>300</v>
      </c>
      <c r="O110" t="s">
        <v>300</v>
      </c>
      <c r="P110" t="s">
        <v>1272</v>
      </c>
      <c r="Q110">
        <v>-84.618889999999993</v>
      </c>
      <c r="R110">
        <v>45.402211999999999</v>
      </c>
      <c r="X110">
        <v>192.14</v>
      </c>
      <c r="Y110">
        <v>48.034999999999997</v>
      </c>
      <c r="Z110">
        <v>124.71</v>
      </c>
      <c r="AA110">
        <v>259.56</v>
      </c>
      <c r="AB110">
        <v>204.03</v>
      </c>
      <c r="AC110">
        <v>51.0075</v>
      </c>
      <c r="AD110">
        <v>136.13999999999999</v>
      </c>
      <c r="AE110">
        <v>271.93</v>
      </c>
      <c r="AF110">
        <v>212.7</v>
      </c>
      <c r="AG110">
        <v>53.174999999999997</v>
      </c>
      <c r="AH110">
        <v>145.66999999999999</v>
      </c>
      <c r="AI110">
        <v>279.73</v>
      </c>
      <c r="AJ110">
        <v>174.22</v>
      </c>
      <c r="AK110">
        <v>43.555</v>
      </c>
      <c r="AL110">
        <v>113.84</v>
      </c>
      <c r="AM110">
        <v>234.59</v>
      </c>
      <c r="AO110" s="1"/>
      <c r="AP110" s="1"/>
      <c r="AQ110" t="s">
        <v>215</v>
      </c>
      <c r="AR110" t="s">
        <v>215</v>
      </c>
      <c r="AT110">
        <v>0.469687118289836</v>
      </c>
      <c r="AU110" t="s">
        <v>1273</v>
      </c>
      <c r="AV110">
        <v>18.57</v>
      </c>
      <c r="AW110">
        <v>0.65602005459368196</v>
      </c>
      <c r="AX110">
        <v>0</v>
      </c>
      <c r="AY110" t="s">
        <v>56</v>
      </c>
      <c r="AZ110" t="s">
        <v>56</v>
      </c>
      <c r="BA110" t="s">
        <v>583</v>
      </c>
      <c r="BK110" t="s">
        <v>56</v>
      </c>
    </row>
    <row r="111" spans="1:63" hidden="1" x14ac:dyDescent="0.3">
      <c r="A111" t="s">
        <v>736</v>
      </c>
      <c r="B111" t="s">
        <v>98</v>
      </c>
      <c r="C111">
        <v>99062</v>
      </c>
      <c r="D111">
        <v>37</v>
      </c>
      <c r="E111" t="s">
        <v>57</v>
      </c>
      <c r="F111">
        <v>102</v>
      </c>
      <c r="G111" t="s">
        <v>58</v>
      </c>
      <c r="H111">
        <v>6</v>
      </c>
      <c r="J111">
        <v>102</v>
      </c>
      <c r="K111" t="s">
        <v>58</v>
      </c>
      <c r="L111">
        <v>75</v>
      </c>
      <c r="M111" t="s">
        <v>737</v>
      </c>
      <c r="N111" t="s">
        <v>300</v>
      </c>
      <c r="O111" t="s">
        <v>300</v>
      </c>
      <c r="P111" t="s">
        <v>1274</v>
      </c>
      <c r="Q111">
        <v>-84.617711999999997</v>
      </c>
      <c r="R111">
        <v>45.403872999999997</v>
      </c>
      <c r="S111">
        <v>77</v>
      </c>
      <c r="T111">
        <v>10</v>
      </c>
      <c r="U111" t="s">
        <v>417</v>
      </c>
      <c r="V111">
        <v>9</v>
      </c>
      <c r="W111">
        <v>0.9</v>
      </c>
      <c r="X111">
        <v>251.37</v>
      </c>
      <c r="Y111">
        <v>62.842500000000001</v>
      </c>
      <c r="Z111">
        <v>248.89</v>
      </c>
      <c r="AA111">
        <v>253.85</v>
      </c>
      <c r="AB111">
        <v>250.6</v>
      </c>
      <c r="AC111">
        <v>62.65</v>
      </c>
      <c r="AD111">
        <v>248.11</v>
      </c>
      <c r="AE111">
        <v>253.1</v>
      </c>
      <c r="AF111">
        <v>273.45999999999998</v>
      </c>
      <c r="AG111">
        <v>68.364999999999995</v>
      </c>
      <c r="AH111">
        <v>253.93</v>
      </c>
      <c r="AI111">
        <v>292.99</v>
      </c>
      <c r="AJ111">
        <v>253.51</v>
      </c>
      <c r="AK111">
        <v>63.377499999999998</v>
      </c>
      <c r="AL111">
        <v>252.56</v>
      </c>
      <c r="AM111">
        <v>254.46</v>
      </c>
      <c r="AO111" s="1"/>
      <c r="AP111" s="1"/>
      <c r="AQ111" t="s">
        <v>215</v>
      </c>
      <c r="AR111" t="s">
        <v>215</v>
      </c>
      <c r="AT111">
        <v>0.32609228470575702</v>
      </c>
      <c r="AU111" t="s">
        <v>1275</v>
      </c>
      <c r="AV111">
        <v>37.520000000000003</v>
      </c>
      <c r="AW111">
        <v>1.5029540937393899</v>
      </c>
      <c r="AX111">
        <v>0</v>
      </c>
      <c r="AY111" t="s">
        <v>56</v>
      </c>
      <c r="AZ111" t="s">
        <v>56</v>
      </c>
      <c r="BA111" t="s">
        <v>583</v>
      </c>
      <c r="BK111" t="s">
        <v>56</v>
      </c>
    </row>
    <row r="112" spans="1:63" hidden="1" x14ac:dyDescent="0.3">
      <c r="A112" t="s">
        <v>827</v>
      </c>
      <c r="B112" t="s">
        <v>98</v>
      </c>
      <c r="C112">
        <v>99138</v>
      </c>
      <c r="D112">
        <v>2</v>
      </c>
      <c r="E112" t="s">
        <v>63</v>
      </c>
      <c r="F112">
        <v>102</v>
      </c>
      <c r="G112" t="s">
        <v>59</v>
      </c>
      <c r="H112">
        <v>1</v>
      </c>
      <c r="J112">
        <v>102</v>
      </c>
      <c r="K112" t="s">
        <v>52</v>
      </c>
      <c r="L112">
        <v>45</v>
      </c>
      <c r="M112" t="s">
        <v>757</v>
      </c>
      <c r="N112" t="s">
        <v>300</v>
      </c>
      <c r="O112" t="s">
        <v>300</v>
      </c>
      <c r="P112" t="s">
        <v>1065</v>
      </c>
      <c r="Q112">
        <v>-84.725280209999994</v>
      </c>
      <c r="R112">
        <v>45.78164795</v>
      </c>
      <c r="X112">
        <v>132.72</v>
      </c>
      <c r="Y112">
        <v>33.18</v>
      </c>
      <c r="Z112">
        <v>110.83</v>
      </c>
      <c r="AA112">
        <v>154.6</v>
      </c>
      <c r="AB112">
        <v>170.07</v>
      </c>
      <c r="AC112">
        <v>42.517499999999998</v>
      </c>
      <c r="AD112">
        <v>140.57</v>
      </c>
      <c r="AE112">
        <v>199.58</v>
      </c>
      <c r="AF112">
        <v>215.08</v>
      </c>
      <c r="AG112">
        <v>53.77</v>
      </c>
      <c r="AH112">
        <v>175.12</v>
      </c>
      <c r="AI112">
        <v>255.05</v>
      </c>
      <c r="AJ112">
        <v>190.45</v>
      </c>
      <c r="AK112">
        <v>47.612499999999997</v>
      </c>
      <c r="AL112">
        <v>149.6</v>
      </c>
      <c r="AM112">
        <v>231.29</v>
      </c>
      <c r="AO112" s="1"/>
      <c r="AP112" s="1"/>
      <c r="AQ112" t="s">
        <v>215</v>
      </c>
      <c r="AR112" t="s">
        <v>215</v>
      </c>
      <c r="AT112">
        <v>95.7227732628794</v>
      </c>
      <c r="AU112" t="s">
        <v>1066</v>
      </c>
      <c r="AV112">
        <v>10.26</v>
      </c>
      <c r="AW112">
        <v>103.487148907036</v>
      </c>
      <c r="AX112">
        <v>0</v>
      </c>
      <c r="AY112" t="s">
        <v>56</v>
      </c>
      <c r="AZ112" t="s">
        <v>54</v>
      </c>
      <c r="BA112" t="s">
        <v>583</v>
      </c>
      <c r="BD112" t="s">
        <v>434</v>
      </c>
      <c r="BE112" t="s">
        <v>303</v>
      </c>
      <c r="BF112" t="s">
        <v>58</v>
      </c>
      <c r="BI112" t="s">
        <v>54</v>
      </c>
      <c r="BK112" t="s">
        <v>54</v>
      </c>
    </row>
    <row r="113" spans="1:63" hidden="1" x14ac:dyDescent="0.3">
      <c r="A113" t="s">
        <v>787</v>
      </c>
      <c r="B113" t="s">
        <v>98</v>
      </c>
      <c r="C113">
        <v>70845</v>
      </c>
      <c r="D113">
        <v>0</v>
      </c>
      <c r="E113" t="s">
        <v>63</v>
      </c>
      <c r="F113">
        <v>102</v>
      </c>
      <c r="G113" t="s">
        <v>53</v>
      </c>
      <c r="H113">
        <v>24</v>
      </c>
      <c r="J113">
        <v>102</v>
      </c>
      <c r="K113" t="s">
        <v>52</v>
      </c>
      <c r="L113">
        <v>60</v>
      </c>
      <c r="M113" t="s">
        <v>883</v>
      </c>
      <c r="N113" t="s">
        <v>323</v>
      </c>
      <c r="O113" t="s">
        <v>323</v>
      </c>
      <c r="P113" t="s">
        <v>1067</v>
      </c>
      <c r="Q113">
        <v>-84.725846000000004</v>
      </c>
      <c r="R113">
        <v>45.780904999999997</v>
      </c>
      <c r="X113">
        <v>21.16</v>
      </c>
      <c r="Y113">
        <v>10.58</v>
      </c>
      <c r="Z113">
        <v>19.649999999999999</v>
      </c>
      <c r="AA113">
        <v>22.67</v>
      </c>
      <c r="AB113">
        <v>18.22</v>
      </c>
      <c r="AC113">
        <v>9.11</v>
      </c>
      <c r="AD113">
        <v>16.7</v>
      </c>
      <c r="AE113">
        <v>19.739999999999998</v>
      </c>
      <c r="AF113">
        <v>21.26</v>
      </c>
      <c r="AG113">
        <v>10.63</v>
      </c>
      <c r="AH113">
        <v>19.739999999999998</v>
      </c>
      <c r="AI113">
        <v>22.78</v>
      </c>
      <c r="AJ113">
        <v>18.59</v>
      </c>
      <c r="AK113">
        <v>9.2949999999999999</v>
      </c>
      <c r="AL113">
        <v>17.04</v>
      </c>
      <c r="AM113">
        <v>20.14</v>
      </c>
      <c r="AO113" s="1"/>
      <c r="AP113" s="1"/>
      <c r="AQ113" t="s">
        <v>215</v>
      </c>
      <c r="AR113" t="s">
        <v>215</v>
      </c>
      <c r="AT113">
        <v>9.2481589668634803E-2</v>
      </c>
      <c r="AU113" t="s">
        <v>1068</v>
      </c>
      <c r="AV113">
        <v>1.4</v>
      </c>
      <c r="AW113">
        <v>0.45940796099603198</v>
      </c>
      <c r="AX113">
        <v>0</v>
      </c>
      <c r="AY113" t="s">
        <v>56</v>
      </c>
      <c r="AZ113" t="s">
        <v>54</v>
      </c>
      <c r="BA113" t="s">
        <v>583</v>
      </c>
      <c r="BK113" t="s">
        <v>54</v>
      </c>
    </row>
    <row r="114" spans="1:63" hidden="1" x14ac:dyDescent="0.3">
      <c r="A114" t="s">
        <v>828</v>
      </c>
      <c r="B114" t="s">
        <v>98</v>
      </c>
      <c r="C114">
        <v>70846</v>
      </c>
      <c r="D114">
        <v>0</v>
      </c>
      <c r="E114" t="s">
        <v>63</v>
      </c>
      <c r="F114">
        <v>102</v>
      </c>
      <c r="G114" t="s">
        <v>59</v>
      </c>
      <c r="H114">
        <v>5</v>
      </c>
      <c r="J114">
        <v>102</v>
      </c>
      <c r="K114" t="s">
        <v>52</v>
      </c>
      <c r="L114">
        <v>105</v>
      </c>
      <c r="M114" t="s">
        <v>903</v>
      </c>
      <c r="N114" t="s">
        <v>323</v>
      </c>
      <c r="O114" t="s">
        <v>323</v>
      </c>
      <c r="P114" t="s">
        <v>1069</v>
      </c>
      <c r="Q114">
        <v>-84.73892103</v>
      </c>
      <c r="R114">
        <v>45.78160244</v>
      </c>
      <c r="X114">
        <v>46.68</v>
      </c>
      <c r="Y114">
        <v>23.34</v>
      </c>
      <c r="Z114">
        <v>30.98</v>
      </c>
      <c r="AA114">
        <v>62.38</v>
      </c>
      <c r="AB114">
        <v>73.05</v>
      </c>
      <c r="AC114">
        <v>36.524999999999999</v>
      </c>
      <c r="AD114">
        <v>43.11</v>
      </c>
      <c r="AE114">
        <v>102.99</v>
      </c>
      <c r="AF114">
        <v>120.85</v>
      </c>
      <c r="AG114">
        <v>60.424999999999997</v>
      </c>
      <c r="AH114">
        <v>104.05</v>
      </c>
      <c r="AI114">
        <v>137.65</v>
      </c>
      <c r="AJ114">
        <v>94.75</v>
      </c>
      <c r="AK114">
        <v>47.375</v>
      </c>
      <c r="AL114">
        <v>65.59</v>
      </c>
      <c r="AM114">
        <v>123.9</v>
      </c>
      <c r="AO114" s="1"/>
      <c r="AP114" s="1"/>
      <c r="AQ114" t="s">
        <v>215</v>
      </c>
      <c r="AR114" t="s">
        <v>215</v>
      </c>
      <c r="AT114">
        <v>0.26078193456313098</v>
      </c>
      <c r="AU114" t="s">
        <v>1070</v>
      </c>
      <c r="AV114">
        <v>7.34</v>
      </c>
      <c r="AW114">
        <v>0.51680629886686802</v>
      </c>
      <c r="AX114">
        <v>0</v>
      </c>
      <c r="AY114" t="s">
        <v>56</v>
      </c>
      <c r="AZ114" t="s">
        <v>54</v>
      </c>
      <c r="BA114" t="s">
        <v>583</v>
      </c>
      <c r="BK114" t="s">
        <v>54</v>
      </c>
    </row>
    <row r="115" spans="1:63" hidden="1" x14ac:dyDescent="0.3">
      <c r="A115" t="s">
        <v>769</v>
      </c>
      <c r="B115" t="s">
        <v>98</v>
      </c>
      <c r="C115">
        <v>70852</v>
      </c>
      <c r="D115">
        <v>0</v>
      </c>
      <c r="E115" t="s">
        <v>63</v>
      </c>
      <c r="F115">
        <v>102</v>
      </c>
      <c r="G115" t="s">
        <v>58</v>
      </c>
      <c r="H115">
        <v>5</v>
      </c>
      <c r="J115">
        <v>102</v>
      </c>
      <c r="K115" t="s">
        <v>58</v>
      </c>
      <c r="L115">
        <v>170</v>
      </c>
      <c r="M115" t="s">
        <v>1276</v>
      </c>
      <c r="N115" t="s">
        <v>300</v>
      </c>
      <c r="O115" t="s">
        <v>300</v>
      </c>
      <c r="P115" t="s">
        <v>1277</v>
      </c>
      <c r="Q115">
        <v>-84.713894999999994</v>
      </c>
      <c r="R115">
        <v>45.570118000000001</v>
      </c>
      <c r="X115">
        <v>-7.72</v>
      </c>
      <c r="Y115">
        <v>-1.93</v>
      </c>
      <c r="Z115">
        <v>-100.42</v>
      </c>
      <c r="AA115">
        <v>84.97</v>
      </c>
      <c r="AB115">
        <v>460.75</v>
      </c>
      <c r="AC115">
        <v>115.1875</v>
      </c>
      <c r="AD115">
        <v>229.19</v>
      </c>
      <c r="AE115">
        <v>692.32</v>
      </c>
      <c r="AF115">
        <v>616.95000000000005</v>
      </c>
      <c r="AG115">
        <v>154.23750000000001</v>
      </c>
      <c r="AH115">
        <v>498.98</v>
      </c>
      <c r="AI115">
        <v>734.93</v>
      </c>
      <c r="AJ115">
        <v>194.35</v>
      </c>
      <c r="AK115">
        <v>48.587499999999999</v>
      </c>
      <c r="AL115">
        <v>-8.44</v>
      </c>
      <c r="AM115">
        <v>397.13</v>
      </c>
      <c r="AO115" s="1"/>
      <c r="AP115" s="1"/>
      <c r="AQ115" t="s">
        <v>215</v>
      </c>
      <c r="AR115" t="s">
        <v>215</v>
      </c>
      <c r="AT115">
        <v>6.6022198863722199</v>
      </c>
      <c r="AU115" t="s">
        <v>1278</v>
      </c>
      <c r="AW115">
        <v>12.9651949647814</v>
      </c>
      <c r="AX115">
        <v>0</v>
      </c>
      <c r="AY115" t="s">
        <v>56</v>
      </c>
      <c r="AZ115" t="s">
        <v>56</v>
      </c>
      <c r="BA115" t="s">
        <v>583</v>
      </c>
      <c r="BH115" t="s">
        <v>1164</v>
      </c>
      <c r="BK115" t="s">
        <v>56</v>
      </c>
    </row>
    <row r="116" spans="1:63" hidden="1" x14ac:dyDescent="0.3">
      <c r="A116" t="s">
        <v>788</v>
      </c>
      <c r="B116" t="s">
        <v>98</v>
      </c>
      <c r="C116">
        <v>99047</v>
      </c>
      <c r="D116">
        <v>7</v>
      </c>
      <c r="E116" t="s">
        <v>62</v>
      </c>
      <c r="F116">
        <v>102</v>
      </c>
      <c r="G116" t="s">
        <v>53</v>
      </c>
      <c r="H116">
        <v>6</v>
      </c>
      <c r="J116">
        <v>102</v>
      </c>
      <c r="K116" t="s">
        <v>52</v>
      </c>
      <c r="L116">
        <v>190</v>
      </c>
      <c r="M116" t="s">
        <v>889</v>
      </c>
      <c r="N116" t="s">
        <v>302</v>
      </c>
      <c r="O116" t="s">
        <v>302</v>
      </c>
      <c r="P116" t="s">
        <v>1071</v>
      </c>
      <c r="Q116">
        <v>-84.478099999999998</v>
      </c>
      <c r="R116">
        <v>45.628607000000002</v>
      </c>
      <c r="X116">
        <v>21.19</v>
      </c>
      <c r="Y116">
        <v>21.19</v>
      </c>
      <c r="Z116">
        <v>19.420000000000002</v>
      </c>
      <c r="AA116">
        <v>22.96</v>
      </c>
      <c r="AB116">
        <v>22.75</v>
      </c>
      <c r="AC116">
        <v>22.75</v>
      </c>
      <c r="AD116">
        <v>20.85</v>
      </c>
      <c r="AE116">
        <v>24.64</v>
      </c>
      <c r="AF116">
        <v>24.62</v>
      </c>
      <c r="AG116">
        <v>24.62</v>
      </c>
      <c r="AH116">
        <v>22.57</v>
      </c>
      <c r="AI116">
        <v>26.68</v>
      </c>
      <c r="AJ116">
        <v>34.61</v>
      </c>
      <c r="AK116">
        <v>34.61</v>
      </c>
      <c r="AL116">
        <v>28.12</v>
      </c>
      <c r="AM116">
        <v>41.09</v>
      </c>
      <c r="AO116" s="1"/>
      <c r="AP116" s="1"/>
      <c r="AQ116" t="s">
        <v>215</v>
      </c>
      <c r="AR116" t="s">
        <v>215</v>
      </c>
      <c r="AT116">
        <v>0.11689803201762899</v>
      </c>
      <c r="AU116" t="s">
        <v>1072</v>
      </c>
      <c r="AV116">
        <v>12.97</v>
      </c>
      <c r="AW116">
        <v>0.79459282383322705</v>
      </c>
      <c r="AX116">
        <v>0</v>
      </c>
      <c r="AY116" t="s">
        <v>56</v>
      </c>
      <c r="AZ116" t="s">
        <v>54</v>
      </c>
      <c r="BA116" t="s">
        <v>583</v>
      </c>
      <c r="BK116" t="s">
        <v>54</v>
      </c>
    </row>
    <row r="117" spans="1:63" hidden="1" x14ac:dyDescent="0.3">
      <c r="A117" t="s">
        <v>732</v>
      </c>
      <c r="B117" t="s">
        <v>98</v>
      </c>
      <c r="C117">
        <v>99061</v>
      </c>
      <c r="D117">
        <v>106</v>
      </c>
      <c r="E117" t="s">
        <v>63</v>
      </c>
      <c r="F117">
        <v>102</v>
      </c>
      <c r="G117" t="s">
        <v>53</v>
      </c>
      <c r="H117">
        <v>9</v>
      </c>
      <c r="J117">
        <v>102</v>
      </c>
      <c r="K117" t="s">
        <v>52</v>
      </c>
      <c r="L117">
        <v>20</v>
      </c>
      <c r="M117" t="s">
        <v>733</v>
      </c>
      <c r="N117" t="s">
        <v>300</v>
      </c>
      <c r="O117" t="s">
        <v>300</v>
      </c>
      <c r="P117" t="s">
        <v>1073</v>
      </c>
      <c r="Q117">
        <v>-84.482382000000001</v>
      </c>
      <c r="R117">
        <v>45.628340999999999</v>
      </c>
      <c r="S117">
        <v>41</v>
      </c>
      <c r="T117">
        <v>3</v>
      </c>
      <c r="U117" t="s">
        <v>389</v>
      </c>
      <c r="V117">
        <v>6</v>
      </c>
      <c r="W117">
        <v>0.80645161290322576</v>
      </c>
      <c r="X117">
        <v>81.59</v>
      </c>
      <c r="Y117">
        <v>20.397500000000001</v>
      </c>
      <c r="Z117">
        <v>76.36</v>
      </c>
      <c r="AA117">
        <v>86.83</v>
      </c>
      <c r="AB117">
        <v>74.27</v>
      </c>
      <c r="AC117">
        <v>18.567499999999999</v>
      </c>
      <c r="AD117">
        <v>62.11</v>
      </c>
      <c r="AE117">
        <v>86.42</v>
      </c>
      <c r="AF117">
        <v>80.14</v>
      </c>
      <c r="AG117">
        <v>20.035</v>
      </c>
      <c r="AH117">
        <v>66.849999999999994</v>
      </c>
      <c r="AI117">
        <v>93.44</v>
      </c>
      <c r="AJ117">
        <v>78.930000000000007</v>
      </c>
      <c r="AK117">
        <v>19.732500000000002</v>
      </c>
      <c r="AL117">
        <v>70.489999999999995</v>
      </c>
      <c r="AM117">
        <v>87.36</v>
      </c>
      <c r="AO117" s="1"/>
      <c r="AP117" s="1"/>
      <c r="AQ117" t="s">
        <v>215</v>
      </c>
      <c r="AR117" t="s">
        <v>215</v>
      </c>
      <c r="AT117">
        <v>0.19626037362068999</v>
      </c>
      <c r="AU117" t="s">
        <v>1074</v>
      </c>
      <c r="AV117">
        <v>20.23</v>
      </c>
      <c r="AW117">
        <v>1.18460331298411</v>
      </c>
      <c r="AX117">
        <v>0</v>
      </c>
      <c r="AY117" t="s">
        <v>56</v>
      </c>
      <c r="AZ117" t="s">
        <v>54</v>
      </c>
      <c r="BA117" t="s">
        <v>583</v>
      </c>
      <c r="BC117">
        <v>41</v>
      </c>
      <c r="BD117" t="s">
        <v>212</v>
      </c>
      <c r="BE117" t="s">
        <v>299</v>
      </c>
      <c r="BK117" t="s">
        <v>54</v>
      </c>
    </row>
    <row r="118" spans="1:63" hidden="1" x14ac:dyDescent="0.3">
      <c r="A118" t="s">
        <v>789</v>
      </c>
      <c r="B118" t="s">
        <v>98</v>
      </c>
      <c r="C118">
        <v>99178</v>
      </c>
      <c r="D118">
        <v>1</v>
      </c>
      <c r="E118" t="s">
        <v>62</v>
      </c>
      <c r="F118">
        <v>102</v>
      </c>
      <c r="G118" t="s">
        <v>53</v>
      </c>
      <c r="H118">
        <v>9</v>
      </c>
      <c r="J118">
        <v>102</v>
      </c>
      <c r="K118" t="s">
        <v>52</v>
      </c>
      <c r="L118">
        <v>25</v>
      </c>
      <c r="M118" t="s">
        <v>885</v>
      </c>
      <c r="N118" t="s">
        <v>323</v>
      </c>
      <c r="O118" t="s">
        <v>323</v>
      </c>
      <c r="P118" t="s">
        <v>1075</v>
      </c>
      <c r="Q118">
        <v>-84.479024999999993</v>
      </c>
      <c r="R118">
        <v>45.630277</v>
      </c>
      <c r="X118">
        <v>27.67</v>
      </c>
      <c r="Y118">
        <v>13.835000000000001</v>
      </c>
      <c r="Z118">
        <v>25.37</v>
      </c>
      <c r="AA118">
        <v>29.98</v>
      </c>
      <c r="AB118">
        <v>27.14</v>
      </c>
      <c r="AC118">
        <v>13.57</v>
      </c>
      <c r="AD118">
        <v>24.88</v>
      </c>
      <c r="AE118">
        <v>29.41</v>
      </c>
      <c r="AF118">
        <v>31.12</v>
      </c>
      <c r="AG118">
        <v>15.56</v>
      </c>
      <c r="AH118">
        <v>28.9</v>
      </c>
      <c r="AI118">
        <v>33.35</v>
      </c>
      <c r="AJ118">
        <v>26.68</v>
      </c>
      <c r="AK118">
        <v>13.34</v>
      </c>
      <c r="AL118">
        <v>24.45</v>
      </c>
      <c r="AM118">
        <v>28.9</v>
      </c>
      <c r="AO118" s="1"/>
      <c r="AP118" s="1"/>
      <c r="AQ118" t="s">
        <v>215</v>
      </c>
      <c r="AR118" t="s">
        <v>215</v>
      </c>
      <c r="AT118">
        <v>2.4654925455165002</v>
      </c>
      <c r="AU118" t="s">
        <v>1076</v>
      </c>
      <c r="AV118">
        <v>4.79</v>
      </c>
      <c r="AW118">
        <v>4.6160303223878101</v>
      </c>
      <c r="AX118">
        <v>0</v>
      </c>
      <c r="AY118" t="s">
        <v>56</v>
      </c>
      <c r="AZ118" t="s">
        <v>54</v>
      </c>
      <c r="BA118" t="s">
        <v>583</v>
      </c>
      <c r="BK118" t="s">
        <v>54</v>
      </c>
    </row>
    <row r="119" spans="1:63" hidden="1" x14ac:dyDescent="0.3">
      <c r="A119" t="s">
        <v>790</v>
      </c>
      <c r="B119" t="s">
        <v>98</v>
      </c>
      <c r="C119">
        <v>70876</v>
      </c>
      <c r="D119">
        <v>0</v>
      </c>
      <c r="E119" t="s">
        <v>62</v>
      </c>
      <c r="F119">
        <v>102</v>
      </c>
      <c r="G119" t="s">
        <v>53</v>
      </c>
      <c r="H119">
        <v>2</v>
      </c>
      <c r="J119">
        <v>102</v>
      </c>
      <c r="K119" t="s">
        <v>52</v>
      </c>
      <c r="L119">
        <v>5</v>
      </c>
      <c r="M119" t="s">
        <v>886</v>
      </c>
      <c r="N119" t="s">
        <v>302</v>
      </c>
      <c r="O119" t="s">
        <v>302</v>
      </c>
      <c r="P119" t="s">
        <v>1077</v>
      </c>
      <c r="Q119">
        <v>-84.463406000000006</v>
      </c>
      <c r="R119">
        <v>45.641244999999998</v>
      </c>
      <c r="X119">
        <v>14.86</v>
      </c>
      <c r="Y119">
        <v>14.86</v>
      </c>
      <c r="Z119">
        <v>13.62</v>
      </c>
      <c r="AA119">
        <v>16.09</v>
      </c>
      <c r="AB119">
        <v>14.96</v>
      </c>
      <c r="AC119">
        <v>14.96</v>
      </c>
      <c r="AD119">
        <v>13.71</v>
      </c>
      <c r="AE119">
        <v>16.21</v>
      </c>
      <c r="AF119">
        <v>14.96</v>
      </c>
      <c r="AG119">
        <v>14.96</v>
      </c>
      <c r="AH119">
        <v>13.71</v>
      </c>
      <c r="AI119">
        <v>16.21</v>
      </c>
      <c r="AJ119">
        <v>14.96</v>
      </c>
      <c r="AK119">
        <v>14.96</v>
      </c>
      <c r="AL119">
        <v>13.71</v>
      </c>
      <c r="AM119">
        <v>16.21</v>
      </c>
      <c r="AO119" s="1"/>
      <c r="AP119" s="1"/>
      <c r="AQ119" t="s">
        <v>215</v>
      </c>
      <c r="AR119" t="s">
        <v>215</v>
      </c>
      <c r="AT119">
        <v>24.684089725880099</v>
      </c>
      <c r="AU119" t="s">
        <v>1078</v>
      </c>
      <c r="AV119">
        <v>2.2799999999999998</v>
      </c>
      <c r="AW119">
        <v>23.596513131633401</v>
      </c>
      <c r="AX119">
        <v>0</v>
      </c>
      <c r="AY119" t="s">
        <v>56</v>
      </c>
      <c r="AZ119" t="s">
        <v>54</v>
      </c>
      <c r="BA119" t="s">
        <v>583</v>
      </c>
      <c r="BK119" t="s">
        <v>54</v>
      </c>
    </row>
    <row r="120" spans="1:63" hidden="1" x14ac:dyDescent="0.3">
      <c r="A120" t="s">
        <v>791</v>
      </c>
      <c r="B120" t="s">
        <v>98</v>
      </c>
      <c r="C120">
        <v>70883</v>
      </c>
      <c r="D120">
        <v>0</v>
      </c>
      <c r="E120" t="s">
        <v>62</v>
      </c>
      <c r="F120">
        <v>102</v>
      </c>
      <c r="G120" t="s">
        <v>53</v>
      </c>
      <c r="H120">
        <v>11</v>
      </c>
      <c r="J120">
        <v>102</v>
      </c>
      <c r="K120" t="s">
        <v>52</v>
      </c>
      <c r="L120">
        <v>160</v>
      </c>
      <c r="M120" t="s">
        <v>887</v>
      </c>
      <c r="N120" t="s">
        <v>323</v>
      </c>
      <c r="O120" t="s">
        <v>323</v>
      </c>
      <c r="P120" t="s">
        <v>1079</v>
      </c>
      <c r="Q120">
        <v>-84.477711999999997</v>
      </c>
      <c r="R120">
        <v>45.643870999999997</v>
      </c>
      <c r="X120">
        <v>23.55</v>
      </c>
      <c r="Y120">
        <v>11.775</v>
      </c>
      <c r="Z120">
        <v>8.83</v>
      </c>
      <c r="AA120">
        <v>38.26</v>
      </c>
      <c r="AB120">
        <v>33.72</v>
      </c>
      <c r="AC120">
        <v>16.86</v>
      </c>
      <c r="AD120">
        <v>30.91</v>
      </c>
      <c r="AE120">
        <v>36.53</v>
      </c>
      <c r="AF120">
        <v>39.340000000000003</v>
      </c>
      <c r="AG120">
        <v>19.670000000000002</v>
      </c>
      <c r="AH120">
        <v>36.53</v>
      </c>
      <c r="AI120">
        <v>42.15</v>
      </c>
      <c r="AJ120">
        <v>33.81</v>
      </c>
      <c r="AK120">
        <v>16.905000000000001</v>
      </c>
      <c r="AL120">
        <v>30.99</v>
      </c>
      <c r="AM120">
        <v>36.630000000000003</v>
      </c>
      <c r="AO120" s="1"/>
      <c r="AP120" s="1"/>
      <c r="AQ120" t="s">
        <v>215</v>
      </c>
      <c r="AR120" t="s">
        <v>215</v>
      </c>
      <c r="AT120">
        <v>0.99704312884082102</v>
      </c>
      <c r="AU120" t="s">
        <v>1080</v>
      </c>
      <c r="AV120">
        <v>7.03</v>
      </c>
      <c r="AW120">
        <v>2.3908752426505102</v>
      </c>
      <c r="AX120">
        <v>0</v>
      </c>
      <c r="AY120" t="s">
        <v>56</v>
      </c>
      <c r="AZ120" t="s">
        <v>54</v>
      </c>
      <c r="BA120" t="s">
        <v>583</v>
      </c>
      <c r="BK120" t="s">
        <v>54</v>
      </c>
    </row>
    <row r="121" spans="1:63" hidden="1" x14ac:dyDescent="0.3">
      <c r="A121" t="s">
        <v>792</v>
      </c>
      <c r="B121" t="s">
        <v>98</v>
      </c>
      <c r="C121">
        <v>99120</v>
      </c>
      <c r="D121">
        <v>3</v>
      </c>
      <c r="E121" t="s">
        <v>63</v>
      </c>
      <c r="F121">
        <v>102</v>
      </c>
      <c r="G121" t="s">
        <v>53</v>
      </c>
      <c r="H121">
        <v>4</v>
      </c>
      <c r="J121">
        <v>102</v>
      </c>
      <c r="K121" t="s">
        <v>52</v>
      </c>
      <c r="L121">
        <v>165</v>
      </c>
      <c r="M121" t="s">
        <v>888</v>
      </c>
      <c r="N121" t="s">
        <v>302</v>
      </c>
      <c r="O121" t="s">
        <v>302</v>
      </c>
      <c r="P121" t="s">
        <v>1081</v>
      </c>
      <c r="Q121">
        <v>-84.481110999999999</v>
      </c>
      <c r="R121">
        <v>45.639918000000002</v>
      </c>
      <c r="X121">
        <v>23.33</v>
      </c>
      <c r="Y121">
        <v>23.33</v>
      </c>
      <c r="Z121">
        <v>21.39</v>
      </c>
      <c r="AA121">
        <v>25.28</v>
      </c>
      <c r="AB121">
        <v>20.350000000000001</v>
      </c>
      <c r="AC121">
        <v>20.350000000000001</v>
      </c>
      <c r="AD121">
        <v>18.649999999999999</v>
      </c>
      <c r="AE121">
        <v>22.04</v>
      </c>
      <c r="AF121">
        <v>19.18</v>
      </c>
      <c r="AG121">
        <v>19.18</v>
      </c>
      <c r="AH121">
        <v>17.579999999999998</v>
      </c>
      <c r="AI121">
        <v>20.78</v>
      </c>
      <c r="AJ121">
        <v>26.97</v>
      </c>
      <c r="AK121">
        <v>26.97</v>
      </c>
      <c r="AL121">
        <v>21.91</v>
      </c>
      <c r="AM121">
        <v>32.03</v>
      </c>
      <c r="AO121" s="1"/>
      <c r="AP121" s="1"/>
      <c r="AQ121" t="s">
        <v>215</v>
      </c>
      <c r="AR121" t="s">
        <v>215</v>
      </c>
      <c r="AT121">
        <v>0.494973679864117</v>
      </c>
      <c r="AU121" t="s">
        <v>1082</v>
      </c>
      <c r="AV121">
        <v>11.88</v>
      </c>
      <c r="AW121">
        <v>1.3213806133717301</v>
      </c>
      <c r="AX121">
        <v>0</v>
      </c>
      <c r="AY121" t="s">
        <v>56</v>
      </c>
      <c r="AZ121" t="s">
        <v>54</v>
      </c>
      <c r="BA121" t="s">
        <v>583</v>
      </c>
      <c r="BK121" t="s">
        <v>54</v>
      </c>
    </row>
    <row r="122" spans="1:63" hidden="1" x14ac:dyDescent="0.3">
      <c r="A122" t="s">
        <v>631</v>
      </c>
      <c r="B122" t="s">
        <v>98</v>
      </c>
      <c r="C122">
        <v>70894</v>
      </c>
      <c r="D122">
        <v>0</v>
      </c>
      <c r="E122" t="s">
        <v>63</v>
      </c>
      <c r="F122">
        <v>102</v>
      </c>
      <c r="G122" t="s">
        <v>59</v>
      </c>
      <c r="H122">
        <v>16</v>
      </c>
      <c r="J122">
        <v>102</v>
      </c>
      <c r="K122" t="s">
        <v>59</v>
      </c>
      <c r="L122">
        <v>20</v>
      </c>
      <c r="M122" t="s">
        <v>633</v>
      </c>
      <c r="N122" t="s">
        <v>300</v>
      </c>
      <c r="O122" t="s">
        <v>300</v>
      </c>
      <c r="P122" t="s">
        <v>1279</v>
      </c>
      <c r="Q122">
        <v>-84.703662300000005</v>
      </c>
      <c r="R122">
        <v>45.8532267</v>
      </c>
      <c r="S122">
        <v>44</v>
      </c>
      <c r="T122">
        <v>2</v>
      </c>
      <c r="U122" t="s">
        <v>310</v>
      </c>
      <c r="V122">
        <v>5</v>
      </c>
      <c r="W122">
        <v>0.84090909090909094</v>
      </c>
      <c r="X122">
        <v>46.64</v>
      </c>
      <c r="Y122">
        <v>11.66</v>
      </c>
      <c r="Z122">
        <v>22.59</v>
      </c>
      <c r="AA122">
        <v>70.69</v>
      </c>
      <c r="AB122">
        <v>54.5</v>
      </c>
      <c r="AC122">
        <v>13.625</v>
      </c>
      <c r="AD122">
        <v>31.28</v>
      </c>
      <c r="AE122">
        <v>77.709999999999994</v>
      </c>
      <c r="AF122">
        <v>54.25</v>
      </c>
      <c r="AG122">
        <v>13.5625</v>
      </c>
      <c r="AH122">
        <v>26.62</v>
      </c>
      <c r="AI122">
        <v>81.89</v>
      </c>
      <c r="AJ122">
        <v>51.31</v>
      </c>
      <c r="AK122">
        <v>12.827500000000001</v>
      </c>
      <c r="AL122">
        <v>27.04</v>
      </c>
      <c r="AM122">
        <v>75.58</v>
      </c>
      <c r="AO122" s="1"/>
      <c r="AP122" s="1"/>
      <c r="AQ122" t="s">
        <v>215</v>
      </c>
      <c r="AR122" t="s">
        <v>215</v>
      </c>
      <c r="AT122">
        <v>1.1965962125027501</v>
      </c>
      <c r="AU122" t="s">
        <v>1280</v>
      </c>
      <c r="AV122">
        <v>10.54</v>
      </c>
      <c r="AW122">
        <v>3.2203744892030999</v>
      </c>
      <c r="AX122">
        <v>0</v>
      </c>
      <c r="AY122" t="s">
        <v>56</v>
      </c>
      <c r="AZ122" t="s">
        <v>56</v>
      </c>
      <c r="BA122" t="s">
        <v>583</v>
      </c>
      <c r="BK122" t="s">
        <v>56</v>
      </c>
    </row>
    <row r="123" spans="1:63" hidden="1" x14ac:dyDescent="0.3">
      <c r="A123" t="s">
        <v>634</v>
      </c>
      <c r="B123" t="s">
        <v>98</v>
      </c>
      <c r="C123">
        <v>70895</v>
      </c>
      <c r="D123">
        <v>0</v>
      </c>
      <c r="E123" t="s">
        <v>62</v>
      </c>
      <c r="F123">
        <v>102</v>
      </c>
      <c r="G123" t="s">
        <v>59</v>
      </c>
      <c r="H123">
        <v>7</v>
      </c>
      <c r="J123">
        <v>102</v>
      </c>
      <c r="K123" t="s">
        <v>59</v>
      </c>
      <c r="L123">
        <v>110</v>
      </c>
      <c r="M123" t="s">
        <v>635</v>
      </c>
      <c r="N123" t="s">
        <v>300</v>
      </c>
      <c r="O123" t="s">
        <v>300</v>
      </c>
      <c r="P123" t="s">
        <v>1281</v>
      </c>
      <c r="Q123">
        <v>-84.719227000000004</v>
      </c>
      <c r="R123">
        <v>45.864279000000003</v>
      </c>
      <c r="S123">
        <v>4</v>
      </c>
      <c r="X123">
        <v>263.83</v>
      </c>
      <c r="Y123">
        <v>65.957499999999996</v>
      </c>
      <c r="Z123">
        <v>232.93</v>
      </c>
      <c r="AA123">
        <v>294.72000000000003</v>
      </c>
      <c r="AB123">
        <v>299.58</v>
      </c>
      <c r="AC123">
        <v>74.894999999999996</v>
      </c>
      <c r="AD123">
        <v>244.53</v>
      </c>
      <c r="AE123">
        <v>354.64</v>
      </c>
      <c r="AF123">
        <v>294.79000000000002</v>
      </c>
      <c r="AG123">
        <v>73.697500000000005</v>
      </c>
      <c r="AH123">
        <v>253.45</v>
      </c>
      <c r="AI123">
        <v>336.13</v>
      </c>
      <c r="AJ123">
        <v>247.84</v>
      </c>
      <c r="AK123">
        <v>61.96</v>
      </c>
      <c r="AL123">
        <v>165.94</v>
      </c>
      <c r="AM123">
        <v>329.74</v>
      </c>
      <c r="AO123" s="1"/>
      <c r="AP123" s="1"/>
      <c r="AQ123" t="s">
        <v>215</v>
      </c>
      <c r="AR123" t="s">
        <v>215</v>
      </c>
      <c r="AT123">
        <v>6.06715420247804</v>
      </c>
      <c r="AU123" t="s">
        <v>1282</v>
      </c>
      <c r="AV123">
        <v>11.33</v>
      </c>
      <c r="AW123">
        <v>9.7836128380149603</v>
      </c>
      <c r="AX123">
        <v>0</v>
      </c>
      <c r="AY123" t="s">
        <v>56</v>
      </c>
      <c r="AZ123" t="s">
        <v>56</v>
      </c>
      <c r="BA123" t="s">
        <v>583</v>
      </c>
      <c r="BH123" t="s">
        <v>1283</v>
      </c>
      <c r="BK123" t="s">
        <v>56</v>
      </c>
    </row>
    <row r="124" spans="1:63" hidden="1" x14ac:dyDescent="0.3">
      <c r="A124" t="s">
        <v>734</v>
      </c>
      <c r="B124" t="s">
        <v>98</v>
      </c>
      <c r="C124">
        <v>99061</v>
      </c>
      <c r="D124">
        <v>107</v>
      </c>
      <c r="E124" t="s">
        <v>57</v>
      </c>
      <c r="F124">
        <v>102</v>
      </c>
      <c r="G124" t="s">
        <v>59</v>
      </c>
      <c r="H124">
        <v>36</v>
      </c>
      <c r="J124">
        <v>102</v>
      </c>
      <c r="K124" t="s">
        <v>59</v>
      </c>
      <c r="L124">
        <v>15</v>
      </c>
      <c r="M124" t="s">
        <v>735</v>
      </c>
      <c r="N124" t="s">
        <v>300</v>
      </c>
      <c r="O124" t="s">
        <v>300</v>
      </c>
      <c r="P124" t="s">
        <v>1284</v>
      </c>
      <c r="Q124">
        <v>-84.719267000000002</v>
      </c>
      <c r="R124">
        <v>45.857348000000002</v>
      </c>
      <c r="S124">
        <v>52</v>
      </c>
      <c r="T124">
        <v>3</v>
      </c>
      <c r="U124" t="s">
        <v>326</v>
      </c>
      <c r="V124">
        <v>10</v>
      </c>
      <c r="W124">
        <v>0.78260869565217395</v>
      </c>
      <c r="X124">
        <v>110.09</v>
      </c>
      <c r="Y124">
        <v>27.522500000000001</v>
      </c>
      <c r="Z124">
        <v>103.42</v>
      </c>
      <c r="AA124">
        <v>116.76</v>
      </c>
      <c r="AB124">
        <v>96.91</v>
      </c>
      <c r="AC124">
        <v>24.227499999999999</v>
      </c>
      <c r="AD124">
        <v>71.05</v>
      </c>
      <c r="AE124">
        <v>122.76</v>
      </c>
      <c r="AF124">
        <v>106.84</v>
      </c>
      <c r="AG124">
        <v>26.71</v>
      </c>
      <c r="AH124">
        <v>82.05</v>
      </c>
      <c r="AI124">
        <v>131.63</v>
      </c>
      <c r="AJ124">
        <v>95.01</v>
      </c>
      <c r="AK124">
        <v>23.752500000000001</v>
      </c>
      <c r="AL124">
        <v>82.12</v>
      </c>
      <c r="AM124">
        <v>107.9</v>
      </c>
      <c r="AO124" s="1"/>
      <c r="AP124" s="1"/>
      <c r="AQ124" t="s">
        <v>215</v>
      </c>
      <c r="AR124" t="s">
        <v>215</v>
      </c>
      <c r="AT124">
        <v>0.85768460209666897</v>
      </c>
      <c r="AU124" t="s">
        <v>1285</v>
      </c>
      <c r="AV124">
        <v>28.79</v>
      </c>
      <c r="AW124">
        <v>2.73524126410484</v>
      </c>
      <c r="AX124">
        <v>0</v>
      </c>
      <c r="AY124" t="s">
        <v>56</v>
      </c>
      <c r="AZ124" t="s">
        <v>56</v>
      </c>
      <c r="BA124" t="s">
        <v>583</v>
      </c>
      <c r="BK124" t="s">
        <v>56</v>
      </c>
    </row>
    <row r="125" spans="1:63" hidden="1" x14ac:dyDescent="0.3">
      <c r="A125" t="s">
        <v>829</v>
      </c>
      <c r="B125" t="s">
        <v>98</v>
      </c>
      <c r="C125">
        <v>70897</v>
      </c>
      <c r="D125">
        <v>0</v>
      </c>
      <c r="E125" t="s">
        <v>63</v>
      </c>
      <c r="F125">
        <v>102</v>
      </c>
      <c r="G125" t="s">
        <v>59</v>
      </c>
      <c r="H125">
        <v>18</v>
      </c>
      <c r="J125">
        <v>102</v>
      </c>
      <c r="K125" t="s">
        <v>59</v>
      </c>
      <c r="L125">
        <v>65</v>
      </c>
      <c r="M125" t="s">
        <v>1286</v>
      </c>
      <c r="N125" t="s">
        <v>300</v>
      </c>
      <c r="O125" t="s">
        <v>300</v>
      </c>
      <c r="P125" t="s">
        <v>1287</v>
      </c>
      <c r="Q125">
        <v>-84.702566000000004</v>
      </c>
      <c r="R125">
        <v>45.854405</v>
      </c>
      <c r="AB125">
        <v>100.5</v>
      </c>
      <c r="AC125">
        <v>25.125</v>
      </c>
      <c r="AD125">
        <v>50.25</v>
      </c>
      <c r="AE125">
        <v>150.75</v>
      </c>
      <c r="AF125">
        <v>145.16999999999999</v>
      </c>
      <c r="AG125">
        <v>36.292499999999997</v>
      </c>
      <c r="AH125">
        <v>145.16999999999999</v>
      </c>
      <c r="AI125">
        <v>145.16999999999999</v>
      </c>
      <c r="AJ125">
        <v>44.67</v>
      </c>
      <c r="AK125">
        <v>11.1675</v>
      </c>
      <c r="AL125">
        <v>-55.83</v>
      </c>
      <c r="AM125">
        <v>145.16999999999999</v>
      </c>
      <c r="AO125" s="1"/>
      <c r="AP125" s="1"/>
      <c r="AQ125" t="s">
        <v>215</v>
      </c>
      <c r="AR125" t="s">
        <v>215</v>
      </c>
      <c r="AT125">
        <v>0</v>
      </c>
      <c r="AU125" t="s">
        <v>1167</v>
      </c>
      <c r="AW125">
        <v>0</v>
      </c>
      <c r="AX125">
        <v>0</v>
      </c>
      <c r="AY125" t="s">
        <v>56</v>
      </c>
      <c r="AZ125" t="s">
        <v>56</v>
      </c>
      <c r="BA125" t="s">
        <v>583</v>
      </c>
      <c r="BH125" t="s">
        <v>1170</v>
      </c>
      <c r="BK125" t="s">
        <v>56</v>
      </c>
    </row>
    <row r="126" spans="1:63" hidden="1" x14ac:dyDescent="0.3">
      <c r="A126" t="s">
        <v>636</v>
      </c>
      <c r="B126" t="s">
        <v>98</v>
      </c>
      <c r="C126">
        <v>70897</v>
      </c>
      <c r="D126">
        <v>3</v>
      </c>
      <c r="E126" t="s">
        <v>62</v>
      </c>
      <c r="F126">
        <v>102</v>
      </c>
      <c r="G126" t="s">
        <v>59</v>
      </c>
      <c r="H126">
        <v>16</v>
      </c>
      <c r="J126">
        <v>102</v>
      </c>
      <c r="K126" t="s">
        <v>59</v>
      </c>
      <c r="L126">
        <v>155</v>
      </c>
      <c r="M126" t="s">
        <v>637</v>
      </c>
      <c r="N126" t="s">
        <v>300</v>
      </c>
      <c r="O126" t="s">
        <v>300</v>
      </c>
      <c r="P126" t="s">
        <v>1288</v>
      </c>
      <c r="Q126">
        <v>-84.725508000000005</v>
      </c>
      <c r="R126">
        <v>45.868167999999997</v>
      </c>
      <c r="S126">
        <v>2</v>
      </c>
      <c r="X126">
        <v>99.42</v>
      </c>
      <c r="Y126">
        <v>24.855</v>
      </c>
      <c r="Z126">
        <v>16.46</v>
      </c>
      <c r="AA126">
        <v>182.38</v>
      </c>
      <c r="AB126">
        <v>103.33</v>
      </c>
      <c r="AC126">
        <v>25.8325</v>
      </c>
      <c r="AD126">
        <v>59.07</v>
      </c>
      <c r="AE126">
        <v>147.6</v>
      </c>
      <c r="AF126">
        <v>155.28</v>
      </c>
      <c r="AG126">
        <v>38.82</v>
      </c>
      <c r="AH126">
        <v>89.59</v>
      </c>
      <c r="AI126">
        <v>220.97</v>
      </c>
      <c r="AJ126">
        <v>202.94</v>
      </c>
      <c r="AK126">
        <v>50.734999999999999</v>
      </c>
      <c r="AL126">
        <v>134.63999999999999</v>
      </c>
      <c r="AM126">
        <v>271.24</v>
      </c>
      <c r="AO126" s="1"/>
      <c r="AP126" s="1"/>
      <c r="AQ126" t="s">
        <v>215</v>
      </c>
      <c r="AR126" t="s">
        <v>215</v>
      </c>
      <c r="AT126">
        <v>3.3328186975242702E-2</v>
      </c>
      <c r="AU126" t="s">
        <v>1289</v>
      </c>
      <c r="AV126">
        <v>4.9800000000000004</v>
      </c>
      <c r="AW126">
        <v>8.4399068728089305E-2</v>
      </c>
      <c r="AX126">
        <v>0</v>
      </c>
      <c r="AY126" t="s">
        <v>56</v>
      </c>
      <c r="AZ126" t="s">
        <v>56</v>
      </c>
      <c r="BA126" t="s">
        <v>583</v>
      </c>
      <c r="BK126" t="s">
        <v>56</v>
      </c>
    </row>
    <row r="127" spans="1:63" hidden="1" x14ac:dyDescent="0.3">
      <c r="A127" t="s">
        <v>830</v>
      </c>
      <c r="B127" t="s">
        <v>98</v>
      </c>
      <c r="C127">
        <v>70900</v>
      </c>
      <c r="D127">
        <v>0</v>
      </c>
      <c r="E127" t="s">
        <v>57</v>
      </c>
      <c r="F127">
        <v>102</v>
      </c>
      <c r="G127" t="s">
        <v>59</v>
      </c>
      <c r="H127">
        <v>22</v>
      </c>
      <c r="J127">
        <v>102</v>
      </c>
      <c r="K127" t="s">
        <v>59</v>
      </c>
      <c r="L127">
        <v>25</v>
      </c>
      <c r="M127" t="s">
        <v>1290</v>
      </c>
      <c r="N127" t="s">
        <v>300</v>
      </c>
      <c r="O127" t="s">
        <v>300</v>
      </c>
      <c r="P127" t="s">
        <v>1291</v>
      </c>
      <c r="Q127">
        <v>-84.702566000000004</v>
      </c>
      <c r="R127">
        <v>45.854405</v>
      </c>
      <c r="AB127">
        <v>199.28</v>
      </c>
      <c r="AC127">
        <v>49.82</v>
      </c>
      <c r="AD127">
        <v>22.14</v>
      </c>
      <c r="AE127">
        <v>376.42</v>
      </c>
      <c r="AF127">
        <v>350.29</v>
      </c>
      <c r="AG127">
        <v>87.572500000000005</v>
      </c>
      <c r="AH127">
        <v>349.6</v>
      </c>
      <c r="AI127">
        <v>350.99</v>
      </c>
      <c r="AJ127">
        <v>35.29</v>
      </c>
      <c r="AK127">
        <v>8.8224999999999998</v>
      </c>
      <c r="AL127">
        <v>-106.99</v>
      </c>
      <c r="AM127">
        <v>177.57</v>
      </c>
      <c r="AO127" s="1"/>
      <c r="AP127" s="1"/>
      <c r="AQ127" t="s">
        <v>215</v>
      </c>
      <c r="AR127" t="s">
        <v>215</v>
      </c>
      <c r="AT127">
        <v>0</v>
      </c>
      <c r="AU127" t="s">
        <v>1167</v>
      </c>
      <c r="AW127">
        <v>0</v>
      </c>
      <c r="AX127">
        <v>0</v>
      </c>
      <c r="AY127" t="s">
        <v>56</v>
      </c>
      <c r="AZ127" t="s">
        <v>56</v>
      </c>
      <c r="BA127" t="s">
        <v>583</v>
      </c>
      <c r="BH127" t="s">
        <v>1170</v>
      </c>
      <c r="BK127" t="s">
        <v>56</v>
      </c>
    </row>
    <row r="128" spans="1:63" hidden="1" x14ac:dyDescent="0.3">
      <c r="A128" t="s">
        <v>831</v>
      </c>
      <c r="B128" t="s">
        <v>98</v>
      </c>
      <c r="C128">
        <v>70901</v>
      </c>
      <c r="D128">
        <v>0</v>
      </c>
      <c r="E128" t="s">
        <v>57</v>
      </c>
      <c r="F128">
        <v>102</v>
      </c>
      <c r="G128" t="s">
        <v>59</v>
      </c>
      <c r="H128">
        <v>27</v>
      </c>
      <c r="J128">
        <v>102</v>
      </c>
      <c r="K128" t="s">
        <v>59</v>
      </c>
      <c r="L128">
        <v>75</v>
      </c>
      <c r="M128" t="s">
        <v>1292</v>
      </c>
      <c r="N128" t="s">
        <v>300</v>
      </c>
      <c r="O128" t="s">
        <v>300</v>
      </c>
      <c r="P128" t="s">
        <v>1293</v>
      </c>
      <c r="Q128">
        <v>-84.702566000000004</v>
      </c>
      <c r="R128">
        <v>45.854405</v>
      </c>
      <c r="AB128">
        <v>139.58000000000001</v>
      </c>
      <c r="AC128">
        <v>34.895000000000003</v>
      </c>
      <c r="AD128">
        <v>97.96</v>
      </c>
      <c r="AE128">
        <v>181.2</v>
      </c>
      <c r="AF128">
        <v>181.69</v>
      </c>
      <c r="AG128">
        <v>45.422499999999999</v>
      </c>
      <c r="AH128">
        <v>181.69</v>
      </c>
      <c r="AI128">
        <v>181.69</v>
      </c>
      <c r="AJ128">
        <v>55.9</v>
      </c>
      <c r="AK128">
        <v>13.975</v>
      </c>
      <c r="AL128">
        <v>-69.88</v>
      </c>
      <c r="AM128">
        <v>181.69</v>
      </c>
      <c r="AO128" s="1"/>
      <c r="AP128" s="1"/>
      <c r="AQ128" t="s">
        <v>215</v>
      </c>
      <c r="AR128" t="s">
        <v>215</v>
      </c>
      <c r="AT128">
        <v>0</v>
      </c>
      <c r="AU128" t="s">
        <v>1167</v>
      </c>
      <c r="AW128">
        <v>0</v>
      </c>
      <c r="AX128">
        <v>0</v>
      </c>
      <c r="AY128" t="s">
        <v>56</v>
      </c>
      <c r="AZ128" t="s">
        <v>56</v>
      </c>
      <c r="BA128" t="s">
        <v>583</v>
      </c>
      <c r="BH128" t="s">
        <v>1170</v>
      </c>
      <c r="BK128" t="s">
        <v>56</v>
      </c>
    </row>
    <row r="129" spans="1:63" hidden="1" x14ac:dyDescent="0.3">
      <c r="A129" t="s">
        <v>832</v>
      </c>
      <c r="B129" t="s">
        <v>98</v>
      </c>
      <c r="C129">
        <v>70904</v>
      </c>
      <c r="D129">
        <v>0</v>
      </c>
      <c r="E129" t="s">
        <v>57</v>
      </c>
      <c r="F129">
        <v>102</v>
      </c>
      <c r="G129" t="s">
        <v>59</v>
      </c>
      <c r="H129">
        <v>29</v>
      </c>
      <c r="J129">
        <v>102</v>
      </c>
      <c r="K129" t="s">
        <v>59</v>
      </c>
      <c r="L129">
        <v>60</v>
      </c>
      <c r="M129" t="s">
        <v>1294</v>
      </c>
      <c r="N129" t="s">
        <v>300</v>
      </c>
      <c r="O129" t="s">
        <v>300</v>
      </c>
      <c r="P129" t="s">
        <v>1295</v>
      </c>
      <c r="Q129">
        <v>-84.702566000000004</v>
      </c>
      <c r="R129">
        <v>45.854405</v>
      </c>
      <c r="AB129">
        <v>105.84</v>
      </c>
      <c r="AC129">
        <v>26.46</v>
      </c>
      <c r="AD129">
        <v>57.54</v>
      </c>
      <c r="AE129">
        <v>154.13999999999999</v>
      </c>
      <c r="AF129">
        <v>151.04</v>
      </c>
      <c r="AG129">
        <v>37.76</v>
      </c>
      <c r="AH129">
        <v>141.11000000000001</v>
      </c>
      <c r="AI129">
        <v>160.97</v>
      </c>
      <c r="AJ129">
        <v>36.51</v>
      </c>
      <c r="AK129">
        <v>9.1274999999999995</v>
      </c>
      <c r="AL129">
        <v>-63.89</v>
      </c>
      <c r="AM129">
        <v>136.91</v>
      </c>
      <c r="AO129" s="1"/>
      <c r="AP129" s="1"/>
      <c r="AQ129" t="s">
        <v>215</v>
      </c>
      <c r="AR129" t="s">
        <v>215</v>
      </c>
      <c r="AT129">
        <v>0</v>
      </c>
      <c r="AU129" t="s">
        <v>1167</v>
      </c>
      <c r="AW129">
        <v>0</v>
      </c>
      <c r="AX129">
        <v>0</v>
      </c>
      <c r="AY129" t="s">
        <v>56</v>
      </c>
      <c r="AZ129" t="s">
        <v>56</v>
      </c>
      <c r="BA129" t="s">
        <v>583</v>
      </c>
      <c r="BH129" t="s">
        <v>1170</v>
      </c>
      <c r="BK129" t="s">
        <v>56</v>
      </c>
    </row>
    <row r="130" spans="1:63" hidden="1" x14ac:dyDescent="0.3">
      <c r="A130" t="s">
        <v>833</v>
      </c>
      <c r="B130" t="s">
        <v>98</v>
      </c>
      <c r="C130">
        <v>70900</v>
      </c>
      <c r="D130">
        <v>3</v>
      </c>
      <c r="E130" t="s">
        <v>57</v>
      </c>
      <c r="F130">
        <v>102</v>
      </c>
      <c r="G130" t="s">
        <v>59</v>
      </c>
      <c r="H130">
        <v>25</v>
      </c>
      <c r="J130">
        <v>102</v>
      </c>
      <c r="K130" t="s">
        <v>59</v>
      </c>
      <c r="L130">
        <v>115</v>
      </c>
      <c r="M130" t="s">
        <v>1296</v>
      </c>
      <c r="N130" t="s">
        <v>300</v>
      </c>
      <c r="O130" t="s">
        <v>300</v>
      </c>
      <c r="P130" t="s">
        <v>1297</v>
      </c>
      <c r="Q130">
        <v>-84.702566000000004</v>
      </c>
      <c r="R130">
        <v>45.854405</v>
      </c>
      <c r="AB130">
        <v>195.27</v>
      </c>
      <c r="AC130">
        <v>48.817500000000003</v>
      </c>
      <c r="AD130">
        <v>97.63</v>
      </c>
      <c r="AE130">
        <v>292.89999999999998</v>
      </c>
      <c r="AF130">
        <v>282.05</v>
      </c>
      <c r="AG130">
        <v>70.512500000000003</v>
      </c>
      <c r="AH130">
        <v>282.05</v>
      </c>
      <c r="AI130">
        <v>282.05</v>
      </c>
      <c r="AJ130">
        <v>86.78</v>
      </c>
      <c r="AK130">
        <v>21.695</v>
      </c>
      <c r="AL130">
        <v>-108.48</v>
      </c>
      <c r="AM130">
        <v>282.05</v>
      </c>
      <c r="AO130" s="1"/>
      <c r="AP130" s="1"/>
      <c r="AQ130" t="s">
        <v>215</v>
      </c>
      <c r="AR130" t="s">
        <v>215</v>
      </c>
      <c r="AT130">
        <v>0</v>
      </c>
      <c r="AU130" t="s">
        <v>1167</v>
      </c>
      <c r="AW130">
        <v>0</v>
      </c>
      <c r="AX130">
        <v>0</v>
      </c>
      <c r="AY130" t="s">
        <v>56</v>
      </c>
      <c r="AZ130" t="s">
        <v>56</v>
      </c>
      <c r="BA130" t="s">
        <v>583</v>
      </c>
      <c r="BH130" t="s">
        <v>1170</v>
      </c>
      <c r="BK130" t="s">
        <v>56</v>
      </c>
    </row>
    <row r="131" spans="1:63" hidden="1" x14ac:dyDescent="0.3">
      <c r="A131" t="s">
        <v>914</v>
      </c>
      <c r="B131" t="s">
        <v>98</v>
      </c>
      <c r="C131">
        <v>73404</v>
      </c>
      <c r="D131">
        <v>3</v>
      </c>
      <c r="E131" t="s">
        <v>63</v>
      </c>
      <c r="F131">
        <v>102</v>
      </c>
      <c r="G131" t="s">
        <v>52</v>
      </c>
      <c r="H131">
        <v>7</v>
      </c>
      <c r="J131">
        <v>102</v>
      </c>
      <c r="K131" t="s">
        <v>60</v>
      </c>
      <c r="L131">
        <v>90</v>
      </c>
      <c r="M131" t="s">
        <v>915</v>
      </c>
      <c r="N131" t="s">
        <v>303</v>
      </c>
      <c r="O131" t="s">
        <v>303</v>
      </c>
      <c r="P131" t="s">
        <v>1083</v>
      </c>
      <c r="Q131">
        <v>-84.22842</v>
      </c>
      <c r="R131">
        <v>45.349038</v>
      </c>
      <c r="X131">
        <v>41.72</v>
      </c>
      <c r="Y131">
        <v>20.86</v>
      </c>
      <c r="Z131">
        <v>31.69</v>
      </c>
      <c r="AA131">
        <v>51.74</v>
      </c>
      <c r="AB131">
        <v>53.42</v>
      </c>
      <c r="AC131">
        <v>26.71</v>
      </c>
      <c r="AD131">
        <v>49.6</v>
      </c>
      <c r="AE131">
        <v>57.23</v>
      </c>
      <c r="AF131">
        <v>46.71</v>
      </c>
      <c r="AG131">
        <v>23.355</v>
      </c>
      <c r="AH131">
        <v>42.82</v>
      </c>
      <c r="AI131">
        <v>50.6</v>
      </c>
      <c r="AJ131">
        <v>56.27</v>
      </c>
      <c r="AK131">
        <v>28.135000000000002</v>
      </c>
      <c r="AL131">
        <v>52.25</v>
      </c>
      <c r="AM131">
        <v>60.29</v>
      </c>
      <c r="AO131" s="1"/>
      <c r="AP131" s="1"/>
      <c r="AQ131" t="s">
        <v>215</v>
      </c>
      <c r="AR131" t="s">
        <v>215</v>
      </c>
      <c r="AT131">
        <v>1.02986713485435</v>
      </c>
      <c r="AU131" t="s">
        <v>1084</v>
      </c>
      <c r="AV131">
        <v>4.28</v>
      </c>
      <c r="AW131">
        <v>3.6475911177694802</v>
      </c>
      <c r="AX131">
        <v>0</v>
      </c>
      <c r="AY131" t="s">
        <v>56</v>
      </c>
      <c r="AZ131" t="s">
        <v>54</v>
      </c>
      <c r="BA131" t="s">
        <v>583</v>
      </c>
      <c r="BK131" t="s">
        <v>54</v>
      </c>
    </row>
    <row r="132" spans="1:63" hidden="1" x14ac:dyDescent="0.3">
      <c r="A132" t="s">
        <v>640</v>
      </c>
      <c r="B132" t="s">
        <v>98</v>
      </c>
      <c r="C132">
        <v>71128</v>
      </c>
      <c r="D132">
        <v>0</v>
      </c>
      <c r="E132" t="s">
        <v>62</v>
      </c>
      <c r="F132">
        <v>102</v>
      </c>
      <c r="G132" t="s">
        <v>52</v>
      </c>
      <c r="H132">
        <v>6</v>
      </c>
      <c r="J132">
        <v>102</v>
      </c>
      <c r="K132" t="s">
        <v>60</v>
      </c>
      <c r="L132">
        <v>15</v>
      </c>
      <c r="M132" t="s">
        <v>642</v>
      </c>
      <c r="N132" t="s">
        <v>300</v>
      </c>
      <c r="O132" t="s">
        <v>300</v>
      </c>
      <c r="P132" t="s">
        <v>1085</v>
      </c>
      <c r="Q132">
        <v>-84.230514999999997</v>
      </c>
      <c r="R132">
        <v>45.356856000000001</v>
      </c>
      <c r="S132">
        <v>78</v>
      </c>
      <c r="T132">
        <v>4</v>
      </c>
      <c r="U132" t="s">
        <v>581</v>
      </c>
      <c r="V132">
        <v>30</v>
      </c>
      <c r="W132">
        <v>0.64102564102564108</v>
      </c>
      <c r="X132">
        <v>139.49</v>
      </c>
      <c r="Y132">
        <v>34.872500000000002</v>
      </c>
      <c r="Z132">
        <v>118.48</v>
      </c>
      <c r="AA132">
        <v>160.5</v>
      </c>
      <c r="AB132">
        <v>129.41999999999999</v>
      </c>
      <c r="AC132">
        <v>32.354999999999997</v>
      </c>
      <c r="AD132">
        <v>123.13</v>
      </c>
      <c r="AE132">
        <v>135.72</v>
      </c>
      <c r="AF132">
        <v>131.01</v>
      </c>
      <c r="AG132">
        <v>32.752499999999998</v>
      </c>
      <c r="AH132">
        <v>130.86000000000001</v>
      </c>
      <c r="AI132">
        <v>131.15</v>
      </c>
      <c r="AJ132">
        <v>131.1</v>
      </c>
      <c r="AK132">
        <v>32.774999999999999</v>
      </c>
      <c r="AL132">
        <v>131.1</v>
      </c>
      <c r="AM132">
        <v>131.1</v>
      </c>
      <c r="AO132" s="1"/>
      <c r="AP132" s="1"/>
      <c r="AQ132" t="s">
        <v>215</v>
      </c>
      <c r="AR132" t="s">
        <v>215</v>
      </c>
      <c r="AT132">
        <v>0.26422717332337903</v>
      </c>
      <c r="AU132" t="s">
        <v>1086</v>
      </c>
      <c r="AV132">
        <v>4.1399999999999997</v>
      </c>
      <c r="AW132">
        <v>0.55789609812200103</v>
      </c>
      <c r="AX132">
        <v>0</v>
      </c>
      <c r="AY132" t="s">
        <v>56</v>
      </c>
      <c r="AZ132" t="s">
        <v>54</v>
      </c>
      <c r="BA132" t="s">
        <v>583</v>
      </c>
      <c r="BC132">
        <v>78</v>
      </c>
      <c r="BD132" t="s">
        <v>432</v>
      </c>
      <c r="BE132" t="s">
        <v>298</v>
      </c>
      <c r="BJ132" t="s">
        <v>54</v>
      </c>
      <c r="BK132" t="s">
        <v>54</v>
      </c>
    </row>
    <row r="133" spans="1:63" hidden="1" x14ac:dyDescent="0.3">
      <c r="A133" t="s">
        <v>802</v>
      </c>
      <c r="B133" t="s">
        <v>98</v>
      </c>
      <c r="C133">
        <v>71131</v>
      </c>
      <c r="D133">
        <v>0</v>
      </c>
      <c r="E133" t="s">
        <v>63</v>
      </c>
      <c r="F133">
        <v>102</v>
      </c>
      <c r="G133" t="s">
        <v>52</v>
      </c>
      <c r="H133">
        <v>3</v>
      </c>
      <c r="J133">
        <v>102</v>
      </c>
      <c r="K133" t="s">
        <v>58</v>
      </c>
      <c r="L133">
        <v>10</v>
      </c>
      <c r="M133" t="s">
        <v>860</v>
      </c>
      <c r="N133" t="s">
        <v>302</v>
      </c>
      <c r="O133" t="s">
        <v>302</v>
      </c>
      <c r="P133" t="s">
        <v>1087</v>
      </c>
      <c r="Q133">
        <v>-84.061337699999996</v>
      </c>
      <c r="R133">
        <v>45.366102699999999</v>
      </c>
      <c r="X133">
        <v>13.96</v>
      </c>
      <c r="Y133">
        <v>13.96</v>
      </c>
      <c r="Z133">
        <v>12.8</v>
      </c>
      <c r="AA133">
        <v>15.13</v>
      </c>
      <c r="AB133">
        <v>14.04</v>
      </c>
      <c r="AC133">
        <v>14.04</v>
      </c>
      <c r="AD133">
        <v>12.87</v>
      </c>
      <c r="AE133">
        <v>15.22</v>
      </c>
      <c r="AF133">
        <v>18.73</v>
      </c>
      <c r="AG133">
        <v>18.73</v>
      </c>
      <c r="AH133">
        <v>15.22</v>
      </c>
      <c r="AI133">
        <v>22.24</v>
      </c>
      <c r="AJ133">
        <v>14.48</v>
      </c>
      <c r="AK133">
        <v>14.48</v>
      </c>
      <c r="AL133">
        <v>13.27</v>
      </c>
      <c r="AM133">
        <v>15.68</v>
      </c>
      <c r="AO133" s="1"/>
      <c r="AP133" s="1"/>
      <c r="AQ133" t="s">
        <v>215</v>
      </c>
      <c r="AR133" t="s">
        <v>215</v>
      </c>
      <c r="AT133">
        <v>2.9317919232324701</v>
      </c>
      <c r="AU133" t="s">
        <v>1088</v>
      </c>
      <c r="AV133">
        <v>3.53</v>
      </c>
      <c r="AW133">
        <v>4.1269494295120204</v>
      </c>
      <c r="AX133">
        <v>0</v>
      </c>
      <c r="AY133" t="s">
        <v>56</v>
      </c>
      <c r="AZ133" t="s">
        <v>54</v>
      </c>
      <c r="BA133" t="s">
        <v>583</v>
      </c>
      <c r="BK133" t="s">
        <v>54</v>
      </c>
    </row>
    <row r="134" spans="1:63" hidden="1" x14ac:dyDescent="0.3">
      <c r="A134" t="s">
        <v>643</v>
      </c>
      <c r="B134" t="s">
        <v>98</v>
      </c>
      <c r="C134">
        <v>71132</v>
      </c>
      <c r="D134">
        <v>0</v>
      </c>
      <c r="E134" t="s">
        <v>62</v>
      </c>
      <c r="F134">
        <v>102</v>
      </c>
      <c r="G134" t="s">
        <v>52</v>
      </c>
      <c r="H134">
        <v>1</v>
      </c>
      <c r="J134">
        <v>102</v>
      </c>
      <c r="K134" t="s">
        <v>60</v>
      </c>
      <c r="L134">
        <v>80</v>
      </c>
      <c r="M134" t="s">
        <v>644</v>
      </c>
      <c r="N134" t="s">
        <v>300</v>
      </c>
      <c r="O134" t="s">
        <v>300</v>
      </c>
      <c r="P134" t="s">
        <v>1089</v>
      </c>
      <c r="Q134">
        <v>-84.234335000000002</v>
      </c>
      <c r="R134">
        <v>45.353160000000003</v>
      </c>
      <c r="S134">
        <v>8</v>
      </c>
      <c r="X134">
        <v>75.489999999999995</v>
      </c>
      <c r="Y134">
        <v>18.872499999999999</v>
      </c>
      <c r="Z134">
        <v>58.27</v>
      </c>
      <c r="AA134">
        <v>92.7</v>
      </c>
      <c r="AB134">
        <v>62.69</v>
      </c>
      <c r="AC134">
        <v>15.672499999999999</v>
      </c>
      <c r="AD134">
        <v>62.69</v>
      </c>
      <c r="AE134">
        <v>62.69</v>
      </c>
      <c r="AF134">
        <v>65.290000000000006</v>
      </c>
      <c r="AG134">
        <v>16.322500000000002</v>
      </c>
      <c r="AH134">
        <v>63.69</v>
      </c>
      <c r="AI134">
        <v>66.88</v>
      </c>
      <c r="AJ134">
        <v>74.489999999999995</v>
      </c>
      <c r="AK134">
        <v>18.622499999999999</v>
      </c>
      <c r="AL134">
        <v>69.540000000000006</v>
      </c>
      <c r="AM134">
        <v>79.45</v>
      </c>
      <c r="AO134" s="1"/>
      <c r="AP134" s="1"/>
      <c r="AQ134" t="s">
        <v>215</v>
      </c>
      <c r="AR134" t="s">
        <v>215</v>
      </c>
      <c r="AT134">
        <v>58.218295756147</v>
      </c>
      <c r="AU134" t="s">
        <v>1090</v>
      </c>
      <c r="AV134">
        <v>6.54</v>
      </c>
      <c r="AW134">
        <v>64.861368015408502</v>
      </c>
      <c r="AX134">
        <v>0</v>
      </c>
      <c r="AY134" t="s">
        <v>56</v>
      </c>
      <c r="AZ134" t="s">
        <v>54</v>
      </c>
      <c r="BA134" t="s">
        <v>583</v>
      </c>
      <c r="BC134">
        <v>8</v>
      </c>
      <c r="BD134" t="s">
        <v>432</v>
      </c>
      <c r="BE134" t="s">
        <v>298</v>
      </c>
      <c r="BJ134" t="s">
        <v>54</v>
      </c>
      <c r="BK134" t="s">
        <v>54</v>
      </c>
    </row>
    <row r="135" spans="1:63" hidden="1" x14ac:dyDescent="0.3">
      <c r="A135" t="s">
        <v>738</v>
      </c>
      <c r="B135" t="s">
        <v>98</v>
      </c>
      <c r="C135">
        <v>99062</v>
      </c>
      <c r="D135">
        <v>96</v>
      </c>
      <c r="E135" t="s">
        <v>62</v>
      </c>
      <c r="F135">
        <v>102</v>
      </c>
      <c r="G135" t="s">
        <v>52</v>
      </c>
      <c r="H135">
        <v>7</v>
      </c>
      <c r="J135">
        <v>102</v>
      </c>
      <c r="K135" t="s">
        <v>60</v>
      </c>
      <c r="L135">
        <v>60</v>
      </c>
      <c r="M135" t="s">
        <v>739</v>
      </c>
      <c r="N135" t="s">
        <v>300</v>
      </c>
      <c r="O135" t="s">
        <v>300</v>
      </c>
      <c r="P135" t="s">
        <v>1091</v>
      </c>
      <c r="Q135">
        <v>-84.225686999999994</v>
      </c>
      <c r="R135">
        <v>45.356912000000001</v>
      </c>
      <c r="S135">
        <v>52</v>
      </c>
      <c r="T135">
        <v>3</v>
      </c>
      <c r="U135" t="s">
        <v>307</v>
      </c>
      <c r="V135">
        <v>14</v>
      </c>
      <c r="W135">
        <v>0.70731707317073167</v>
      </c>
      <c r="X135">
        <v>100.58</v>
      </c>
      <c r="Y135">
        <v>25.145</v>
      </c>
      <c r="Z135">
        <v>84.79</v>
      </c>
      <c r="AA135">
        <v>116.37</v>
      </c>
      <c r="AB135">
        <v>104.38</v>
      </c>
      <c r="AC135">
        <v>26.094999999999999</v>
      </c>
      <c r="AD135">
        <v>79.52</v>
      </c>
      <c r="AE135">
        <v>129.24</v>
      </c>
      <c r="AF135">
        <v>88.56</v>
      </c>
      <c r="AG135">
        <v>22.14</v>
      </c>
      <c r="AH135">
        <v>87.28</v>
      </c>
      <c r="AI135">
        <v>89.83</v>
      </c>
      <c r="AJ135">
        <v>87.73</v>
      </c>
      <c r="AK135">
        <v>21.932500000000001</v>
      </c>
      <c r="AL135">
        <v>87.73</v>
      </c>
      <c r="AM135">
        <v>87.73</v>
      </c>
      <c r="AO135" s="1"/>
      <c r="AP135" s="1"/>
      <c r="AQ135" t="s">
        <v>215</v>
      </c>
      <c r="AR135" t="s">
        <v>215</v>
      </c>
      <c r="AT135">
        <v>0.256058998017752</v>
      </c>
      <c r="AU135" t="s">
        <v>1092</v>
      </c>
      <c r="AV135">
        <v>4.0199999999999996</v>
      </c>
      <c r="AW135">
        <v>1.09258650057018</v>
      </c>
      <c r="AX135">
        <v>0</v>
      </c>
      <c r="AY135" t="s">
        <v>56</v>
      </c>
      <c r="AZ135" t="s">
        <v>54</v>
      </c>
      <c r="BA135" t="s">
        <v>583</v>
      </c>
      <c r="BC135">
        <v>52</v>
      </c>
      <c r="BD135" t="s">
        <v>432</v>
      </c>
      <c r="BE135" t="s">
        <v>298</v>
      </c>
      <c r="BJ135" t="s">
        <v>54</v>
      </c>
      <c r="BK135" t="s">
        <v>54</v>
      </c>
    </row>
    <row r="136" spans="1:63" hidden="1" x14ac:dyDescent="0.3">
      <c r="A136" t="s">
        <v>803</v>
      </c>
      <c r="B136" t="s">
        <v>98</v>
      </c>
      <c r="C136">
        <v>71136</v>
      </c>
      <c r="D136">
        <v>0</v>
      </c>
      <c r="E136" t="s">
        <v>63</v>
      </c>
      <c r="F136">
        <v>102</v>
      </c>
      <c r="G136" t="s">
        <v>52</v>
      </c>
      <c r="H136">
        <v>17</v>
      </c>
      <c r="J136">
        <v>102</v>
      </c>
      <c r="K136" t="s">
        <v>60</v>
      </c>
      <c r="L136">
        <v>75</v>
      </c>
      <c r="M136" t="s">
        <v>916</v>
      </c>
      <c r="N136" t="s">
        <v>302</v>
      </c>
      <c r="O136" t="s">
        <v>302</v>
      </c>
      <c r="P136" t="s">
        <v>1093</v>
      </c>
      <c r="Q136">
        <v>-84.229326599999993</v>
      </c>
      <c r="R136">
        <v>45.358266700000001</v>
      </c>
      <c r="X136">
        <v>12.63</v>
      </c>
      <c r="Y136">
        <v>12.63</v>
      </c>
      <c r="Z136">
        <v>11.58</v>
      </c>
      <c r="AA136">
        <v>13.68</v>
      </c>
      <c r="AB136">
        <v>12.7</v>
      </c>
      <c r="AC136">
        <v>12.7</v>
      </c>
      <c r="AD136">
        <v>11.64</v>
      </c>
      <c r="AE136">
        <v>13.76</v>
      </c>
      <c r="AF136">
        <v>12.7</v>
      </c>
      <c r="AG136">
        <v>12.7</v>
      </c>
      <c r="AH136">
        <v>11.64</v>
      </c>
      <c r="AI136">
        <v>13.76</v>
      </c>
      <c r="AJ136">
        <v>16.93</v>
      </c>
      <c r="AK136">
        <v>16.93</v>
      </c>
      <c r="AL136">
        <v>13.76</v>
      </c>
      <c r="AM136">
        <v>20.100000000000001</v>
      </c>
      <c r="AO136" s="1"/>
      <c r="AP136" s="1"/>
      <c r="AQ136" t="s">
        <v>215</v>
      </c>
      <c r="AR136" t="s">
        <v>215</v>
      </c>
      <c r="AT136">
        <v>0.16103912187834199</v>
      </c>
      <c r="AU136" t="s">
        <v>1094</v>
      </c>
      <c r="AV136">
        <v>0.52</v>
      </c>
      <c r="AW136">
        <v>0.48944743350148201</v>
      </c>
      <c r="AX136">
        <v>0</v>
      </c>
      <c r="AY136" t="s">
        <v>56</v>
      </c>
      <c r="AZ136" t="s">
        <v>54</v>
      </c>
      <c r="BA136" t="s">
        <v>583</v>
      </c>
      <c r="BK136" t="s">
        <v>54</v>
      </c>
    </row>
    <row r="137" spans="1:63" hidden="1" x14ac:dyDescent="0.3">
      <c r="A137" t="s">
        <v>804</v>
      </c>
      <c r="B137" t="s">
        <v>98</v>
      </c>
      <c r="C137">
        <v>99126</v>
      </c>
      <c r="D137">
        <v>3</v>
      </c>
      <c r="E137" t="s">
        <v>62</v>
      </c>
      <c r="F137">
        <v>102</v>
      </c>
      <c r="G137" t="s">
        <v>52</v>
      </c>
      <c r="H137">
        <v>10</v>
      </c>
      <c r="J137">
        <v>102</v>
      </c>
      <c r="K137" t="s">
        <v>53</v>
      </c>
      <c r="L137">
        <v>95</v>
      </c>
      <c r="M137" t="s">
        <v>863</v>
      </c>
      <c r="N137" t="s">
        <v>323</v>
      </c>
      <c r="O137" t="s">
        <v>323</v>
      </c>
      <c r="P137" t="s">
        <v>1095</v>
      </c>
      <c r="Q137">
        <v>-83.831066000000007</v>
      </c>
      <c r="R137">
        <v>45.411786999999997</v>
      </c>
      <c r="X137">
        <v>29.13</v>
      </c>
      <c r="Y137">
        <v>14.565</v>
      </c>
      <c r="Z137">
        <v>27.05</v>
      </c>
      <c r="AA137">
        <v>31.21</v>
      </c>
      <c r="AB137">
        <v>24.64</v>
      </c>
      <c r="AC137">
        <v>12.32</v>
      </c>
      <c r="AD137">
        <v>21.59</v>
      </c>
      <c r="AE137">
        <v>27.69</v>
      </c>
      <c r="AF137">
        <v>23.32</v>
      </c>
      <c r="AG137">
        <v>11.66</v>
      </c>
      <c r="AH137">
        <v>21.65</v>
      </c>
      <c r="AI137">
        <v>24.98</v>
      </c>
      <c r="AJ137">
        <v>23.32</v>
      </c>
      <c r="AK137">
        <v>11.66</v>
      </c>
      <c r="AL137">
        <v>21.65</v>
      </c>
      <c r="AM137">
        <v>24.98</v>
      </c>
      <c r="AO137" s="1"/>
      <c r="AP137" s="1"/>
      <c r="AQ137" t="s">
        <v>215</v>
      </c>
      <c r="AR137" t="s">
        <v>215</v>
      </c>
      <c r="AT137">
        <v>21.908653107453301</v>
      </c>
      <c r="AU137" t="s">
        <v>1096</v>
      </c>
      <c r="AV137">
        <v>2.96</v>
      </c>
      <c r="AW137">
        <v>23.523628972470799</v>
      </c>
      <c r="AX137">
        <v>0</v>
      </c>
      <c r="AY137" t="s">
        <v>56</v>
      </c>
      <c r="AZ137" t="s">
        <v>54</v>
      </c>
      <c r="BA137" t="s">
        <v>583</v>
      </c>
      <c r="BK137" t="s">
        <v>54</v>
      </c>
    </row>
    <row r="138" spans="1:63" hidden="1" x14ac:dyDescent="0.3">
      <c r="A138" t="s">
        <v>865</v>
      </c>
      <c r="B138" t="s">
        <v>98</v>
      </c>
      <c r="C138">
        <v>73404</v>
      </c>
      <c r="D138">
        <v>2</v>
      </c>
      <c r="E138" t="s">
        <v>64</v>
      </c>
      <c r="F138">
        <v>102</v>
      </c>
      <c r="G138" t="s">
        <v>52</v>
      </c>
      <c r="H138">
        <v>14</v>
      </c>
      <c r="J138">
        <v>102</v>
      </c>
      <c r="K138" t="s">
        <v>53</v>
      </c>
      <c r="L138">
        <v>110</v>
      </c>
      <c r="M138" t="s">
        <v>866</v>
      </c>
      <c r="N138" t="s">
        <v>303</v>
      </c>
      <c r="O138" t="s">
        <v>303</v>
      </c>
      <c r="P138" t="s">
        <v>1097</v>
      </c>
      <c r="Q138">
        <v>-83.826890000000006</v>
      </c>
      <c r="R138">
        <v>45.411073000000002</v>
      </c>
      <c r="X138">
        <v>53.69</v>
      </c>
      <c r="Y138">
        <v>26.844999999999999</v>
      </c>
      <c r="Z138">
        <v>36.840000000000003</v>
      </c>
      <c r="AA138">
        <v>70.55</v>
      </c>
      <c r="AB138">
        <v>53.26</v>
      </c>
      <c r="AC138">
        <v>26.63</v>
      </c>
      <c r="AD138">
        <v>34.17</v>
      </c>
      <c r="AE138">
        <v>72.34</v>
      </c>
      <c r="AF138">
        <v>40.380000000000003</v>
      </c>
      <c r="AG138">
        <v>20.190000000000001</v>
      </c>
      <c r="AH138">
        <v>26.36</v>
      </c>
      <c r="AI138">
        <v>54.4</v>
      </c>
      <c r="AJ138">
        <v>25.15</v>
      </c>
      <c r="AK138">
        <v>12.574999999999999</v>
      </c>
      <c r="AL138">
        <v>23.36</v>
      </c>
      <c r="AM138">
        <v>26.95</v>
      </c>
      <c r="AO138" s="1"/>
      <c r="AP138" s="1"/>
      <c r="AQ138" t="s">
        <v>215</v>
      </c>
      <c r="AR138" t="s">
        <v>215</v>
      </c>
      <c r="AT138">
        <v>0.13951906704141201</v>
      </c>
      <c r="AU138" t="s">
        <v>1098</v>
      </c>
      <c r="AV138">
        <v>10.6</v>
      </c>
      <c r="AW138">
        <v>0.41844411753117999</v>
      </c>
      <c r="AX138">
        <v>0</v>
      </c>
      <c r="AY138" t="s">
        <v>56</v>
      </c>
      <c r="AZ138" t="s">
        <v>54</v>
      </c>
      <c r="BA138" t="s">
        <v>583</v>
      </c>
      <c r="BK138" t="s">
        <v>54</v>
      </c>
    </row>
    <row r="139" spans="1:63" hidden="1" x14ac:dyDescent="0.3">
      <c r="A139" t="s">
        <v>645</v>
      </c>
      <c r="B139" t="s">
        <v>98</v>
      </c>
      <c r="C139">
        <v>71145</v>
      </c>
      <c r="D139">
        <v>0</v>
      </c>
      <c r="E139" t="s">
        <v>62</v>
      </c>
      <c r="F139">
        <v>102</v>
      </c>
      <c r="G139" t="s">
        <v>53</v>
      </c>
      <c r="H139">
        <v>30</v>
      </c>
      <c r="J139">
        <v>102</v>
      </c>
      <c r="K139" t="s">
        <v>52</v>
      </c>
      <c r="L139">
        <v>205</v>
      </c>
      <c r="M139" t="s">
        <v>646</v>
      </c>
      <c r="N139" t="s">
        <v>300</v>
      </c>
      <c r="O139" t="s">
        <v>300</v>
      </c>
      <c r="P139" t="s">
        <v>1099</v>
      </c>
      <c r="Q139">
        <v>-83.888644999999997</v>
      </c>
      <c r="R139">
        <v>45.467345000000002</v>
      </c>
      <c r="S139">
        <v>44</v>
      </c>
      <c r="T139">
        <v>2</v>
      </c>
      <c r="U139" t="s">
        <v>310</v>
      </c>
      <c r="V139">
        <v>21</v>
      </c>
      <c r="W139">
        <v>0.54545454545454541</v>
      </c>
      <c r="X139">
        <v>87.05</v>
      </c>
      <c r="Y139">
        <v>21.762499999999999</v>
      </c>
      <c r="Z139">
        <v>82.08</v>
      </c>
      <c r="AA139">
        <v>92.01</v>
      </c>
      <c r="AB139">
        <v>67.19</v>
      </c>
      <c r="AC139">
        <v>16.797499999999999</v>
      </c>
      <c r="AD139">
        <v>60.52</v>
      </c>
      <c r="AE139">
        <v>73.86</v>
      </c>
      <c r="AF139">
        <v>78.83</v>
      </c>
      <c r="AG139">
        <v>19.7075</v>
      </c>
      <c r="AH139">
        <v>72.150000000000006</v>
      </c>
      <c r="AI139">
        <v>85.5</v>
      </c>
      <c r="AJ139">
        <v>83.15</v>
      </c>
      <c r="AK139">
        <v>20.787500000000001</v>
      </c>
      <c r="AL139">
        <v>75.260000000000005</v>
      </c>
      <c r="AM139">
        <v>91.05</v>
      </c>
      <c r="AO139" s="1"/>
      <c r="AP139" s="1"/>
      <c r="AQ139" t="s">
        <v>215</v>
      </c>
      <c r="AR139" t="s">
        <v>215</v>
      </c>
      <c r="AT139">
        <v>35.345022493014703</v>
      </c>
      <c r="AU139" t="s">
        <v>1100</v>
      </c>
      <c r="AV139">
        <v>7.6</v>
      </c>
      <c r="AW139">
        <v>35.755703730508699</v>
      </c>
      <c r="AX139">
        <v>0</v>
      </c>
      <c r="AY139" t="s">
        <v>56</v>
      </c>
      <c r="AZ139" t="s">
        <v>54</v>
      </c>
      <c r="BA139" t="s">
        <v>583</v>
      </c>
      <c r="BC139">
        <v>44</v>
      </c>
      <c r="BD139" t="s">
        <v>212</v>
      </c>
      <c r="BE139" t="s">
        <v>299</v>
      </c>
      <c r="BK139" t="s">
        <v>54</v>
      </c>
    </row>
    <row r="140" spans="1:63" hidden="1" x14ac:dyDescent="0.3">
      <c r="A140" t="s">
        <v>617</v>
      </c>
      <c r="B140" t="s">
        <v>98</v>
      </c>
      <c r="C140">
        <v>71146</v>
      </c>
      <c r="D140">
        <v>0</v>
      </c>
      <c r="E140" t="s">
        <v>62</v>
      </c>
      <c r="F140">
        <v>102</v>
      </c>
      <c r="G140" t="s">
        <v>52</v>
      </c>
      <c r="H140">
        <v>12</v>
      </c>
      <c r="J140">
        <v>102</v>
      </c>
      <c r="K140" t="s">
        <v>53</v>
      </c>
      <c r="L140">
        <v>90</v>
      </c>
      <c r="M140" t="s">
        <v>618</v>
      </c>
      <c r="N140" t="s">
        <v>300</v>
      </c>
      <c r="O140" t="s">
        <v>300</v>
      </c>
      <c r="P140" t="s">
        <v>1101</v>
      </c>
      <c r="Q140">
        <v>-83.827957999999995</v>
      </c>
      <c r="R140">
        <v>45.413195999999999</v>
      </c>
      <c r="S140">
        <v>35</v>
      </c>
      <c r="T140">
        <v>3</v>
      </c>
      <c r="U140" t="s">
        <v>315</v>
      </c>
      <c r="V140">
        <v>1</v>
      </c>
      <c r="W140">
        <v>0.95918367346938771</v>
      </c>
      <c r="X140">
        <v>39.409999999999997</v>
      </c>
      <c r="Y140">
        <v>9.8524999999999991</v>
      </c>
      <c r="Z140">
        <v>33.58</v>
      </c>
      <c r="AA140">
        <v>45.23</v>
      </c>
      <c r="AB140">
        <v>48.3</v>
      </c>
      <c r="AC140">
        <v>12.074999999999999</v>
      </c>
      <c r="AD140">
        <v>41.27</v>
      </c>
      <c r="AE140">
        <v>55.34</v>
      </c>
      <c r="AF140">
        <v>52.34</v>
      </c>
      <c r="AG140">
        <v>13.085000000000001</v>
      </c>
      <c r="AH140">
        <v>46.34</v>
      </c>
      <c r="AI140">
        <v>58.34</v>
      </c>
      <c r="AJ140">
        <v>46.28</v>
      </c>
      <c r="AK140">
        <v>11.57</v>
      </c>
      <c r="AL140">
        <v>37.5</v>
      </c>
      <c r="AM140">
        <v>55.07</v>
      </c>
      <c r="AO140" s="1"/>
      <c r="AP140" s="1"/>
      <c r="AQ140" t="s">
        <v>215</v>
      </c>
      <c r="AR140" t="s">
        <v>215</v>
      </c>
      <c r="AT140">
        <v>8.3801353810921797E-2</v>
      </c>
      <c r="AU140" t="s">
        <v>1102</v>
      </c>
      <c r="AV140">
        <v>3.92</v>
      </c>
      <c r="AW140">
        <v>0.141094515100121</v>
      </c>
      <c r="AX140">
        <v>0</v>
      </c>
      <c r="AY140" t="s">
        <v>56</v>
      </c>
      <c r="AZ140" t="s">
        <v>54</v>
      </c>
      <c r="BA140" t="s">
        <v>583</v>
      </c>
      <c r="BC140">
        <v>35</v>
      </c>
      <c r="BD140" t="s">
        <v>434</v>
      </c>
      <c r="BE140" t="s">
        <v>303</v>
      </c>
      <c r="BF140" t="s">
        <v>60</v>
      </c>
      <c r="BI140" t="s">
        <v>54</v>
      </c>
      <c r="BK140" t="s">
        <v>54</v>
      </c>
    </row>
    <row r="141" spans="1:63" hidden="1" x14ac:dyDescent="0.3">
      <c r="A141" t="s">
        <v>805</v>
      </c>
      <c r="B141" t="s">
        <v>98</v>
      </c>
      <c r="C141">
        <v>71148</v>
      </c>
      <c r="D141">
        <v>0</v>
      </c>
      <c r="E141" t="s">
        <v>62</v>
      </c>
      <c r="F141">
        <v>102</v>
      </c>
      <c r="G141" t="s">
        <v>52</v>
      </c>
      <c r="H141">
        <v>23</v>
      </c>
      <c r="J141">
        <v>102</v>
      </c>
      <c r="K141" t="s">
        <v>53</v>
      </c>
      <c r="L141">
        <v>165</v>
      </c>
      <c r="M141" t="s">
        <v>867</v>
      </c>
      <c r="N141" t="s">
        <v>323</v>
      </c>
      <c r="O141" t="s">
        <v>323</v>
      </c>
      <c r="P141" t="s">
        <v>1103</v>
      </c>
      <c r="Q141">
        <v>-83.825186090000003</v>
      </c>
      <c r="R141">
        <v>45.425340220000002</v>
      </c>
      <c r="X141">
        <v>32.82</v>
      </c>
      <c r="Y141">
        <v>16.41</v>
      </c>
      <c r="Z141">
        <v>22.22</v>
      </c>
      <c r="AA141">
        <v>43.41</v>
      </c>
      <c r="AB141">
        <v>33.880000000000003</v>
      </c>
      <c r="AC141">
        <v>16.940000000000001</v>
      </c>
      <c r="AD141">
        <v>26.76</v>
      </c>
      <c r="AE141">
        <v>41.01</v>
      </c>
      <c r="AF141">
        <v>41.15</v>
      </c>
      <c r="AG141">
        <v>20.574999999999999</v>
      </c>
      <c r="AH141">
        <v>34.5</v>
      </c>
      <c r="AI141">
        <v>47.8</v>
      </c>
      <c r="AJ141">
        <v>32.1</v>
      </c>
      <c r="AK141">
        <v>16.05</v>
      </c>
      <c r="AL141">
        <v>22.78</v>
      </c>
      <c r="AM141">
        <v>41.42</v>
      </c>
      <c r="AO141" s="1"/>
      <c r="AP141" s="1"/>
      <c r="AQ141" t="s">
        <v>215</v>
      </c>
      <c r="AR141" t="s">
        <v>215</v>
      </c>
      <c r="AT141">
        <v>0.78227104849372797</v>
      </c>
      <c r="AU141" t="s">
        <v>1104</v>
      </c>
      <c r="AV141">
        <v>1.9</v>
      </c>
      <c r="AW141">
        <v>2.0785676985979098</v>
      </c>
      <c r="AX141">
        <v>0</v>
      </c>
      <c r="AY141" t="s">
        <v>56</v>
      </c>
      <c r="AZ141" t="s">
        <v>54</v>
      </c>
      <c r="BA141" t="s">
        <v>583</v>
      </c>
      <c r="BK141" t="s">
        <v>54</v>
      </c>
    </row>
    <row r="142" spans="1:63" hidden="1" x14ac:dyDescent="0.3">
      <c r="A142" t="s">
        <v>840</v>
      </c>
      <c r="B142" t="s">
        <v>98</v>
      </c>
      <c r="C142">
        <v>71149</v>
      </c>
      <c r="D142">
        <v>0</v>
      </c>
      <c r="E142" t="s">
        <v>63</v>
      </c>
      <c r="F142">
        <v>102</v>
      </c>
      <c r="G142" t="s">
        <v>60</v>
      </c>
      <c r="H142">
        <v>13</v>
      </c>
      <c r="J142">
        <v>102</v>
      </c>
      <c r="K142" t="s">
        <v>59</v>
      </c>
      <c r="L142">
        <v>200</v>
      </c>
      <c r="M142" t="s">
        <v>905</v>
      </c>
      <c r="N142" t="s">
        <v>298</v>
      </c>
      <c r="O142" t="s">
        <v>298</v>
      </c>
      <c r="P142" t="s">
        <v>1105</v>
      </c>
      <c r="Q142">
        <v>-83.783114999999995</v>
      </c>
      <c r="R142">
        <v>45.369473999999997</v>
      </c>
      <c r="X142">
        <v>13.7</v>
      </c>
      <c r="Y142">
        <v>13.7</v>
      </c>
      <c r="Z142">
        <v>11.14</v>
      </c>
      <c r="AA142">
        <v>16.27</v>
      </c>
      <c r="AB142">
        <v>10.57</v>
      </c>
      <c r="AC142">
        <v>10.57</v>
      </c>
      <c r="AD142">
        <v>9.69</v>
      </c>
      <c r="AE142">
        <v>11.45</v>
      </c>
      <c r="AF142">
        <v>10.98</v>
      </c>
      <c r="AG142">
        <v>10.98</v>
      </c>
      <c r="AH142">
        <v>10.06</v>
      </c>
      <c r="AI142">
        <v>11.89</v>
      </c>
      <c r="AJ142">
        <v>10.98</v>
      </c>
      <c r="AK142">
        <v>10.98</v>
      </c>
      <c r="AL142">
        <v>10.06</v>
      </c>
      <c r="AM142">
        <v>11.89</v>
      </c>
      <c r="AO142" s="1"/>
      <c r="AP142" s="1"/>
      <c r="AQ142" t="s">
        <v>215</v>
      </c>
      <c r="AR142" t="s">
        <v>215</v>
      </c>
      <c r="AT142">
        <v>9.7071852403011096</v>
      </c>
      <c r="AU142" t="s">
        <v>1106</v>
      </c>
      <c r="AV142">
        <v>1.1499999999999999</v>
      </c>
      <c r="AW142">
        <v>9.8303344920277596</v>
      </c>
      <c r="AX142">
        <v>0</v>
      </c>
      <c r="AY142" t="s">
        <v>56</v>
      </c>
      <c r="AZ142" t="s">
        <v>54</v>
      </c>
      <c r="BA142" t="s">
        <v>583</v>
      </c>
      <c r="BK142" t="s">
        <v>54</v>
      </c>
    </row>
    <row r="143" spans="1:63" hidden="1" x14ac:dyDescent="0.3">
      <c r="A143" t="s">
        <v>806</v>
      </c>
      <c r="B143" t="s">
        <v>98</v>
      </c>
      <c r="C143">
        <v>99047</v>
      </c>
      <c r="D143">
        <v>8</v>
      </c>
      <c r="E143" t="s">
        <v>62</v>
      </c>
      <c r="F143">
        <v>102</v>
      </c>
      <c r="G143" t="s">
        <v>52</v>
      </c>
      <c r="H143">
        <v>25</v>
      </c>
      <c r="J143">
        <v>102</v>
      </c>
      <c r="K143" t="s">
        <v>53</v>
      </c>
      <c r="L143">
        <v>140</v>
      </c>
      <c r="M143" t="s">
        <v>868</v>
      </c>
      <c r="N143" t="s">
        <v>302</v>
      </c>
      <c r="O143" t="s">
        <v>302</v>
      </c>
      <c r="P143" t="s">
        <v>1107</v>
      </c>
      <c r="Q143">
        <v>-83.820820999999995</v>
      </c>
      <c r="R143">
        <v>45.424323999999999</v>
      </c>
      <c r="X143">
        <v>36.18</v>
      </c>
      <c r="Y143">
        <v>36.18</v>
      </c>
      <c r="Z143">
        <v>33.17</v>
      </c>
      <c r="AA143">
        <v>39.200000000000003</v>
      </c>
      <c r="AB143">
        <v>36.74</v>
      </c>
      <c r="AC143">
        <v>36.74</v>
      </c>
      <c r="AD143">
        <v>33.68</v>
      </c>
      <c r="AE143">
        <v>39.799999999999997</v>
      </c>
      <c r="AF143">
        <v>38.29</v>
      </c>
      <c r="AG143">
        <v>38.29</v>
      </c>
      <c r="AH143">
        <v>35.1</v>
      </c>
      <c r="AI143">
        <v>41.48</v>
      </c>
      <c r="AJ143">
        <v>54.07</v>
      </c>
      <c r="AK143">
        <v>54.07</v>
      </c>
      <c r="AL143">
        <v>43.93</v>
      </c>
      <c r="AM143">
        <v>64.209999999999994</v>
      </c>
      <c r="AO143" s="1"/>
      <c r="AP143" s="1"/>
      <c r="AQ143" t="s">
        <v>215</v>
      </c>
      <c r="AR143" t="s">
        <v>215</v>
      </c>
      <c r="AT143">
        <v>7.2489511498248102E-2</v>
      </c>
      <c r="AU143" t="s">
        <v>1108</v>
      </c>
      <c r="AV143">
        <v>13.17</v>
      </c>
      <c r="AW143">
        <v>0.16138567030429801</v>
      </c>
      <c r="AX143">
        <v>0</v>
      </c>
      <c r="AY143" t="s">
        <v>56</v>
      </c>
      <c r="AZ143" t="s">
        <v>54</v>
      </c>
      <c r="BA143" t="s">
        <v>583</v>
      </c>
      <c r="BK143" t="s">
        <v>54</v>
      </c>
    </row>
    <row r="144" spans="1:63" hidden="1" x14ac:dyDescent="0.3">
      <c r="A144" t="s">
        <v>619</v>
      </c>
      <c r="B144" t="s">
        <v>98</v>
      </c>
      <c r="C144">
        <v>99061</v>
      </c>
      <c r="D144">
        <v>112</v>
      </c>
      <c r="E144" t="s">
        <v>57</v>
      </c>
      <c r="F144">
        <v>102</v>
      </c>
      <c r="G144" t="s">
        <v>52</v>
      </c>
      <c r="H144">
        <v>19</v>
      </c>
      <c r="J144">
        <v>102</v>
      </c>
      <c r="K144" t="s">
        <v>53</v>
      </c>
      <c r="L144">
        <v>75</v>
      </c>
      <c r="M144" t="s">
        <v>620</v>
      </c>
      <c r="N144" t="s">
        <v>300</v>
      </c>
      <c r="O144" t="s">
        <v>300</v>
      </c>
      <c r="P144" t="s">
        <v>954</v>
      </c>
      <c r="Q144">
        <v>-83.825068000000002</v>
      </c>
      <c r="R144">
        <v>45.412883000000001</v>
      </c>
      <c r="S144">
        <v>29</v>
      </c>
      <c r="T144">
        <v>3</v>
      </c>
      <c r="U144" t="s">
        <v>362</v>
      </c>
      <c r="V144">
        <v>1</v>
      </c>
      <c r="W144">
        <v>0.95</v>
      </c>
      <c r="X144">
        <v>77.180000000000007</v>
      </c>
      <c r="Y144">
        <v>19.295000000000002</v>
      </c>
      <c r="Z144">
        <v>69.069999999999993</v>
      </c>
      <c r="AA144">
        <v>85.29</v>
      </c>
      <c r="AB144">
        <v>68.23</v>
      </c>
      <c r="AC144">
        <v>17.057500000000001</v>
      </c>
      <c r="AD144">
        <v>45</v>
      </c>
      <c r="AE144">
        <v>91.47</v>
      </c>
      <c r="AF144">
        <v>78.069999999999993</v>
      </c>
      <c r="AG144">
        <v>19.517499999999998</v>
      </c>
      <c r="AH144">
        <v>61.78</v>
      </c>
      <c r="AI144">
        <v>94.37</v>
      </c>
      <c r="AJ144">
        <v>103.18</v>
      </c>
      <c r="AK144">
        <v>25.795000000000002</v>
      </c>
      <c r="AL144">
        <v>68.13</v>
      </c>
      <c r="AM144">
        <v>138.22</v>
      </c>
      <c r="AO144" s="1"/>
      <c r="AP144" s="1"/>
      <c r="AQ144" t="s">
        <v>215</v>
      </c>
      <c r="AR144" t="s">
        <v>215</v>
      </c>
      <c r="AT144">
        <v>0.26841110104659599</v>
      </c>
      <c r="AU144" t="s">
        <v>1109</v>
      </c>
      <c r="AV144">
        <v>22.75</v>
      </c>
      <c r="AW144">
        <v>1.0526338424533599</v>
      </c>
      <c r="AX144">
        <v>0</v>
      </c>
      <c r="AY144" t="s">
        <v>56</v>
      </c>
      <c r="AZ144" t="s">
        <v>54</v>
      </c>
      <c r="BA144" t="s">
        <v>583</v>
      </c>
      <c r="BC144">
        <v>29</v>
      </c>
      <c r="BD144" t="s">
        <v>434</v>
      </c>
      <c r="BE144" t="s">
        <v>303</v>
      </c>
      <c r="BF144" t="s">
        <v>60</v>
      </c>
      <c r="BI144" t="s">
        <v>54</v>
      </c>
      <c r="BK144" t="s">
        <v>54</v>
      </c>
    </row>
    <row r="145" spans="1:63" hidden="1" x14ac:dyDescent="0.3">
      <c r="A145" t="s">
        <v>621</v>
      </c>
      <c r="B145" t="s">
        <v>98</v>
      </c>
      <c r="C145">
        <v>71159</v>
      </c>
      <c r="D145">
        <v>0</v>
      </c>
      <c r="E145" t="s">
        <v>62</v>
      </c>
      <c r="F145">
        <v>102</v>
      </c>
      <c r="G145" t="s">
        <v>52</v>
      </c>
      <c r="H145">
        <v>21</v>
      </c>
      <c r="J145">
        <v>102</v>
      </c>
      <c r="K145" t="s">
        <v>53</v>
      </c>
      <c r="L145">
        <v>125</v>
      </c>
      <c r="M145" t="s">
        <v>622</v>
      </c>
      <c r="N145" t="s">
        <v>300</v>
      </c>
      <c r="O145" t="s">
        <v>300</v>
      </c>
      <c r="P145" t="s">
        <v>1110</v>
      </c>
      <c r="Q145">
        <v>-83.831487999999993</v>
      </c>
      <c r="R145">
        <v>45.420216000000003</v>
      </c>
      <c r="S145">
        <v>122</v>
      </c>
      <c r="T145">
        <v>6</v>
      </c>
      <c r="U145" t="s">
        <v>558</v>
      </c>
      <c r="V145">
        <v>21</v>
      </c>
      <c r="W145">
        <v>0.81967213114754101</v>
      </c>
      <c r="X145">
        <v>165.67</v>
      </c>
      <c r="Y145">
        <v>41.417499999999997</v>
      </c>
      <c r="Z145">
        <v>122.9</v>
      </c>
      <c r="AA145">
        <v>208.43</v>
      </c>
      <c r="AB145">
        <v>171.53</v>
      </c>
      <c r="AC145">
        <v>42.8825</v>
      </c>
      <c r="AD145">
        <v>114.85</v>
      </c>
      <c r="AE145">
        <v>228.2</v>
      </c>
      <c r="AF145">
        <v>196.11</v>
      </c>
      <c r="AG145">
        <v>49.027500000000003</v>
      </c>
      <c r="AH145">
        <v>155.11000000000001</v>
      </c>
      <c r="AI145">
        <v>237.11</v>
      </c>
      <c r="AJ145">
        <v>220.39</v>
      </c>
      <c r="AK145">
        <v>55.097499999999997</v>
      </c>
      <c r="AL145">
        <v>174.41</v>
      </c>
      <c r="AM145">
        <v>266.36</v>
      </c>
      <c r="AO145" s="1"/>
      <c r="AP145" s="1"/>
      <c r="AQ145" t="s">
        <v>215</v>
      </c>
      <c r="AR145" t="s">
        <v>215</v>
      </c>
      <c r="AT145">
        <v>0.191631293155648</v>
      </c>
      <c r="AU145" t="s">
        <v>1111</v>
      </c>
      <c r="AV145">
        <v>9.15</v>
      </c>
      <c r="AW145">
        <v>0.35590861923992601</v>
      </c>
      <c r="AX145">
        <v>0</v>
      </c>
      <c r="AY145" t="s">
        <v>56</v>
      </c>
      <c r="AZ145" t="s">
        <v>54</v>
      </c>
      <c r="BA145" t="s">
        <v>583</v>
      </c>
      <c r="BC145">
        <v>122</v>
      </c>
      <c r="BD145" t="s">
        <v>434</v>
      </c>
      <c r="BE145" t="s">
        <v>303</v>
      </c>
      <c r="BF145" t="s">
        <v>60</v>
      </c>
      <c r="BI145" t="s">
        <v>54</v>
      </c>
      <c r="BK145" t="s">
        <v>54</v>
      </c>
    </row>
    <row r="146" spans="1:63" hidden="1" x14ac:dyDescent="0.3">
      <c r="A146" t="s">
        <v>871</v>
      </c>
      <c r="B146" t="s">
        <v>98</v>
      </c>
      <c r="C146">
        <v>71160</v>
      </c>
      <c r="D146">
        <v>0</v>
      </c>
      <c r="E146" t="s">
        <v>57</v>
      </c>
      <c r="F146">
        <v>102</v>
      </c>
      <c r="G146" t="s">
        <v>60</v>
      </c>
      <c r="H146">
        <v>11</v>
      </c>
      <c r="J146">
        <v>102</v>
      </c>
      <c r="K146" t="s">
        <v>53</v>
      </c>
      <c r="L146">
        <v>60</v>
      </c>
      <c r="M146" t="s">
        <v>872</v>
      </c>
      <c r="N146" t="s">
        <v>303</v>
      </c>
      <c r="O146" t="s">
        <v>303</v>
      </c>
      <c r="P146" t="s">
        <v>1112</v>
      </c>
      <c r="Q146">
        <v>-83.814533499999996</v>
      </c>
      <c r="R146">
        <v>45.409994500000003</v>
      </c>
      <c r="X146">
        <v>54.92</v>
      </c>
      <c r="Y146">
        <v>27.46</v>
      </c>
      <c r="Z146">
        <v>50.05</v>
      </c>
      <c r="AA146">
        <v>59.79</v>
      </c>
      <c r="AB146">
        <v>61.75</v>
      </c>
      <c r="AC146">
        <v>30.875</v>
      </c>
      <c r="AD146">
        <v>54.85</v>
      </c>
      <c r="AE146">
        <v>68.64</v>
      </c>
      <c r="AF146">
        <v>57.6</v>
      </c>
      <c r="AG146">
        <v>28.8</v>
      </c>
      <c r="AH146">
        <v>52.8</v>
      </c>
      <c r="AI146">
        <v>62.4</v>
      </c>
      <c r="AJ146">
        <v>65.5</v>
      </c>
      <c r="AK146">
        <v>32.75</v>
      </c>
      <c r="AL146">
        <v>59.41</v>
      </c>
      <c r="AM146">
        <v>71.58</v>
      </c>
      <c r="AO146" s="1"/>
      <c r="AP146" s="1"/>
      <c r="AQ146" t="s">
        <v>215</v>
      </c>
      <c r="AR146" t="s">
        <v>215</v>
      </c>
      <c r="AT146">
        <v>1.8696801637312399</v>
      </c>
      <c r="AU146" t="s">
        <v>1113</v>
      </c>
      <c r="AV146">
        <v>5.13</v>
      </c>
      <c r="AW146">
        <v>7.5243135038763302</v>
      </c>
      <c r="AX146">
        <v>0</v>
      </c>
      <c r="AY146" t="s">
        <v>56</v>
      </c>
      <c r="AZ146" t="s">
        <v>54</v>
      </c>
      <c r="BA146" t="s">
        <v>583</v>
      </c>
      <c r="BK146" t="s">
        <v>54</v>
      </c>
    </row>
    <row r="147" spans="1:63" hidden="1" x14ac:dyDescent="0.3">
      <c r="A147" t="s">
        <v>623</v>
      </c>
      <c r="B147" t="s">
        <v>98</v>
      </c>
      <c r="C147">
        <v>71161</v>
      </c>
      <c r="D147">
        <v>0</v>
      </c>
      <c r="E147" t="s">
        <v>62</v>
      </c>
      <c r="F147">
        <v>102</v>
      </c>
      <c r="G147" t="s">
        <v>52</v>
      </c>
      <c r="H147">
        <v>27</v>
      </c>
      <c r="J147">
        <v>102</v>
      </c>
      <c r="K147" t="s">
        <v>53</v>
      </c>
      <c r="L147">
        <v>145</v>
      </c>
      <c r="M147" t="s">
        <v>624</v>
      </c>
      <c r="N147" t="s">
        <v>300</v>
      </c>
      <c r="O147" t="s">
        <v>300</v>
      </c>
      <c r="P147" t="s">
        <v>1114</v>
      </c>
      <c r="Q147">
        <v>-83.819706999999994</v>
      </c>
      <c r="R147">
        <v>45.422753999999998</v>
      </c>
      <c r="S147">
        <v>2</v>
      </c>
      <c r="X147">
        <v>125.91</v>
      </c>
      <c r="Y147">
        <v>31.477499999999999</v>
      </c>
      <c r="Z147">
        <v>110.7</v>
      </c>
      <c r="AA147">
        <v>141.12</v>
      </c>
      <c r="AB147">
        <v>129.32</v>
      </c>
      <c r="AC147">
        <v>32.33</v>
      </c>
      <c r="AD147">
        <v>117.74</v>
      </c>
      <c r="AE147">
        <v>140.91</v>
      </c>
      <c r="AF147">
        <v>163</v>
      </c>
      <c r="AG147">
        <v>40.75</v>
      </c>
      <c r="AH147">
        <v>136.79</v>
      </c>
      <c r="AI147">
        <v>189.2</v>
      </c>
      <c r="AJ147">
        <v>197.56</v>
      </c>
      <c r="AK147">
        <v>49.39</v>
      </c>
      <c r="AL147">
        <v>170.22</v>
      </c>
      <c r="AM147">
        <v>224.9</v>
      </c>
      <c r="AO147" s="1"/>
      <c r="AP147" s="1"/>
      <c r="AQ147" t="s">
        <v>215</v>
      </c>
      <c r="AR147" t="s">
        <v>215</v>
      </c>
      <c r="AT147">
        <v>4.3244614817051101E-2</v>
      </c>
      <c r="AU147" t="s">
        <v>1115</v>
      </c>
      <c r="AV147">
        <v>12.73</v>
      </c>
      <c r="AW147">
        <v>0.212141454219818</v>
      </c>
      <c r="AX147">
        <v>0</v>
      </c>
      <c r="AY147" t="s">
        <v>56</v>
      </c>
      <c r="AZ147" t="s">
        <v>54</v>
      </c>
      <c r="BA147" t="s">
        <v>583</v>
      </c>
      <c r="BC147">
        <v>2</v>
      </c>
      <c r="BD147" t="s">
        <v>434</v>
      </c>
      <c r="BE147" t="s">
        <v>303</v>
      </c>
      <c r="BF147" t="s">
        <v>60</v>
      </c>
      <c r="BI147" t="s">
        <v>54</v>
      </c>
      <c r="BK147" t="s">
        <v>54</v>
      </c>
    </row>
    <row r="148" spans="1:63" hidden="1" x14ac:dyDescent="0.3">
      <c r="A148" t="s">
        <v>625</v>
      </c>
      <c r="B148" t="s">
        <v>98</v>
      </c>
      <c r="C148">
        <v>71163</v>
      </c>
      <c r="D148">
        <v>0</v>
      </c>
      <c r="E148" t="s">
        <v>57</v>
      </c>
      <c r="F148">
        <v>102</v>
      </c>
      <c r="G148" t="s">
        <v>52</v>
      </c>
      <c r="H148">
        <v>21</v>
      </c>
      <c r="J148">
        <v>102</v>
      </c>
      <c r="K148" t="s">
        <v>53</v>
      </c>
      <c r="L148">
        <v>85</v>
      </c>
      <c r="M148" t="s">
        <v>626</v>
      </c>
      <c r="N148" t="s">
        <v>300</v>
      </c>
      <c r="O148" t="s">
        <v>300</v>
      </c>
      <c r="P148" t="s">
        <v>1116</v>
      </c>
      <c r="Q148">
        <v>-83.826581000000004</v>
      </c>
      <c r="R148">
        <v>45.413888999999998</v>
      </c>
      <c r="S148">
        <v>22</v>
      </c>
      <c r="T148">
        <v>1</v>
      </c>
      <c r="U148" t="s">
        <v>205</v>
      </c>
      <c r="V148">
        <v>11</v>
      </c>
      <c r="W148">
        <v>0.45454545454545453</v>
      </c>
      <c r="X148">
        <v>58.28</v>
      </c>
      <c r="Y148">
        <v>14.57</v>
      </c>
      <c r="Z148">
        <v>52.59</v>
      </c>
      <c r="AA148">
        <v>63.98</v>
      </c>
      <c r="AB148">
        <v>58.76</v>
      </c>
      <c r="AC148">
        <v>14.69</v>
      </c>
      <c r="AD148">
        <v>51.68</v>
      </c>
      <c r="AE148">
        <v>65.84</v>
      </c>
      <c r="AF148">
        <v>61.03</v>
      </c>
      <c r="AG148">
        <v>15.2575</v>
      </c>
      <c r="AH148">
        <v>53.91</v>
      </c>
      <c r="AI148">
        <v>68.150000000000006</v>
      </c>
      <c r="AJ148">
        <v>62.08</v>
      </c>
      <c r="AK148">
        <v>15.52</v>
      </c>
      <c r="AL148">
        <v>57.64</v>
      </c>
      <c r="AM148">
        <v>66.510000000000005</v>
      </c>
      <c r="AO148" s="1"/>
      <c r="AP148" s="1"/>
      <c r="AQ148" t="s">
        <v>215</v>
      </c>
      <c r="AR148" t="s">
        <v>215</v>
      </c>
      <c r="AT148">
        <v>0.11218424484639899</v>
      </c>
      <c r="AU148" t="s">
        <v>1117</v>
      </c>
      <c r="AV148">
        <v>2.82</v>
      </c>
      <c r="AW148">
        <v>0.75345359742641405</v>
      </c>
      <c r="AX148">
        <v>0</v>
      </c>
      <c r="AY148" t="s">
        <v>56</v>
      </c>
      <c r="AZ148" t="s">
        <v>54</v>
      </c>
      <c r="BA148" t="s">
        <v>583</v>
      </c>
      <c r="BC148">
        <v>22</v>
      </c>
      <c r="BD148" t="s">
        <v>434</v>
      </c>
      <c r="BE148" t="s">
        <v>303</v>
      </c>
      <c r="BF148" t="s">
        <v>60</v>
      </c>
      <c r="BI148" t="s">
        <v>54</v>
      </c>
      <c r="BK148" t="s">
        <v>54</v>
      </c>
    </row>
    <row r="149" spans="1:63" hidden="1" x14ac:dyDescent="0.3">
      <c r="A149" t="s">
        <v>876</v>
      </c>
      <c r="B149" t="s">
        <v>98</v>
      </c>
      <c r="C149">
        <v>71251</v>
      </c>
      <c r="D149">
        <v>0</v>
      </c>
      <c r="E149" t="s">
        <v>57</v>
      </c>
      <c r="F149">
        <v>102</v>
      </c>
      <c r="G149" t="s">
        <v>60</v>
      </c>
      <c r="H149">
        <v>7</v>
      </c>
      <c r="J149">
        <v>102</v>
      </c>
      <c r="K149" t="s">
        <v>53</v>
      </c>
      <c r="L149">
        <v>195</v>
      </c>
      <c r="M149" t="s">
        <v>877</v>
      </c>
      <c r="N149" t="s">
        <v>303</v>
      </c>
      <c r="O149" t="s">
        <v>303</v>
      </c>
      <c r="P149" t="s">
        <v>1118</v>
      </c>
      <c r="Q149">
        <v>-83.698689799999997</v>
      </c>
      <c r="R149">
        <v>45.2639402</v>
      </c>
      <c r="V149">
        <v>0</v>
      </c>
      <c r="AO149" s="1"/>
      <c r="AP149" s="1"/>
      <c r="AQ149" t="s">
        <v>215</v>
      </c>
      <c r="AR149" t="s">
        <v>215</v>
      </c>
      <c r="AT149">
        <v>0.21623780585518601</v>
      </c>
      <c r="AU149" t="s">
        <v>1119</v>
      </c>
      <c r="AW149">
        <v>0.38505906797945499</v>
      </c>
      <c r="AX149">
        <v>0</v>
      </c>
      <c r="AY149" t="s">
        <v>56</v>
      </c>
      <c r="AZ149" t="s">
        <v>54</v>
      </c>
      <c r="BA149" t="s">
        <v>583</v>
      </c>
      <c r="BK149" t="s">
        <v>54</v>
      </c>
    </row>
    <row r="150" spans="1:63" hidden="1" x14ac:dyDescent="0.3">
      <c r="A150" t="s">
        <v>841</v>
      </c>
      <c r="B150" t="s">
        <v>98</v>
      </c>
      <c r="C150">
        <v>99047</v>
      </c>
      <c r="D150">
        <v>9</v>
      </c>
      <c r="E150" t="s">
        <v>63</v>
      </c>
      <c r="F150">
        <v>102</v>
      </c>
      <c r="G150" t="s">
        <v>60</v>
      </c>
      <c r="H150">
        <v>6</v>
      </c>
      <c r="J150">
        <v>102</v>
      </c>
      <c r="K150" t="s">
        <v>53</v>
      </c>
      <c r="L150">
        <v>175</v>
      </c>
      <c r="M150" t="s">
        <v>878</v>
      </c>
      <c r="N150" t="s">
        <v>302</v>
      </c>
      <c r="O150" t="s">
        <v>302</v>
      </c>
      <c r="P150" t="s">
        <v>1120</v>
      </c>
      <c r="Q150">
        <v>-83.698129449999996</v>
      </c>
      <c r="R150">
        <v>45.198295569999999</v>
      </c>
      <c r="X150">
        <v>28.14</v>
      </c>
      <c r="Y150">
        <v>28.14</v>
      </c>
      <c r="Z150">
        <v>25.8</v>
      </c>
      <c r="AA150">
        <v>30.49</v>
      </c>
      <c r="AB150">
        <v>28.6</v>
      </c>
      <c r="AC150">
        <v>28.6</v>
      </c>
      <c r="AD150">
        <v>26.21</v>
      </c>
      <c r="AE150">
        <v>30.98</v>
      </c>
      <c r="AF150">
        <v>29.28</v>
      </c>
      <c r="AG150">
        <v>29.28</v>
      </c>
      <c r="AH150">
        <v>26.84</v>
      </c>
      <c r="AI150">
        <v>31.72</v>
      </c>
      <c r="AJ150">
        <v>40.82</v>
      </c>
      <c r="AK150">
        <v>40.82</v>
      </c>
      <c r="AL150">
        <v>33.17</v>
      </c>
      <c r="AM150">
        <v>48.48</v>
      </c>
      <c r="AO150" s="1"/>
      <c r="AP150" s="1"/>
      <c r="AQ150" t="s">
        <v>215</v>
      </c>
      <c r="AR150" t="s">
        <v>215</v>
      </c>
      <c r="AT150">
        <v>18.230957953262099</v>
      </c>
      <c r="AU150" t="s">
        <v>1121</v>
      </c>
      <c r="AV150">
        <v>10.92</v>
      </c>
      <c r="AW150">
        <v>18.8108089230955</v>
      </c>
      <c r="AX150">
        <v>0</v>
      </c>
      <c r="AY150" t="s">
        <v>56</v>
      </c>
      <c r="AZ150" t="s">
        <v>54</v>
      </c>
      <c r="BA150" t="s">
        <v>583</v>
      </c>
      <c r="BK150" t="s">
        <v>54</v>
      </c>
    </row>
    <row r="151" spans="1:63" hidden="1" x14ac:dyDescent="0.3">
      <c r="A151" t="s">
        <v>647</v>
      </c>
      <c r="B151" t="s">
        <v>98</v>
      </c>
      <c r="C151">
        <v>71255</v>
      </c>
      <c r="D151">
        <v>0</v>
      </c>
      <c r="E151" t="s">
        <v>63</v>
      </c>
      <c r="F151">
        <v>102</v>
      </c>
      <c r="G151" t="s">
        <v>60</v>
      </c>
      <c r="H151">
        <v>8</v>
      </c>
      <c r="J151">
        <v>102</v>
      </c>
      <c r="K151" t="s">
        <v>53</v>
      </c>
      <c r="L151">
        <v>190</v>
      </c>
      <c r="M151" t="s">
        <v>648</v>
      </c>
      <c r="N151" t="s">
        <v>298</v>
      </c>
      <c r="O151" t="s">
        <v>298</v>
      </c>
      <c r="P151" t="s">
        <v>1122</v>
      </c>
      <c r="Q151">
        <v>-83.700910030000003</v>
      </c>
      <c r="R151">
        <v>45.26221469</v>
      </c>
      <c r="S151">
        <v>2</v>
      </c>
      <c r="X151">
        <v>21.66</v>
      </c>
      <c r="Y151">
        <v>21.66</v>
      </c>
      <c r="Z151">
        <v>16.59</v>
      </c>
      <c r="AA151">
        <v>26.72</v>
      </c>
      <c r="AB151">
        <v>18.600000000000001</v>
      </c>
      <c r="AC151">
        <v>18.600000000000001</v>
      </c>
      <c r="AD151">
        <v>17.05</v>
      </c>
      <c r="AE151">
        <v>20.149999999999999</v>
      </c>
      <c r="AF151">
        <v>18.600000000000001</v>
      </c>
      <c r="AG151">
        <v>18.600000000000001</v>
      </c>
      <c r="AH151">
        <v>17.05</v>
      </c>
      <c r="AI151">
        <v>20.149999999999999</v>
      </c>
      <c r="AJ151">
        <v>25.09</v>
      </c>
      <c r="AK151">
        <v>25.09</v>
      </c>
      <c r="AL151">
        <v>20.38</v>
      </c>
      <c r="AM151">
        <v>29.79</v>
      </c>
      <c r="AO151" s="1"/>
      <c r="AP151" s="1"/>
      <c r="AQ151" t="s">
        <v>215</v>
      </c>
      <c r="AR151" t="s">
        <v>215</v>
      </c>
      <c r="AT151">
        <v>0.14676353422368199</v>
      </c>
      <c r="AU151" t="s">
        <v>1123</v>
      </c>
      <c r="AV151">
        <v>9.32</v>
      </c>
      <c r="AW151">
        <v>0.37048159725964103</v>
      </c>
      <c r="AX151">
        <v>0</v>
      </c>
      <c r="AY151" t="s">
        <v>56</v>
      </c>
      <c r="AZ151" t="s">
        <v>54</v>
      </c>
      <c r="BA151" t="s">
        <v>583</v>
      </c>
      <c r="BC151">
        <v>2</v>
      </c>
      <c r="BK151" t="s">
        <v>54</v>
      </c>
    </row>
    <row r="152" spans="1:63" hidden="1" x14ac:dyDescent="0.3">
      <c r="A152" t="s">
        <v>649</v>
      </c>
      <c r="B152" t="s">
        <v>98</v>
      </c>
      <c r="C152">
        <v>71366</v>
      </c>
      <c r="D152">
        <v>0</v>
      </c>
      <c r="E152" t="s">
        <v>57</v>
      </c>
      <c r="F152">
        <v>102</v>
      </c>
      <c r="G152" t="s">
        <v>53</v>
      </c>
      <c r="H152">
        <v>20</v>
      </c>
      <c r="J152">
        <v>102</v>
      </c>
      <c r="K152" t="s">
        <v>52</v>
      </c>
      <c r="L152">
        <v>70</v>
      </c>
      <c r="M152" t="s">
        <v>650</v>
      </c>
      <c r="N152" t="s">
        <v>303</v>
      </c>
      <c r="O152" t="s">
        <v>303</v>
      </c>
      <c r="P152" t="s">
        <v>1124</v>
      </c>
      <c r="Q152">
        <v>-84.726800999999995</v>
      </c>
      <c r="R152">
        <v>45.781267</v>
      </c>
      <c r="S152">
        <v>2</v>
      </c>
      <c r="X152">
        <v>44.9</v>
      </c>
      <c r="Y152">
        <v>22.45</v>
      </c>
      <c r="Z152">
        <v>41.15</v>
      </c>
      <c r="AA152">
        <v>48.64</v>
      </c>
      <c r="AB152">
        <v>47.06</v>
      </c>
      <c r="AC152">
        <v>23.53</v>
      </c>
      <c r="AD152">
        <v>33.76</v>
      </c>
      <c r="AE152">
        <v>60.36</v>
      </c>
      <c r="AF152">
        <v>56.06</v>
      </c>
      <c r="AG152">
        <v>28.03</v>
      </c>
      <c r="AH152">
        <v>51.39</v>
      </c>
      <c r="AI152">
        <v>60.74</v>
      </c>
      <c r="AJ152">
        <v>74.58</v>
      </c>
      <c r="AK152">
        <v>37.29</v>
      </c>
      <c r="AL152">
        <v>57.4</v>
      </c>
      <c r="AM152">
        <v>91.76</v>
      </c>
      <c r="AO152" s="1"/>
      <c r="AP152" s="1"/>
      <c r="AQ152" t="s">
        <v>215</v>
      </c>
      <c r="AR152" t="s">
        <v>215</v>
      </c>
      <c r="AT152">
        <v>7.8163012259703402E-2</v>
      </c>
      <c r="AU152" t="s">
        <v>1125</v>
      </c>
      <c r="AV152">
        <v>12.43</v>
      </c>
      <c r="AW152">
        <v>1.08193488232791</v>
      </c>
      <c r="AX152">
        <v>0</v>
      </c>
      <c r="AY152" t="s">
        <v>56</v>
      </c>
      <c r="AZ152" t="s">
        <v>54</v>
      </c>
      <c r="BA152" t="s">
        <v>583</v>
      </c>
      <c r="BC152">
        <v>2</v>
      </c>
      <c r="BK152" t="s">
        <v>54</v>
      </c>
    </row>
    <row r="153" spans="1:63" hidden="1" x14ac:dyDescent="0.3">
      <c r="A153" t="s">
        <v>842</v>
      </c>
      <c r="B153" t="s">
        <v>98</v>
      </c>
      <c r="C153">
        <v>99192</v>
      </c>
      <c r="D153">
        <v>3</v>
      </c>
      <c r="E153" t="s">
        <v>64</v>
      </c>
      <c r="F153">
        <v>102</v>
      </c>
      <c r="G153" t="s">
        <v>60</v>
      </c>
      <c r="H153">
        <v>1</v>
      </c>
      <c r="J153">
        <v>102</v>
      </c>
      <c r="K153" t="s">
        <v>53</v>
      </c>
      <c r="L153">
        <v>10</v>
      </c>
      <c r="M153" t="s">
        <v>881</v>
      </c>
      <c r="N153" t="s">
        <v>299</v>
      </c>
      <c r="O153" t="s">
        <v>299</v>
      </c>
      <c r="P153" t="s">
        <v>1126</v>
      </c>
      <c r="Q153">
        <v>-83.416960000000003</v>
      </c>
      <c r="R153">
        <v>45.071606000000003</v>
      </c>
      <c r="X153">
        <v>44.65</v>
      </c>
      <c r="Y153">
        <v>44.65</v>
      </c>
      <c r="Z153">
        <v>36.56</v>
      </c>
      <c r="AA153">
        <v>52.74</v>
      </c>
      <c r="AB153">
        <v>54.05</v>
      </c>
      <c r="AC153">
        <v>54.05</v>
      </c>
      <c r="AD153">
        <v>43.92</v>
      </c>
      <c r="AE153">
        <v>64.19</v>
      </c>
      <c r="AF153">
        <v>47.4</v>
      </c>
      <c r="AG153">
        <v>47.4</v>
      </c>
      <c r="AH153">
        <v>36.25</v>
      </c>
      <c r="AI153">
        <v>58.54</v>
      </c>
      <c r="AJ153">
        <v>51</v>
      </c>
      <c r="AK153">
        <v>51</v>
      </c>
      <c r="AL153">
        <v>42.35</v>
      </c>
      <c r="AM153">
        <v>59.65</v>
      </c>
      <c r="AO153" s="1"/>
      <c r="AP153" s="1"/>
      <c r="AQ153" t="s">
        <v>215</v>
      </c>
      <c r="AR153" t="s">
        <v>215</v>
      </c>
      <c r="AT153">
        <v>0.11922345504703</v>
      </c>
      <c r="AU153" t="s">
        <v>1127</v>
      </c>
      <c r="AV153">
        <v>0.2</v>
      </c>
      <c r="AW153">
        <v>0.45811186544597099</v>
      </c>
      <c r="AX153">
        <v>0</v>
      </c>
      <c r="AY153" t="s">
        <v>56</v>
      </c>
      <c r="AZ153" t="s">
        <v>54</v>
      </c>
      <c r="BA153" t="s">
        <v>583</v>
      </c>
      <c r="BK153" t="s">
        <v>54</v>
      </c>
    </row>
    <row r="154" spans="1:63" hidden="1" x14ac:dyDescent="0.3">
      <c r="A154" t="s">
        <v>843</v>
      </c>
      <c r="B154" t="s">
        <v>98</v>
      </c>
      <c r="C154">
        <v>71399</v>
      </c>
      <c r="D154">
        <v>0</v>
      </c>
      <c r="E154" t="s">
        <v>64</v>
      </c>
      <c r="F154">
        <v>102</v>
      </c>
      <c r="G154" t="s">
        <v>60</v>
      </c>
      <c r="H154">
        <v>6</v>
      </c>
      <c r="J154">
        <v>102</v>
      </c>
      <c r="K154" t="s">
        <v>59</v>
      </c>
      <c r="L154">
        <v>205</v>
      </c>
      <c r="M154" t="s">
        <v>760</v>
      </c>
      <c r="N154" t="s">
        <v>300</v>
      </c>
      <c r="O154" t="s">
        <v>300</v>
      </c>
      <c r="P154" t="s">
        <v>1128</v>
      </c>
      <c r="Q154">
        <v>-83.434629000000001</v>
      </c>
      <c r="R154">
        <v>45.193750000000001</v>
      </c>
      <c r="X154">
        <v>78.23</v>
      </c>
      <c r="Y154">
        <v>19.557500000000001</v>
      </c>
      <c r="Z154">
        <v>65.73</v>
      </c>
      <c r="AA154">
        <v>90.73</v>
      </c>
      <c r="AB154">
        <v>86.94</v>
      </c>
      <c r="AC154">
        <v>21.734999999999999</v>
      </c>
      <c r="AD154">
        <v>62.31</v>
      </c>
      <c r="AE154">
        <v>111.56</v>
      </c>
      <c r="AF154">
        <v>65.760000000000005</v>
      </c>
      <c r="AG154">
        <v>16.440000000000001</v>
      </c>
      <c r="AH154">
        <v>55.65</v>
      </c>
      <c r="AI154">
        <v>75.88</v>
      </c>
      <c r="AJ154">
        <v>82.96</v>
      </c>
      <c r="AK154">
        <v>20.74</v>
      </c>
      <c r="AL154">
        <v>65.33</v>
      </c>
      <c r="AM154">
        <v>100.58</v>
      </c>
      <c r="AO154" s="1"/>
      <c r="AP154" s="1"/>
      <c r="AQ154" t="s">
        <v>215</v>
      </c>
      <c r="AR154" t="s">
        <v>215</v>
      </c>
      <c r="AT154">
        <v>2.8131659885845299</v>
      </c>
      <c r="AU154" t="s">
        <v>1129</v>
      </c>
      <c r="AV154">
        <v>5.93</v>
      </c>
      <c r="AW154">
        <v>3.0721184629946898</v>
      </c>
      <c r="AX154">
        <v>0</v>
      </c>
      <c r="AY154" t="s">
        <v>56</v>
      </c>
      <c r="AZ154" t="s">
        <v>54</v>
      </c>
      <c r="BA154" t="s">
        <v>583</v>
      </c>
      <c r="BD154" t="s">
        <v>434</v>
      </c>
      <c r="BE154" t="s">
        <v>303</v>
      </c>
      <c r="BF154" t="s">
        <v>53</v>
      </c>
      <c r="BI154" t="s">
        <v>54</v>
      </c>
      <c r="BK154" t="s">
        <v>54</v>
      </c>
    </row>
    <row r="155" spans="1:63" hidden="1" x14ac:dyDescent="0.3">
      <c r="A155" t="s">
        <v>834</v>
      </c>
      <c r="B155" t="s">
        <v>98</v>
      </c>
      <c r="C155">
        <v>70900</v>
      </c>
      <c r="D155">
        <v>1</v>
      </c>
      <c r="E155" t="s">
        <v>57</v>
      </c>
      <c r="F155">
        <v>102</v>
      </c>
      <c r="G155" t="s">
        <v>59</v>
      </c>
      <c r="H155">
        <v>23</v>
      </c>
      <c r="J155">
        <v>102</v>
      </c>
      <c r="K155" t="s">
        <v>59</v>
      </c>
      <c r="L155">
        <v>45</v>
      </c>
      <c r="M155" t="s">
        <v>1298</v>
      </c>
      <c r="N155" t="s">
        <v>300</v>
      </c>
      <c r="O155" t="s">
        <v>300</v>
      </c>
      <c r="P155" t="s">
        <v>1299</v>
      </c>
      <c r="Q155">
        <v>-84.702566000000004</v>
      </c>
      <c r="R155">
        <v>45.854405</v>
      </c>
      <c r="AB155">
        <v>211.52</v>
      </c>
      <c r="AC155">
        <v>52.88</v>
      </c>
      <c r="AD155">
        <v>134.61000000000001</v>
      </c>
      <c r="AE155">
        <v>288.44</v>
      </c>
      <c r="AF155">
        <v>287.12</v>
      </c>
      <c r="AG155">
        <v>71.78</v>
      </c>
      <c r="AH155">
        <v>281.91000000000003</v>
      </c>
      <c r="AI155">
        <v>292.33</v>
      </c>
      <c r="AJ155">
        <v>87.48</v>
      </c>
      <c r="AK155">
        <v>21.87</v>
      </c>
      <c r="AL155">
        <v>-109.35</v>
      </c>
      <c r="AM155">
        <v>284.3</v>
      </c>
      <c r="AO155" s="1"/>
      <c r="AP155" s="1"/>
      <c r="AQ155" t="s">
        <v>215</v>
      </c>
      <c r="AR155" t="s">
        <v>215</v>
      </c>
      <c r="AT155">
        <v>0</v>
      </c>
      <c r="AU155" t="s">
        <v>1167</v>
      </c>
      <c r="AW155">
        <v>0</v>
      </c>
      <c r="AX155">
        <v>0</v>
      </c>
      <c r="AY155" t="s">
        <v>56</v>
      </c>
      <c r="AZ155" t="s">
        <v>56</v>
      </c>
      <c r="BA155" t="s">
        <v>583</v>
      </c>
      <c r="BH155" t="s">
        <v>1170</v>
      </c>
      <c r="BK155" t="s">
        <v>56</v>
      </c>
    </row>
    <row r="156" spans="1:63" hidden="1" x14ac:dyDescent="0.3">
      <c r="A156" t="s">
        <v>651</v>
      </c>
      <c r="B156" t="s">
        <v>98</v>
      </c>
      <c r="C156">
        <v>71415</v>
      </c>
      <c r="D156">
        <v>0</v>
      </c>
      <c r="E156" t="s">
        <v>57</v>
      </c>
      <c r="F156">
        <v>102</v>
      </c>
      <c r="G156" t="s">
        <v>60</v>
      </c>
      <c r="H156">
        <v>10</v>
      </c>
      <c r="J156">
        <v>102</v>
      </c>
      <c r="K156" t="s">
        <v>53</v>
      </c>
      <c r="L156">
        <v>50</v>
      </c>
      <c r="M156" t="s">
        <v>652</v>
      </c>
      <c r="N156" t="s">
        <v>303</v>
      </c>
      <c r="O156" t="s">
        <v>303</v>
      </c>
      <c r="P156" t="s">
        <v>1130</v>
      </c>
      <c r="Q156">
        <v>-83.786929000000001</v>
      </c>
      <c r="R156">
        <v>45.413891999999997</v>
      </c>
      <c r="S156">
        <v>8</v>
      </c>
      <c r="X156">
        <v>191.3</v>
      </c>
      <c r="Y156">
        <v>95.65</v>
      </c>
      <c r="Z156">
        <v>175.36</v>
      </c>
      <c r="AA156">
        <v>207.25</v>
      </c>
      <c r="AB156">
        <v>230.92</v>
      </c>
      <c r="AC156">
        <v>115.46</v>
      </c>
      <c r="AD156">
        <v>214.43</v>
      </c>
      <c r="AE156">
        <v>247.42</v>
      </c>
      <c r="AF156">
        <v>197.94</v>
      </c>
      <c r="AG156">
        <v>98.97</v>
      </c>
      <c r="AH156">
        <v>181.44</v>
      </c>
      <c r="AI156">
        <v>214.43</v>
      </c>
      <c r="AJ156">
        <v>231.42</v>
      </c>
      <c r="AK156">
        <v>115.71</v>
      </c>
      <c r="AL156">
        <v>214.89</v>
      </c>
      <c r="AM156">
        <v>247.95</v>
      </c>
      <c r="AO156" s="1"/>
      <c r="AP156" s="1"/>
      <c r="AQ156" t="s">
        <v>215</v>
      </c>
      <c r="AR156" t="s">
        <v>215</v>
      </c>
      <c r="AT156">
        <v>14.272509612867101</v>
      </c>
      <c r="AU156" t="s">
        <v>1131</v>
      </c>
      <c r="AV156">
        <v>16.64</v>
      </c>
      <c r="AW156">
        <v>18.677392635494499</v>
      </c>
      <c r="AX156">
        <v>0</v>
      </c>
      <c r="AY156" t="s">
        <v>56</v>
      </c>
      <c r="AZ156" t="s">
        <v>54</v>
      </c>
      <c r="BA156" t="s">
        <v>583</v>
      </c>
      <c r="BC156">
        <v>8</v>
      </c>
      <c r="BK156" t="s">
        <v>54</v>
      </c>
    </row>
    <row r="157" spans="1:63" hidden="1" x14ac:dyDescent="0.3">
      <c r="A157" t="s">
        <v>844</v>
      </c>
      <c r="B157" t="s">
        <v>98</v>
      </c>
      <c r="C157">
        <v>71425</v>
      </c>
      <c r="D157">
        <v>0</v>
      </c>
      <c r="E157" t="s">
        <v>57</v>
      </c>
      <c r="F157">
        <v>102</v>
      </c>
      <c r="G157" t="s">
        <v>60</v>
      </c>
      <c r="H157">
        <v>2</v>
      </c>
      <c r="J157">
        <v>102</v>
      </c>
      <c r="K157" t="s">
        <v>60</v>
      </c>
      <c r="L157">
        <v>120</v>
      </c>
      <c r="M157" t="s">
        <v>1300</v>
      </c>
      <c r="N157" t="s">
        <v>300</v>
      </c>
      <c r="O157" t="s">
        <v>300</v>
      </c>
      <c r="P157" t="s">
        <v>1190</v>
      </c>
      <c r="Q157">
        <v>-83.570402000000001</v>
      </c>
      <c r="R157">
        <v>45.077407999999998</v>
      </c>
      <c r="V157">
        <v>0</v>
      </c>
      <c r="AJ157">
        <v>0</v>
      </c>
      <c r="AK157">
        <v>0</v>
      </c>
      <c r="AL157">
        <v>-18.62</v>
      </c>
      <c r="AM157">
        <v>18.62</v>
      </c>
      <c r="AO157" s="1"/>
      <c r="AP157" s="1"/>
      <c r="AQ157" t="s">
        <v>215</v>
      </c>
      <c r="AR157" t="s">
        <v>215</v>
      </c>
      <c r="AT157">
        <v>0</v>
      </c>
      <c r="AU157" t="s">
        <v>1251</v>
      </c>
      <c r="AW157">
        <v>0</v>
      </c>
      <c r="AX157">
        <v>0</v>
      </c>
      <c r="AY157" t="s">
        <v>56</v>
      </c>
      <c r="AZ157" t="s">
        <v>56</v>
      </c>
      <c r="BA157" t="s">
        <v>583</v>
      </c>
      <c r="BK157" t="s">
        <v>56</v>
      </c>
    </row>
    <row r="158" spans="1:63" hidden="1" x14ac:dyDescent="0.3">
      <c r="A158" t="s">
        <v>845</v>
      </c>
      <c r="B158" t="s">
        <v>98</v>
      </c>
      <c r="C158">
        <v>73020</v>
      </c>
      <c r="D158">
        <v>0</v>
      </c>
      <c r="E158" t="s">
        <v>62</v>
      </c>
      <c r="F158">
        <v>102</v>
      </c>
      <c r="G158" t="s">
        <v>60</v>
      </c>
      <c r="H158">
        <v>13</v>
      </c>
      <c r="J158">
        <v>102</v>
      </c>
      <c r="K158" t="s">
        <v>60</v>
      </c>
      <c r="L158">
        <v>130</v>
      </c>
      <c r="M158" t="s">
        <v>1301</v>
      </c>
      <c r="N158" t="s">
        <v>354</v>
      </c>
      <c r="O158" t="s">
        <v>354</v>
      </c>
      <c r="P158" t="s">
        <v>1302</v>
      </c>
      <c r="Q158">
        <v>-83.570402000000001</v>
      </c>
      <c r="R158">
        <v>45.077407999999998</v>
      </c>
      <c r="AO158" s="1"/>
      <c r="AP158" s="1"/>
      <c r="AQ158" t="s">
        <v>215</v>
      </c>
      <c r="AR158" t="s">
        <v>215</v>
      </c>
      <c r="AT158">
        <v>11.6682123785814</v>
      </c>
      <c r="AU158" t="s">
        <v>1303</v>
      </c>
      <c r="AW158">
        <v>14.381799552589699</v>
      </c>
      <c r="AX158">
        <v>0</v>
      </c>
      <c r="AY158" t="s">
        <v>56</v>
      </c>
      <c r="AZ158" t="s">
        <v>56</v>
      </c>
      <c r="BA158" t="s">
        <v>583</v>
      </c>
      <c r="BK158" t="s">
        <v>56</v>
      </c>
    </row>
    <row r="159" spans="1:63" hidden="1" x14ac:dyDescent="0.3">
      <c r="A159" t="s">
        <v>770</v>
      </c>
      <c r="B159" t="s">
        <v>98</v>
      </c>
      <c r="C159">
        <v>99212</v>
      </c>
      <c r="D159">
        <v>4</v>
      </c>
      <c r="E159" t="s">
        <v>62</v>
      </c>
      <c r="F159">
        <v>102</v>
      </c>
      <c r="G159" t="s">
        <v>58</v>
      </c>
      <c r="H159">
        <v>22</v>
      </c>
      <c r="J159">
        <v>102</v>
      </c>
      <c r="K159" t="s">
        <v>58</v>
      </c>
      <c r="L159">
        <v>110</v>
      </c>
      <c r="M159" t="s">
        <v>1304</v>
      </c>
      <c r="N159" t="s">
        <v>323</v>
      </c>
      <c r="O159" t="s">
        <v>323</v>
      </c>
      <c r="P159" t="s">
        <v>1305</v>
      </c>
      <c r="Q159">
        <v>-84.604130999999995</v>
      </c>
      <c r="R159">
        <v>45.275244999999998</v>
      </c>
      <c r="X159">
        <v>34.840000000000003</v>
      </c>
      <c r="Y159">
        <v>17.420000000000002</v>
      </c>
      <c r="Z159">
        <v>32.35</v>
      </c>
      <c r="AA159">
        <v>37.32</v>
      </c>
      <c r="AB159">
        <v>29.75</v>
      </c>
      <c r="AC159">
        <v>14.875</v>
      </c>
      <c r="AD159">
        <v>27.27</v>
      </c>
      <c r="AE159">
        <v>32.229999999999997</v>
      </c>
      <c r="AF159">
        <v>23.69</v>
      </c>
      <c r="AG159">
        <v>11.845000000000001</v>
      </c>
      <c r="AH159">
        <v>14.68</v>
      </c>
      <c r="AI159">
        <v>32.700000000000003</v>
      </c>
      <c r="AJ159">
        <v>15.43</v>
      </c>
      <c r="AK159">
        <v>7.7149999999999999</v>
      </c>
      <c r="AL159">
        <v>14.32</v>
      </c>
      <c r="AM159">
        <v>16.53</v>
      </c>
      <c r="AO159" s="1"/>
      <c r="AP159" s="1"/>
      <c r="AQ159" t="s">
        <v>215</v>
      </c>
      <c r="AR159" t="s">
        <v>215</v>
      </c>
      <c r="AT159">
        <v>9.4743422283266807E-2</v>
      </c>
      <c r="AU159" t="s">
        <v>1306</v>
      </c>
      <c r="AV159">
        <v>1.75</v>
      </c>
      <c r="AW159">
        <v>0.35339749790728098</v>
      </c>
      <c r="AX159">
        <v>0</v>
      </c>
      <c r="AY159" t="s">
        <v>56</v>
      </c>
      <c r="AZ159" t="s">
        <v>56</v>
      </c>
      <c r="BA159" t="s">
        <v>583</v>
      </c>
      <c r="BK159" t="s">
        <v>56</v>
      </c>
    </row>
    <row r="160" spans="1:63" hidden="1" x14ac:dyDescent="0.3">
      <c r="A160" t="s">
        <v>807</v>
      </c>
      <c r="B160" t="s">
        <v>98</v>
      </c>
      <c r="C160">
        <v>99212</v>
      </c>
      <c r="D160">
        <v>0</v>
      </c>
      <c r="E160" t="s">
        <v>62</v>
      </c>
      <c r="F160">
        <v>102</v>
      </c>
      <c r="G160" t="s">
        <v>52</v>
      </c>
      <c r="H160">
        <v>19</v>
      </c>
      <c r="J160">
        <v>102</v>
      </c>
      <c r="K160" t="s">
        <v>53</v>
      </c>
      <c r="L160">
        <v>115</v>
      </c>
      <c r="M160" t="s">
        <v>862</v>
      </c>
      <c r="N160" t="s">
        <v>323</v>
      </c>
      <c r="O160" t="s">
        <v>323</v>
      </c>
      <c r="P160" t="s">
        <v>1132</v>
      </c>
      <c r="Q160">
        <v>-83.825540000000004</v>
      </c>
      <c r="R160">
        <v>45.410057999999999</v>
      </c>
      <c r="X160">
        <v>34.119999999999997</v>
      </c>
      <c r="Y160">
        <v>17.059999999999999</v>
      </c>
      <c r="Z160">
        <v>31.68</v>
      </c>
      <c r="AA160">
        <v>36.549999999999997</v>
      </c>
      <c r="AB160">
        <v>29.15</v>
      </c>
      <c r="AC160">
        <v>14.574999999999999</v>
      </c>
      <c r="AD160">
        <v>26.72</v>
      </c>
      <c r="AE160">
        <v>31.58</v>
      </c>
      <c r="AF160">
        <v>34.020000000000003</v>
      </c>
      <c r="AG160">
        <v>17.010000000000002</v>
      </c>
      <c r="AH160">
        <v>31.59</v>
      </c>
      <c r="AI160">
        <v>36.450000000000003</v>
      </c>
      <c r="AJ160">
        <v>34.020000000000003</v>
      </c>
      <c r="AK160">
        <v>17.010000000000002</v>
      </c>
      <c r="AL160">
        <v>31.59</v>
      </c>
      <c r="AM160">
        <v>36.450000000000003</v>
      </c>
      <c r="AO160" s="1"/>
      <c r="AP160" s="1"/>
      <c r="AQ160" t="s">
        <v>215</v>
      </c>
      <c r="AR160" t="s">
        <v>215</v>
      </c>
      <c r="AT160">
        <v>0.127742584517546</v>
      </c>
      <c r="AU160" t="s">
        <v>1133</v>
      </c>
      <c r="AV160">
        <v>7.68</v>
      </c>
      <c r="AW160">
        <v>0.26602722331881501</v>
      </c>
      <c r="AX160">
        <v>0</v>
      </c>
      <c r="AY160" t="s">
        <v>56</v>
      </c>
      <c r="AZ160" t="s">
        <v>54</v>
      </c>
      <c r="BA160" t="s">
        <v>583</v>
      </c>
      <c r="BK160" t="s">
        <v>54</v>
      </c>
    </row>
    <row r="161" spans="1:63" hidden="1" x14ac:dyDescent="0.3">
      <c r="A161" t="s">
        <v>808</v>
      </c>
      <c r="B161" t="s">
        <v>98</v>
      </c>
      <c r="C161">
        <v>99212</v>
      </c>
      <c r="D161">
        <v>3</v>
      </c>
      <c r="E161" t="s">
        <v>63</v>
      </c>
      <c r="F161">
        <v>102</v>
      </c>
      <c r="G161" t="s">
        <v>52</v>
      </c>
      <c r="H161">
        <v>15</v>
      </c>
      <c r="J161">
        <v>102</v>
      </c>
      <c r="K161" t="s">
        <v>60</v>
      </c>
      <c r="L161">
        <v>55</v>
      </c>
      <c r="M161" t="s">
        <v>908</v>
      </c>
      <c r="N161" t="s">
        <v>323</v>
      </c>
      <c r="O161" t="s">
        <v>323</v>
      </c>
      <c r="P161" t="s">
        <v>1134</v>
      </c>
      <c r="Q161">
        <v>-84.230923000000004</v>
      </c>
      <c r="R161">
        <v>45.355924000000002</v>
      </c>
      <c r="X161">
        <v>31.27</v>
      </c>
      <c r="Y161">
        <v>15.635</v>
      </c>
      <c r="Z161">
        <v>29.03</v>
      </c>
      <c r="AA161">
        <v>33.5</v>
      </c>
      <c r="AB161">
        <v>26.55</v>
      </c>
      <c r="AC161">
        <v>13.275</v>
      </c>
      <c r="AD161">
        <v>24.34</v>
      </c>
      <c r="AE161">
        <v>28.76</v>
      </c>
      <c r="AF161">
        <v>30.98</v>
      </c>
      <c r="AG161">
        <v>15.49</v>
      </c>
      <c r="AH161">
        <v>28.76</v>
      </c>
      <c r="AI161">
        <v>33.19</v>
      </c>
      <c r="AJ161">
        <v>26.62</v>
      </c>
      <c r="AK161">
        <v>13.31</v>
      </c>
      <c r="AL161">
        <v>24.4</v>
      </c>
      <c r="AM161">
        <v>28.84</v>
      </c>
      <c r="AO161" s="1"/>
      <c r="AP161" s="1"/>
      <c r="AQ161" t="s">
        <v>215</v>
      </c>
      <c r="AR161" t="s">
        <v>215</v>
      </c>
      <c r="AT161">
        <v>0.21634243483055701</v>
      </c>
      <c r="AU161" t="s">
        <v>1135</v>
      </c>
      <c r="AV161">
        <v>5.72</v>
      </c>
      <c r="AW161">
        <v>0.46212662197649501</v>
      </c>
      <c r="AX161">
        <v>0</v>
      </c>
      <c r="AY161" t="s">
        <v>56</v>
      </c>
      <c r="AZ161" t="s">
        <v>54</v>
      </c>
      <c r="BA161" t="s">
        <v>583</v>
      </c>
      <c r="BK161" t="s">
        <v>54</v>
      </c>
    </row>
    <row r="162" spans="1:63" hidden="1" x14ac:dyDescent="0.3">
      <c r="A162" t="s">
        <v>851</v>
      </c>
      <c r="B162" t="s">
        <v>98</v>
      </c>
      <c r="C162">
        <v>73047</v>
      </c>
      <c r="D162">
        <v>0</v>
      </c>
      <c r="E162" t="s">
        <v>57</v>
      </c>
      <c r="F162">
        <v>102</v>
      </c>
      <c r="G162" t="s">
        <v>53</v>
      </c>
      <c r="H162">
        <v>1</v>
      </c>
      <c r="J162">
        <v>102</v>
      </c>
      <c r="K162" t="s">
        <v>59</v>
      </c>
      <c r="L162">
        <v>5</v>
      </c>
      <c r="M162" t="s">
        <v>852</v>
      </c>
      <c r="N162" t="s">
        <v>300</v>
      </c>
      <c r="O162" t="s">
        <v>300</v>
      </c>
      <c r="P162" t="s">
        <v>1136</v>
      </c>
      <c r="Q162">
        <v>-84.440824899999996</v>
      </c>
      <c r="R162">
        <v>45.651285999999999</v>
      </c>
      <c r="AB162">
        <v>123.81</v>
      </c>
      <c r="AC162">
        <v>30.952500000000001</v>
      </c>
      <c r="AD162">
        <v>38.69</v>
      </c>
      <c r="AE162">
        <v>208.94</v>
      </c>
      <c r="AF162">
        <v>245.78</v>
      </c>
      <c r="AG162">
        <v>61.445</v>
      </c>
      <c r="AH162">
        <v>191.01</v>
      </c>
      <c r="AI162">
        <v>300.55</v>
      </c>
      <c r="AJ162">
        <v>0</v>
      </c>
      <c r="AK162">
        <v>0</v>
      </c>
      <c r="AL162">
        <v>0</v>
      </c>
      <c r="AM162">
        <v>0</v>
      </c>
      <c r="AO162" s="1"/>
      <c r="AP162" s="1"/>
      <c r="AQ162" t="s">
        <v>215</v>
      </c>
      <c r="AR162" t="s">
        <v>215</v>
      </c>
      <c r="AT162">
        <v>78.837788139955805</v>
      </c>
      <c r="AU162" t="s">
        <v>1137</v>
      </c>
      <c r="AW162">
        <v>82.235789908096194</v>
      </c>
      <c r="AX162">
        <v>0</v>
      </c>
      <c r="AY162" t="s">
        <v>56</v>
      </c>
      <c r="AZ162" t="s">
        <v>54</v>
      </c>
      <c r="BA162" t="s">
        <v>583</v>
      </c>
      <c r="BD162" t="s">
        <v>432</v>
      </c>
      <c r="BE162" t="s">
        <v>298</v>
      </c>
      <c r="BH162" t="s">
        <v>1138</v>
      </c>
      <c r="BJ162" t="s">
        <v>54</v>
      </c>
      <c r="BK162" t="s">
        <v>54</v>
      </c>
    </row>
    <row r="163" spans="1:63" hidden="1" x14ac:dyDescent="0.3">
      <c r="A163" t="s">
        <v>771</v>
      </c>
      <c r="B163" t="s">
        <v>98</v>
      </c>
      <c r="C163">
        <v>73079</v>
      </c>
      <c r="D163">
        <v>0</v>
      </c>
      <c r="E163" t="s">
        <v>57</v>
      </c>
      <c r="F163">
        <v>102</v>
      </c>
      <c r="G163" t="s">
        <v>58</v>
      </c>
      <c r="H163">
        <v>2</v>
      </c>
      <c r="J163">
        <v>102</v>
      </c>
      <c r="K163" t="s">
        <v>58</v>
      </c>
      <c r="L163">
        <v>100</v>
      </c>
      <c r="M163" t="s">
        <v>1307</v>
      </c>
      <c r="N163" t="s">
        <v>300</v>
      </c>
      <c r="O163" t="s">
        <v>300</v>
      </c>
      <c r="P163" t="s">
        <v>1308</v>
      </c>
      <c r="Q163">
        <v>-84.631810000000002</v>
      </c>
      <c r="R163">
        <v>45.385219999999997</v>
      </c>
      <c r="V163">
        <v>0</v>
      </c>
      <c r="AO163" s="1"/>
      <c r="AP163" s="1"/>
      <c r="AQ163" t="s">
        <v>215</v>
      </c>
      <c r="AR163" t="s">
        <v>215</v>
      </c>
      <c r="AT163">
        <v>7.0772263392889903</v>
      </c>
      <c r="AU163" t="s">
        <v>1309</v>
      </c>
      <c r="AW163">
        <v>8.6227591522038001</v>
      </c>
      <c r="AX163">
        <v>0</v>
      </c>
      <c r="AY163" t="s">
        <v>56</v>
      </c>
      <c r="AZ163" t="s">
        <v>56</v>
      </c>
      <c r="BA163" t="s">
        <v>583</v>
      </c>
      <c r="BK163" t="s">
        <v>56</v>
      </c>
    </row>
    <row r="164" spans="1:63" hidden="1" x14ac:dyDescent="0.3">
      <c r="A164" t="s">
        <v>653</v>
      </c>
      <c r="B164" t="s">
        <v>98</v>
      </c>
      <c r="C164">
        <v>73107</v>
      </c>
      <c r="D164">
        <v>0</v>
      </c>
      <c r="E164" t="s">
        <v>63</v>
      </c>
      <c r="F164">
        <v>102</v>
      </c>
      <c r="G164" t="s">
        <v>60</v>
      </c>
      <c r="H164">
        <v>3</v>
      </c>
      <c r="J164">
        <v>102</v>
      </c>
      <c r="K164" t="s">
        <v>60</v>
      </c>
      <c r="L164">
        <v>105</v>
      </c>
      <c r="M164" t="s">
        <v>654</v>
      </c>
      <c r="N164" t="s">
        <v>300</v>
      </c>
      <c r="O164" t="s">
        <v>300</v>
      </c>
      <c r="P164" t="s">
        <v>1310</v>
      </c>
      <c r="Q164">
        <v>-83.570402000000001</v>
      </c>
      <c r="R164">
        <v>45.077407999999998</v>
      </c>
      <c r="S164">
        <v>22</v>
      </c>
      <c r="T164">
        <v>2</v>
      </c>
      <c r="U164" t="s">
        <v>318</v>
      </c>
      <c r="V164">
        <v>0</v>
      </c>
      <c r="W164">
        <v>1</v>
      </c>
      <c r="X164">
        <v>38.700000000000003</v>
      </c>
      <c r="Y164">
        <v>9.6750000000000007</v>
      </c>
      <c r="Z164">
        <v>38.700000000000003</v>
      </c>
      <c r="AA164">
        <v>38.700000000000003</v>
      </c>
      <c r="AB164">
        <v>40.57</v>
      </c>
      <c r="AC164">
        <v>10.1425</v>
      </c>
      <c r="AD164">
        <v>39.42</v>
      </c>
      <c r="AE164">
        <v>41.72</v>
      </c>
      <c r="AF164">
        <v>41.4</v>
      </c>
      <c r="AG164">
        <v>10.35</v>
      </c>
      <c r="AH164">
        <v>41.4</v>
      </c>
      <c r="AI164">
        <v>41.4</v>
      </c>
      <c r="AJ164">
        <v>41.4</v>
      </c>
      <c r="AK164">
        <v>10.35</v>
      </c>
      <c r="AL164">
        <v>41.4</v>
      </c>
      <c r="AM164">
        <v>41.4</v>
      </c>
      <c r="AO164" s="1"/>
      <c r="AP164" s="1"/>
      <c r="AQ164" t="s">
        <v>215</v>
      </c>
      <c r="AR164" t="s">
        <v>215</v>
      </c>
      <c r="AT164">
        <v>0</v>
      </c>
      <c r="AU164" t="s">
        <v>1251</v>
      </c>
      <c r="AV164">
        <v>5</v>
      </c>
      <c r="AW164">
        <v>0</v>
      </c>
      <c r="AX164">
        <v>0</v>
      </c>
      <c r="AY164" t="s">
        <v>56</v>
      </c>
      <c r="AZ164" t="s">
        <v>56</v>
      </c>
      <c r="BA164" t="s">
        <v>583</v>
      </c>
      <c r="BK164" t="s">
        <v>56</v>
      </c>
    </row>
    <row r="165" spans="1:63" hidden="1" x14ac:dyDescent="0.3">
      <c r="A165" t="s">
        <v>772</v>
      </c>
      <c r="B165" t="s">
        <v>98</v>
      </c>
      <c r="C165">
        <v>73126</v>
      </c>
      <c r="D165">
        <v>0</v>
      </c>
      <c r="E165" t="s">
        <v>64</v>
      </c>
      <c r="F165">
        <v>102</v>
      </c>
      <c r="G165" t="s">
        <v>58</v>
      </c>
      <c r="H165">
        <v>5</v>
      </c>
      <c r="J165">
        <v>102</v>
      </c>
      <c r="K165" t="s">
        <v>58</v>
      </c>
      <c r="L165">
        <v>125</v>
      </c>
      <c r="M165" t="s">
        <v>1311</v>
      </c>
      <c r="N165" t="s">
        <v>297</v>
      </c>
      <c r="O165" t="s">
        <v>297</v>
      </c>
      <c r="P165" t="s">
        <v>1312</v>
      </c>
      <c r="Q165">
        <v>-84.628567000000004</v>
      </c>
      <c r="R165">
        <v>45.377482000000001</v>
      </c>
      <c r="X165">
        <v>26.32</v>
      </c>
      <c r="Y165">
        <v>26.32</v>
      </c>
      <c r="Z165">
        <v>10.82</v>
      </c>
      <c r="AA165">
        <v>41.83</v>
      </c>
      <c r="AB165">
        <v>18.48</v>
      </c>
      <c r="AC165">
        <v>18.48</v>
      </c>
      <c r="AD165">
        <v>13.07</v>
      </c>
      <c r="AE165">
        <v>23.89</v>
      </c>
      <c r="AF165">
        <v>34.74</v>
      </c>
      <c r="AG165">
        <v>34.74</v>
      </c>
      <c r="AH165">
        <v>24.59</v>
      </c>
      <c r="AI165">
        <v>44.89</v>
      </c>
      <c r="AJ165">
        <v>19.55</v>
      </c>
      <c r="AK165">
        <v>19.55</v>
      </c>
      <c r="AL165">
        <v>15.14</v>
      </c>
      <c r="AM165">
        <v>23.96</v>
      </c>
      <c r="AO165" s="1"/>
      <c r="AP165" s="1"/>
      <c r="AQ165" t="s">
        <v>215</v>
      </c>
      <c r="AR165" t="s">
        <v>215</v>
      </c>
      <c r="AT165">
        <v>6.43509817020254</v>
      </c>
      <c r="AU165" t="s">
        <v>1313</v>
      </c>
      <c r="AV165">
        <v>0.13</v>
      </c>
      <c r="AW165">
        <v>7.2764029838144797</v>
      </c>
      <c r="AX165">
        <v>0</v>
      </c>
      <c r="AY165" t="s">
        <v>56</v>
      </c>
      <c r="AZ165" t="s">
        <v>56</v>
      </c>
      <c r="BA165" t="s">
        <v>583</v>
      </c>
      <c r="BK165" t="s">
        <v>56</v>
      </c>
    </row>
    <row r="166" spans="1:63" hidden="1" x14ac:dyDescent="0.3">
      <c r="A166" t="s">
        <v>906</v>
      </c>
      <c r="B166" t="s">
        <v>98</v>
      </c>
      <c r="C166">
        <v>73404</v>
      </c>
      <c r="D166">
        <v>1</v>
      </c>
      <c r="E166" t="s">
        <v>57</v>
      </c>
      <c r="F166">
        <v>102</v>
      </c>
      <c r="G166" t="s">
        <v>52</v>
      </c>
      <c r="H166">
        <v>10</v>
      </c>
      <c r="J166">
        <v>102</v>
      </c>
      <c r="K166" t="s">
        <v>60</v>
      </c>
      <c r="L166">
        <v>25</v>
      </c>
      <c r="M166" t="s">
        <v>907</v>
      </c>
      <c r="N166" t="s">
        <v>303</v>
      </c>
      <c r="O166" t="s">
        <v>303</v>
      </c>
      <c r="P166" t="s">
        <v>1139</v>
      </c>
      <c r="Q166">
        <v>-84.241833</v>
      </c>
      <c r="R166">
        <v>45.354315999999997</v>
      </c>
      <c r="X166">
        <v>105.91</v>
      </c>
      <c r="Y166">
        <v>52.954999999999998</v>
      </c>
      <c r="Z166">
        <v>47.08</v>
      </c>
      <c r="AA166">
        <v>164.74</v>
      </c>
      <c r="AB166">
        <v>123.47</v>
      </c>
      <c r="AC166">
        <v>61.734999999999999</v>
      </c>
      <c r="AD166">
        <v>60.73</v>
      </c>
      <c r="AE166">
        <v>186.21</v>
      </c>
      <c r="AF166">
        <v>82.72</v>
      </c>
      <c r="AG166">
        <v>41.36</v>
      </c>
      <c r="AH166">
        <v>49.25</v>
      </c>
      <c r="AI166">
        <v>116.2</v>
      </c>
      <c r="AJ166">
        <v>90.32</v>
      </c>
      <c r="AK166">
        <v>45.16</v>
      </c>
      <c r="AL166">
        <v>83.87</v>
      </c>
      <c r="AM166">
        <v>96.77</v>
      </c>
      <c r="AO166" s="1"/>
      <c r="AP166" s="1"/>
      <c r="AQ166" t="s">
        <v>215</v>
      </c>
      <c r="AR166" t="s">
        <v>215</v>
      </c>
      <c r="AT166">
        <v>0</v>
      </c>
      <c r="AU166" t="s">
        <v>1140</v>
      </c>
      <c r="AV166">
        <v>1.97</v>
      </c>
      <c r="AW166">
        <v>0</v>
      </c>
      <c r="AX166">
        <v>0</v>
      </c>
      <c r="AY166" t="s">
        <v>56</v>
      </c>
      <c r="AZ166" t="s">
        <v>54</v>
      </c>
      <c r="BA166" t="s">
        <v>583</v>
      </c>
      <c r="BK166" t="s">
        <v>54</v>
      </c>
    </row>
    <row r="167" spans="1:63" hidden="1" x14ac:dyDescent="0.3">
      <c r="A167" t="s">
        <v>809</v>
      </c>
      <c r="B167" t="s">
        <v>98</v>
      </c>
      <c r="C167">
        <v>73190</v>
      </c>
      <c r="D167">
        <v>0</v>
      </c>
      <c r="E167" t="s">
        <v>62</v>
      </c>
      <c r="F167">
        <v>102</v>
      </c>
      <c r="G167" t="s">
        <v>52</v>
      </c>
      <c r="H167">
        <v>22</v>
      </c>
      <c r="J167">
        <v>102</v>
      </c>
      <c r="K167" t="s">
        <v>53</v>
      </c>
      <c r="L167">
        <v>130</v>
      </c>
      <c r="M167" t="s">
        <v>755</v>
      </c>
      <c r="N167" t="s">
        <v>300</v>
      </c>
      <c r="O167" t="s">
        <v>300</v>
      </c>
      <c r="P167" t="s">
        <v>1141</v>
      </c>
      <c r="Q167">
        <v>-83.835275999999993</v>
      </c>
      <c r="R167">
        <v>45.422106999999997</v>
      </c>
      <c r="X167">
        <v>45.53</v>
      </c>
      <c r="Y167">
        <v>11.3825</v>
      </c>
      <c r="Z167">
        <v>44.2</v>
      </c>
      <c r="AA167">
        <v>46.86</v>
      </c>
      <c r="AB167">
        <v>49.44</v>
      </c>
      <c r="AC167">
        <v>12.36</v>
      </c>
      <c r="AD167">
        <v>48.09</v>
      </c>
      <c r="AE167">
        <v>50.78</v>
      </c>
      <c r="AF167">
        <v>50.53</v>
      </c>
      <c r="AG167">
        <v>12.6325</v>
      </c>
      <c r="AH167">
        <v>50.53</v>
      </c>
      <c r="AI167">
        <v>50.53</v>
      </c>
      <c r="AJ167">
        <v>54.42</v>
      </c>
      <c r="AK167">
        <v>13.605</v>
      </c>
      <c r="AL167">
        <v>50.53</v>
      </c>
      <c r="AM167">
        <v>58.3</v>
      </c>
      <c r="AO167" s="1"/>
      <c r="AP167" s="1"/>
      <c r="AQ167" t="s">
        <v>215</v>
      </c>
      <c r="AR167" t="s">
        <v>215</v>
      </c>
      <c r="AT167">
        <v>0.28632966358205802</v>
      </c>
      <c r="AU167" t="s">
        <v>1142</v>
      </c>
      <c r="AV167">
        <v>3.65</v>
      </c>
      <c r="AW167">
        <v>1.16132822260261</v>
      </c>
      <c r="AX167">
        <v>0</v>
      </c>
      <c r="AY167" t="s">
        <v>56</v>
      </c>
      <c r="AZ167" t="s">
        <v>54</v>
      </c>
      <c r="BA167" t="s">
        <v>583</v>
      </c>
      <c r="BD167" t="s">
        <v>434</v>
      </c>
      <c r="BE167" t="s">
        <v>303</v>
      </c>
      <c r="BF167" t="s">
        <v>60</v>
      </c>
      <c r="BI167" t="s">
        <v>54</v>
      </c>
      <c r="BK167" t="s">
        <v>54</v>
      </c>
    </row>
    <row r="168" spans="1:63" hidden="1" x14ac:dyDescent="0.3">
      <c r="A168" t="s">
        <v>835</v>
      </c>
      <c r="B168" t="s">
        <v>98</v>
      </c>
      <c r="C168">
        <v>70897</v>
      </c>
      <c r="D168">
        <v>2</v>
      </c>
      <c r="E168" t="s">
        <v>57</v>
      </c>
      <c r="F168">
        <v>102</v>
      </c>
      <c r="G168" t="s">
        <v>59</v>
      </c>
      <c r="H168">
        <v>21</v>
      </c>
      <c r="J168">
        <v>102</v>
      </c>
      <c r="K168" t="s">
        <v>59</v>
      </c>
      <c r="L168">
        <v>70</v>
      </c>
      <c r="M168" t="s">
        <v>1314</v>
      </c>
      <c r="N168" t="s">
        <v>300</v>
      </c>
      <c r="O168" t="s">
        <v>300</v>
      </c>
      <c r="P168" t="s">
        <v>1315</v>
      </c>
      <c r="Q168">
        <v>-84.702566000000004</v>
      </c>
      <c r="R168">
        <v>45.854405</v>
      </c>
      <c r="AB168">
        <v>153.77000000000001</v>
      </c>
      <c r="AC168">
        <v>38.442500000000003</v>
      </c>
      <c r="AD168">
        <v>76.88</v>
      </c>
      <c r="AE168">
        <v>230.65</v>
      </c>
      <c r="AF168">
        <v>222.11</v>
      </c>
      <c r="AG168">
        <v>55.527500000000003</v>
      </c>
      <c r="AH168">
        <v>222.11</v>
      </c>
      <c r="AI168">
        <v>222.11</v>
      </c>
      <c r="AJ168">
        <v>69.7</v>
      </c>
      <c r="AK168">
        <v>17.425000000000001</v>
      </c>
      <c r="AL168">
        <v>-87.12</v>
      </c>
      <c r="AM168">
        <v>226.51</v>
      </c>
      <c r="AO168" s="1"/>
      <c r="AP168" s="1"/>
      <c r="AQ168" t="s">
        <v>215</v>
      </c>
      <c r="AR168" t="s">
        <v>215</v>
      </c>
      <c r="AT168">
        <v>0</v>
      </c>
      <c r="AU168" t="s">
        <v>1167</v>
      </c>
      <c r="AW168">
        <v>0</v>
      </c>
      <c r="AX168">
        <v>0</v>
      </c>
      <c r="AY168" t="s">
        <v>56</v>
      </c>
      <c r="AZ168" t="s">
        <v>56</v>
      </c>
      <c r="BA168" t="s">
        <v>583</v>
      </c>
      <c r="BH168" t="s">
        <v>1170</v>
      </c>
      <c r="BK168" t="s">
        <v>56</v>
      </c>
    </row>
    <row r="169" spans="1:63" hidden="1" x14ac:dyDescent="0.3">
      <c r="A169" t="s">
        <v>706</v>
      </c>
      <c r="B169" t="s">
        <v>98</v>
      </c>
      <c r="C169">
        <v>99031</v>
      </c>
      <c r="D169">
        <v>61</v>
      </c>
      <c r="E169" t="s">
        <v>63</v>
      </c>
      <c r="F169">
        <v>102</v>
      </c>
      <c r="G169" t="s">
        <v>58</v>
      </c>
      <c r="H169">
        <v>11</v>
      </c>
      <c r="J169">
        <v>102</v>
      </c>
      <c r="K169" t="s">
        <v>58</v>
      </c>
      <c r="L169">
        <v>135</v>
      </c>
      <c r="M169" t="s">
        <v>707</v>
      </c>
      <c r="N169" t="s">
        <v>300</v>
      </c>
      <c r="O169" t="s">
        <v>300</v>
      </c>
      <c r="P169" t="s">
        <v>1316</v>
      </c>
      <c r="Q169">
        <v>-84.790692000000007</v>
      </c>
      <c r="R169">
        <v>45.440122000000002</v>
      </c>
      <c r="S169">
        <v>8</v>
      </c>
      <c r="X169">
        <v>130.51</v>
      </c>
      <c r="Y169">
        <v>32.627499999999998</v>
      </c>
      <c r="Z169">
        <v>103.47</v>
      </c>
      <c r="AA169">
        <v>157.56</v>
      </c>
      <c r="AB169">
        <v>125.4</v>
      </c>
      <c r="AC169">
        <v>31.35</v>
      </c>
      <c r="AD169">
        <v>72.760000000000005</v>
      </c>
      <c r="AE169">
        <v>178.04</v>
      </c>
      <c r="AF169">
        <v>142.4</v>
      </c>
      <c r="AG169">
        <v>35.6</v>
      </c>
      <c r="AH169">
        <v>90.98</v>
      </c>
      <c r="AI169">
        <v>193.83</v>
      </c>
      <c r="AJ169">
        <v>122.22</v>
      </c>
      <c r="AK169">
        <v>30.555</v>
      </c>
      <c r="AL169">
        <v>87.7</v>
      </c>
      <c r="AM169">
        <v>156.75</v>
      </c>
      <c r="AO169" s="1"/>
      <c r="AP169" s="1"/>
      <c r="AQ169" t="s">
        <v>215</v>
      </c>
      <c r="AR169" t="s">
        <v>215</v>
      </c>
      <c r="AT169">
        <v>4.35308086049106</v>
      </c>
      <c r="AU169" t="s">
        <v>1317</v>
      </c>
      <c r="AV169">
        <v>13.86</v>
      </c>
      <c r="AW169">
        <v>5.8515568170696497</v>
      </c>
      <c r="AX169">
        <v>0</v>
      </c>
      <c r="AY169" t="s">
        <v>56</v>
      </c>
      <c r="AZ169" t="s">
        <v>56</v>
      </c>
      <c r="BA169" t="s">
        <v>583</v>
      </c>
      <c r="BK169" t="s">
        <v>56</v>
      </c>
    </row>
    <row r="170" spans="1:63" hidden="1" x14ac:dyDescent="0.3">
      <c r="A170" t="s">
        <v>708</v>
      </c>
      <c r="B170" t="s">
        <v>98</v>
      </c>
      <c r="C170">
        <v>99031</v>
      </c>
      <c r="D170">
        <v>89</v>
      </c>
      <c r="E170" t="s">
        <v>57</v>
      </c>
      <c r="F170">
        <v>102</v>
      </c>
      <c r="G170" t="s">
        <v>58</v>
      </c>
      <c r="H170">
        <v>8</v>
      </c>
      <c r="J170">
        <v>102</v>
      </c>
      <c r="K170" t="s">
        <v>58</v>
      </c>
      <c r="L170">
        <v>95</v>
      </c>
      <c r="M170" t="s">
        <v>709</v>
      </c>
      <c r="N170" t="s">
        <v>300</v>
      </c>
      <c r="O170" t="s">
        <v>300</v>
      </c>
      <c r="P170" t="s">
        <v>1318</v>
      </c>
      <c r="Q170">
        <v>-84.629690999999994</v>
      </c>
      <c r="R170">
        <v>45.396483000000003</v>
      </c>
      <c r="S170">
        <v>4</v>
      </c>
      <c r="X170">
        <v>68.2</v>
      </c>
      <c r="Y170">
        <v>17.05</v>
      </c>
      <c r="Z170">
        <v>44.94</v>
      </c>
      <c r="AA170">
        <v>91.46</v>
      </c>
      <c r="AB170">
        <v>92.27</v>
      </c>
      <c r="AC170">
        <v>23.067499999999999</v>
      </c>
      <c r="AD170">
        <v>43.24</v>
      </c>
      <c r="AE170">
        <v>141.30000000000001</v>
      </c>
      <c r="AF170">
        <v>93.7</v>
      </c>
      <c r="AG170">
        <v>23.425000000000001</v>
      </c>
      <c r="AH170">
        <v>55.77</v>
      </c>
      <c r="AI170">
        <v>131.63999999999999</v>
      </c>
      <c r="AJ170">
        <v>76.88</v>
      </c>
      <c r="AK170">
        <v>19.22</v>
      </c>
      <c r="AL170">
        <v>52.06</v>
      </c>
      <c r="AM170">
        <v>101.7</v>
      </c>
      <c r="AO170" s="1"/>
      <c r="AP170" s="1"/>
      <c r="AQ170" t="s">
        <v>215</v>
      </c>
      <c r="AR170" t="s">
        <v>215</v>
      </c>
      <c r="AT170">
        <v>0.933496607344658</v>
      </c>
      <c r="AU170" t="s">
        <v>1319</v>
      </c>
      <c r="AV170">
        <v>12.05</v>
      </c>
      <c r="AW170">
        <v>1.7590164523571701</v>
      </c>
      <c r="AX170">
        <v>0</v>
      </c>
      <c r="AY170" t="s">
        <v>56</v>
      </c>
      <c r="AZ170" t="s">
        <v>56</v>
      </c>
      <c r="BA170" t="s">
        <v>583</v>
      </c>
      <c r="BK170" t="s">
        <v>56</v>
      </c>
    </row>
    <row r="171" spans="1:63" hidden="1" x14ac:dyDescent="0.3">
      <c r="A171" t="s">
        <v>710</v>
      </c>
      <c r="B171" t="s">
        <v>98</v>
      </c>
      <c r="C171">
        <v>99031</v>
      </c>
      <c r="D171">
        <v>90</v>
      </c>
      <c r="E171" t="s">
        <v>63</v>
      </c>
      <c r="F171">
        <v>102</v>
      </c>
      <c r="G171" t="s">
        <v>58</v>
      </c>
      <c r="H171">
        <v>16</v>
      </c>
      <c r="J171">
        <v>102</v>
      </c>
      <c r="K171" t="s">
        <v>58</v>
      </c>
      <c r="L171">
        <v>40</v>
      </c>
      <c r="M171" t="s">
        <v>711</v>
      </c>
      <c r="N171" t="s">
        <v>300</v>
      </c>
      <c r="O171" t="s">
        <v>300</v>
      </c>
      <c r="P171" t="s">
        <v>1320</v>
      </c>
      <c r="Q171">
        <v>-84.612644000000003</v>
      </c>
      <c r="R171">
        <v>45.404069</v>
      </c>
      <c r="S171">
        <v>6</v>
      </c>
      <c r="X171">
        <v>144.88</v>
      </c>
      <c r="Y171">
        <v>36.22</v>
      </c>
      <c r="Z171">
        <v>95.89</v>
      </c>
      <c r="AA171">
        <v>193.88</v>
      </c>
      <c r="AB171">
        <v>196.52</v>
      </c>
      <c r="AC171">
        <v>49.13</v>
      </c>
      <c r="AD171">
        <v>140.91</v>
      </c>
      <c r="AE171">
        <v>252.14</v>
      </c>
      <c r="AF171">
        <v>245.73</v>
      </c>
      <c r="AG171">
        <v>61.432499999999997</v>
      </c>
      <c r="AH171">
        <v>210.2</v>
      </c>
      <c r="AI171">
        <v>281.26</v>
      </c>
      <c r="AJ171">
        <v>160.75</v>
      </c>
      <c r="AK171">
        <v>40.1875</v>
      </c>
      <c r="AL171">
        <v>100.49</v>
      </c>
      <c r="AM171">
        <v>221</v>
      </c>
      <c r="AO171" s="1"/>
      <c r="AP171" s="1"/>
      <c r="AQ171" t="s">
        <v>215</v>
      </c>
      <c r="AR171" t="s">
        <v>215</v>
      </c>
      <c r="AT171">
        <v>0.24474748619884601</v>
      </c>
      <c r="AU171" t="s">
        <v>1321</v>
      </c>
      <c r="AV171">
        <v>18.39</v>
      </c>
      <c r="AW171">
        <v>0.90595313906669594</v>
      </c>
      <c r="AX171">
        <v>0</v>
      </c>
      <c r="AY171" t="s">
        <v>56</v>
      </c>
      <c r="AZ171" t="s">
        <v>56</v>
      </c>
      <c r="BA171" t="s">
        <v>583</v>
      </c>
      <c r="BK171" t="s">
        <v>56</v>
      </c>
    </row>
    <row r="172" spans="1:63" hidden="1" x14ac:dyDescent="0.3">
      <c r="A172" t="s">
        <v>712</v>
      </c>
      <c r="B172" t="s">
        <v>98</v>
      </c>
      <c r="C172">
        <v>99031</v>
      </c>
      <c r="D172">
        <v>91</v>
      </c>
      <c r="E172" t="s">
        <v>63</v>
      </c>
      <c r="F172">
        <v>102</v>
      </c>
      <c r="G172" t="s">
        <v>53</v>
      </c>
      <c r="H172">
        <v>8</v>
      </c>
      <c r="J172">
        <v>102</v>
      </c>
      <c r="K172" t="s">
        <v>52</v>
      </c>
      <c r="L172">
        <v>10</v>
      </c>
      <c r="M172" t="s">
        <v>713</v>
      </c>
      <c r="N172" t="s">
        <v>300</v>
      </c>
      <c r="O172" t="s">
        <v>300</v>
      </c>
      <c r="P172" t="s">
        <v>1143</v>
      </c>
      <c r="Q172">
        <v>-84.479725000000002</v>
      </c>
      <c r="R172">
        <v>45.629212000000003</v>
      </c>
      <c r="S172">
        <v>2</v>
      </c>
      <c r="X172">
        <v>55.19</v>
      </c>
      <c r="Y172">
        <v>13.797499999999999</v>
      </c>
      <c r="Z172">
        <v>32.369999999999997</v>
      </c>
      <c r="AA172">
        <v>78.010000000000005</v>
      </c>
      <c r="AB172">
        <v>57.47</v>
      </c>
      <c r="AC172">
        <v>14.3675</v>
      </c>
      <c r="AD172">
        <v>22.61</v>
      </c>
      <c r="AE172">
        <v>92.33</v>
      </c>
      <c r="AF172">
        <v>60.68</v>
      </c>
      <c r="AG172">
        <v>15.17</v>
      </c>
      <c r="AH172">
        <v>31.37</v>
      </c>
      <c r="AI172">
        <v>89.98</v>
      </c>
      <c r="AJ172">
        <v>87.3</v>
      </c>
      <c r="AK172">
        <v>21.824999999999999</v>
      </c>
      <c r="AL172">
        <v>52.42</v>
      </c>
      <c r="AM172">
        <v>122.18</v>
      </c>
      <c r="AO172" s="1"/>
      <c r="AP172" s="1"/>
      <c r="AQ172" t="s">
        <v>215</v>
      </c>
      <c r="AR172" t="s">
        <v>215</v>
      </c>
      <c r="AT172">
        <v>2.115552195961</v>
      </c>
      <c r="AU172" t="s">
        <v>1144</v>
      </c>
      <c r="AV172">
        <v>7.06</v>
      </c>
      <c r="AW172">
        <v>3.24035592377186</v>
      </c>
      <c r="AX172">
        <v>0</v>
      </c>
      <c r="AY172" t="s">
        <v>56</v>
      </c>
      <c r="AZ172" t="s">
        <v>54</v>
      </c>
      <c r="BA172" t="s">
        <v>583</v>
      </c>
      <c r="BC172">
        <v>2</v>
      </c>
      <c r="BD172" t="s">
        <v>212</v>
      </c>
      <c r="BE172" t="s">
        <v>299</v>
      </c>
      <c r="BK172" t="s">
        <v>54</v>
      </c>
    </row>
    <row r="173" spans="1:63" hidden="1" x14ac:dyDescent="0.3">
      <c r="A173" t="s">
        <v>627</v>
      </c>
      <c r="B173" t="s">
        <v>98</v>
      </c>
      <c r="C173">
        <v>99031</v>
      </c>
      <c r="D173">
        <v>92</v>
      </c>
      <c r="E173" t="s">
        <v>57</v>
      </c>
      <c r="F173">
        <v>102</v>
      </c>
      <c r="G173" t="s">
        <v>52</v>
      </c>
      <c r="H173">
        <v>18</v>
      </c>
      <c r="J173">
        <v>102</v>
      </c>
      <c r="K173" t="s">
        <v>53</v>
      </c>
      <c r="L173">
        <v>105</v>
      </c>
      <c r="M173" t="s">
        <v>628</v>
      </c>
      <c r="N173" t="s">
        <v>300</v>
      </c>
      <c r="O173" t="s">
        <v>300</v>
      </c>
      <c r="P173" t="s">
        <v>1145</v>
      </c>
      <c r="Q173">
        <v>-83.827251000000004</v>
      </c>
      <c r="R173">
        <v>45.412317000000002</v>
      </c>
      <c r="S173">
        <v>4</v>
      </c>
      <c r="X173">
        <v>128.53</v>
      </c>
      <c r="Y173">
        <v>32.1325</v>
      </c>
      <c r="Z173">
        <v>88.07</v>
      </c>
      <c r="AA173">
        <v>168.98</v>
      </c>
      <c r="AB173">
        <v>154.69</v>
      </c>
      <c r="AC173">
        <v>38.672499999999999</v>
      </c>
      <c r="AD173">
        <v>115.96</v>
      </c>
      <c r="AE173">
        <v>193.43</v>
      </c>
      <c r="AF173">
        <v>158.63999999999999</v>
      </c>
      <c r="AG173">
        <v>39.659999999999997</v>
      </c>
      <c r="AH173">
        <v>122.51</v>
      </c>
      <c r="AI173">
        <v>194.78</v>
      </c>
      <c r="AJ173">
        <v>158.03</v>
      </c>
      <c r="AK173">
        <v>39.5075</v>
      </c>
      <c r="AL173">
        <v>117.87</v>
      </c>
      <c r="AM173">
        <v>198.2</v>
      </c>
      <c r="AO173" s="1"/>
      <c r="AP173" s="1"/>
      <c r="AQ173" t="s">
        <v>215</v>
      </c>
      <c r="AR173" t="s">
        <v>215</v>
      </c>
      <c r="AT173">
        <v>1.02171072700523E-2</v>
      </c>
      <c r="AU173" t="s">
        <v>1146</v>
      </c>
      <c r="AV173">
        <v>13.18</v>
      </c>
      <c r="AW173">
        <v>2.8186213225126301E-2</v>
      </c>
      <c r="AX173">
        <v>0</v>
      </c>
      <c r="AY173" t="s">
        <v>56</v>
      </c>
      <c r="AZ173" t="s">
        <v>54</v>
      </c>
      <c r="BA173" t="s">
        <v>583</v>
      </c>
      <c r="BC173">
        <v>4</v>
      </c>
      <c r="BD173" t="s">
        <v>434</v>
      </c>
      <c r="BE173" t="s">
        <v>303</v>
      </c>
      <c r="BF173" t="s">
        <v>60</v>
      </c>
      <c r="BI173" t="s">
        <v>54</v>
      </c>
      <c r="BK173" t="s">
        <v>54</v>
      </c>
    </row>
    <row r="174" spans="1:63" hidden="1" x14ac:dyDescent="0.3">
      <c r="A174" t="s">
        <v>714</v>
      </c>
      <c r="B174" t="s">
        <v>98</v>
      </c>
      <c r="C174">
        <v>99031</v>
      </c>
      <c r="D174">
        <v>93</v>
      </c>
      <c r="E174" t="s">
        <v>63</v>
      </c>
      <c r="F174">
        <v>102</v>
      </c>
      <c r="G174" t="s">
        <v>59</v>
      </c>
      <c r="H174">
        <v>15</v>
      </c>
      <c r="J174">
        <v>102</v>
      </c>
      <c r="K174" t="s">
        <v>59</v>
      </c>
      <c r="L174">
        <v>160</v>
      </c>
      <c r="M174" t="s">
        <v>715</v>
      </c>
      <c r="N174" t="s">
        <v>300</v>
      </c>
      <c r="O174" t="s">
        <v>300</v>
      </c>
      <c r="P174" t="s">
        <v>1322</v>
      </c>
      <c r="Q174">
        <v>-84.719515999999999</v>
      </c>
      <c r="R174">
        <v>45.864587999999998</v>
      </c>
      <c r="S174">
        <v>4</v>
      </c>
      <c r="X174">
        <v>154.53</v>
      </c>
      <c r="Y174">
        <v>38.6325</v>
      </c>
      <c r="Z174">
        <v>107.76</v>
      </c>
      <c r="AA174">
        <v>201.3</v>
      </c>
      <c r="AB174">
        <v>152.76</v>
      </c>
      <c r="AC174">
        <v>38.19</v>
      </c>
      <c r="AD174">
        <v>101.78</v>
      </c>
      <c r="AE174">
        <v>203.74</v>
      </c>
      <c r="AF174">
        <v>193.25</v>
      </c>
      <c r="AG174">
        <v>48.3125</v>
      </c>
      <c r="AH174">
        <v>138.15</v>
      </c>
      <c r="AI174">
        <v>248.35</v>
      </c>
      <c r="AJ174">
        <v>146.6</v>
      </c>
      <c r="AK174">
        <v>36.65</v>
      </c>
      <c r="AL174">
        <v>98.49</v>
      </c>
      <c r="AM174">
        <v>194.72</v>
      </c>
      <c r="AO174" s="1"/>
      <c r="AP174" s="1"/>
      <c r="AQ174" t="s">
        <v>215</v>
      </c>
      <c r="AR174" t="s">
        <v>215</v>
      </c>
      <c r="AT174">
        <v>0.40075546508582899</v>
      </c>
      <c r="AU174" t="s">
        <v>1323</v>
      </c>
      <c r="AV174">
        <v>12.07</v>
      </c>
      <c r="AW174">
        <v>0.98796862922608897</v>
      </c>
      <c r="AX174">
        <v>0</v>
      </c>
      <c r="AY174" t="s">
        <v>56</v>
      </c>
      <c r="AZ174" t="s">
        <v>56</v>
      </c>
      <c r="BA174" t="s">
        <v>583</v>
      </c>
      <c r="BK174" t="s">
        <v>56</v>
      </c>
    </row>
    <row r="175" spans="1:63" hidden="1" x14ac:dyDescent="0.3">
      <c r="A175" t="s">
        <v>716</v>
      </c>
      <c r="B175" t="s">
        <v>98</v>
      </c>
      <c r="C175">
        <v>99031</v>
      </c>
      <c r="D175">
        <v>94</v>
      </c>
      <c r="E175" t="s">
        <v>57</v>
      </c>
      <c r="F175">
        <v>102</v>
      </c>
      <c r="G175" t="s">
        <v>59</v>
      </c>
      <c r="H175">
        <v>40</v>
      </c>
      <c r="J175">
        <v>102</v>
      </c>
      <c r="K175" t="s">
        <v>59</v>
      </c>
      <c r="L175">
        <v>175</v>
      </c>
      <c r="M175" t="s">
        <v>717</v>
      </c>
      <c r="N175" t="s">
        <v>300</v>
      </c>
      <c r="O175" t="s">
        <v>300</v>
      </c>
      <c r="P175" t="s">
        <v>1324</v>
      </c>
      <c r="Q175">
        <v>-84.736125000000001</v>
      </c>
      <c r="R175">
        <v>45.855958999999999</v>
      </c>
      <c r="S175">
        <v>4</v>
      </c>
      <c r="X175">
        <v>177.4</v>
      </c>
      <c r="Y175">
        <v>44.35</v>
      </c>
      <c r="Z175">
        <v>116.67</v>
      </c>
      <c r="AA175">
        <v>238.13</v>
      </c>
      <c r="AB175">
        <v>216.47</v>
      </c>
      <c r="AC175">
        <v>54.1175</v>
      </c>
      <c r="AD175">
        <v>157.05000000000001</v>
      </c>
      <c r="AE175">
        <v>275.88</v>
      </c>
      <c r="AF175">
        <v>273.93</v>
      </c>
      <c r="AG175">
        <v>68.482500000000002</v>
      </c>
      <c r="AH175">
        <v>179.21</v>
      </c>
      <c r="AI175">
        <v>368.66</v>
      </c>
      <c r="AJ175">
        <v>182.6</v>
      </c>
      <c r="AK175">
        <v>45.65</v>
      </c>
      <c r="AL175">
        <v>116.96</v>
      </c>
      <c r="AM175">
        <v>248.23</v>
      </c>
      <c r="AO175" s="1"/>
      <c r="AP175" s="1"/>
      <c r="AQ175" t="s">
        <v>215</v>
      </c>
      <c r="AR175" t="s">
        <v>215</v>
      </c>
      <c r="AT175">
        <v>0.103819493001556</v>
      </c>
      <c r="AU175" t="s">
        <v>1325</v>
      </c>
      <c r="AV175">
        <v>18.2</v>
      </c>
      <c r="AW175">
        <v>0.37776010669767901</v>
      </c>
      <c r="AX175">
        <v>0</v>
      </c>
      <c r="AY175" t="s">
        <v>56</v>
      </c>
      <c r="AZ175" t="s">
        <v>56</v>
      </c>
      <c r="BA175" t="s">
        <v>583</v>
      </c>
      <c r="BK175" t="s">
        <v>56</v>
      </c>
    </row>
    <row r="176" spans="1:63" hidden="1" x14ac:dyDescent="0.3">
      <c r="A176" t="s">
        <v>718</v>
      </c>
      <c r="B176" t="s">
        <v>98</v>
      </c>
      <c r="C176">
        <v>99031</v>
      </c>
      <c r="D176">
        <v>97</v>
      </c>
      <c r="E176" t="s">
        <v>63</v>
      </c>
      <c r="F176">
        <v>102</v>
      </c>
      <c r="G176" t="s">
        <v>58</v>
      </c>
      <c r="H176">
        <v>4</v>
      </c>
      <c r="J176">
        <v>102</v>
      </c>
      <c r="K176" t="s">
        <v>58</v>
      </c>
      <c r="L176">
        <v>175</v>
      </c>
      <c r="M176" t="s">
        <v>719</v>
      </c>
      <c r="N176" t="s">
        <v>300</v>
      </c>
      <c r="O176" t="s">
        <v>300</v>
      </c>
      <c r="P176" t="s">
        <v>1326</v>
      </c>
      <c r="Q176">
        <v>-84.618786999999998</v>
      </c>
      <c r="R176">
        <v>45.578816000000003</v>
      </c>
      <c r="S176">
        <v>2</v>
      </c>
      <c r="X176">
        <v>57.97</v>
      </c>
      <c r="Y176">
        <v>14.4925</v>
      </c>
      <c r="Z176">
        <v>25.55</v>
      </c>
      <c r="AA176">
        <v>90.38</v>
      </c>
      <c r="AB176">
        <v>55.33</v>
      </c>
      <c r="AC176">
        <v>13.8325</v>
      </c>
      <c r="AD176">
        <v>32.979999999999997</v>
      </c>
      <c r="AE176">
        <v>77.69</v>
      </c>
      <c r="AF176">
        <v>109.53</v>
      </c>
      <c r="AG176">
        <v>27.3825</v>
      </c>
      <c r="AH176">
        <v>29.04</v>
      </c>
      <c r="AI176">
        <v>190.02</v>
      </c>
      <c r="AJ176">
        <v>51.81</v>
      </c>
      <c r="AK176">
        <v>12.952500000000001</v>
      </c>
      <c r="AL176">
        <v>34.479999999999997</v>
      </c>
      <c r="AM176">
        <v>69.13</v>
      </c>
      <c r="AO176" s="1"/>
      <c r="AP176" s="1"/>
      <c r="AQ176" t="s">
        <v>215</v>
      </c>
      <c r="AR176" t="s">
        <v>215</v>
      </c>
      <c r="AT176">
        <v>9.1850726446511306</v>
      </c>
      <c r="AU176" t="s">
        <v>1327</v>
      </c>
      <c r="AV176">
        <v>5.98</v>
      </c>
      <c r="AW176">
        <v>7.8833407219499403</v>
      </c>
      <c r="AX176">
        <v>0</v>
      </c>
      <c r="AY176" t="s">
        <v>56</v>
      </c>
      <c r="AZ176" t="s">
        <v>56</v>
      </c>
      <c r="BA176" t="s">
        <v>583</v>
      </c>
      <c r="BK176" t="s">
        <v>56</v>
      </c>
    </row>
    <row r="177" spans="1:63" hidden="1" x14ac:dyDescent="0.3">
      <c r="A177" t="s">
        <v>793</v>
      </c>
      <c r="B177" t="s">
        <v>98</v>
      </c>
      <c r="C177">
        <v>73260</v>
      </c>
      <c r="D177">
        <v>0</v>
      </c>
      <c r="E177" t="s">
        <v>63</v>
      </c>
      <c r="F177">
        <v>102</v>
      </c>
      <c r="G177" t="s">
        <v>53</v>
      </c>
      <c r="H177">
        <v>11</v>
      </c>
      <c r="J177">
        <v>102</v>
      </c>
      <c r="K177" t="s">
        <v>52</v>
      </c>
      <c r="L177">
        <v>175</v>
      </c>
      <c r="M177" t="s">
        <v>899</v>
      </c>
      <c r="N177" t="s">
        <v>323</v>
      </c>
      <c r="O177" t="s">
        <v>323</v>
      </c>
      <c r="P177" t="s">
        <v>1147</v>
      </c>
      <c r="Q177">
        <v>-84.486233999999996</v>
      </c>
      <c r="R177">
        <v>45.629578000000002</v>
      </c>
      <c r="X177">
        <v>23.31</v>
      </c>
      <c r="Y177">
        <v>11.654999999999999</v>
      </c>
      <c r="Z177">
        <v>21.34</v>
      </c>
      <c r="AA177">
        <v>25.28</v>
      </c>
      <c r="AB177">
        <v>22.71</v>
      </c>
      <c r="AC177">
        <v>11.355</v>
      </c>
      <c r="AD177">
        <v>20.82</v>
      </c>
      <c r="AE177">
        <v>24.6</v>
      </c>
      <c r="AF177">
        <v>26.9</v>
      </c>
      <c r="AG177">
        <v>13.45</v>
      </c>
      <c r="AH177">
        <v>24.98</v>
      </c>
      <c r="AI177">
        <v>28.82</v>
      </c>
      <c r="AJ177">
        <v>23.07</v>
      </c>
      <c r="AK177">
        <v>11.535</v>
      </c>
      <c r="AL177">
        <v>21.15</v>
      </c>
      <c r="AM177">
        <v>24.99</v>
      </c>
      <c r="AO177" s="1"/>
      <c r="AP177" s="1"/>
      <c r="AQ177" t="s">
        <v>215</v>
      </c>
      <c r="AR177" t="s">
        <v>215</v>
      </c>
      <c r="AT177">
        <v>0.78089326222079003</v>
      </c>
      <c r="AU177" t="s">
        <v>1148</v>
      </c>
      <c r="AV177">
        <v>8.0399999999999991</v>
      </c>
      <c r="AW177">
        <v>2.8700683172792201</v>
      </c>
      <c r="AX177">
        <v>0</v>
      </c>
      <c r="AY177" t="s">
        <v>56</v>
      </c>
      <c r="AZ177" t="s">
        <v>54</v>
      </c>
      <c r="BA177" t="s">
        <v>583</v>
      </c>
      <c r="BK177" t="s">
        <v>54</v>
      </c>
    </row>
    <row r="178" spans="1:63" hidden="1" x14ac:dyDescent="0.3">
      <c r="A178" t="s">
        <v>655</v>
      </c>
      <c r="B178" t="s">
        <v>98</v>
      </c>
      <c r="C178">
        <v>73262</v>
      </c>
      <c r="D178">
        <v>0</v>
      </c>
      <c r="E178" t="s">
        <v>63</v>
      </c>
      <c r="F178">
        <v>102</v>
      </c>
      <c r="G178" t="s">
        <v>53</v>
      </c>
      <c r="H178">
        <v>29</v>
      </c>
      <c r="J178">
        <v>102</v>
      </c>
      <c r="K178" t="s">
        <v>52</v>
      </c>
      <c r="L178">
        <v>200</v>
      </c>
      <c r="M178" t="s">
        <v>656</v>
      </c>
      <c r="N178" t="s">
        <v>300</v>
      </c>
      <c r="O178" t="s">
        <v>300</v>
      </c>
      <c r="P178" t="s">
        <v>1149</v>
      </c>
      <c r="Q178">
        <v>-84.097240999999997</v>
      </c>
      <c r="R178">
        <v>45.494593000000002</v>
      </c>
      <c r="S178">
        <v>15</v>
      </c>
      <c r="T178">
        <v>1</v>
      </c>
      <c r="U178" t="s">
        <v>313</v>
      </c>
      <c r="V178">
        <v>7</v>
      </c>
      <c r="W178">
        <v>0.63636363636363635</v>
      </c>
      <c r="AB178">
        <v>96.23</v>
      </c>
      <c r="AC178">
        <v>24.057500000000001</v>
      </c>
      <c r="AD178">
        <v>-6.47</v>
      </c>
      <c r="AE178">
        <v>198.93</v>
      </c>
      <c r="AF178">
        <v>241.9</v>
      </c>
      <c r="AG178">
        <v>60.475000000000001</v>
      </c>
      <c r="AH178">
        <v>199.97</v>
      </c>
      <c r="AI178">
        <v>283.83999999999997</v>
      </c>
      <c r="AJ178">
        <v>206.44</v>
      </c>
      <c r="AK178">
        <v>51.61</v>
      </c>
      <c r="AL178">
        <v>173.62</v>
      </c>
      <c r="AM178">
        <v>239.25</v>
      </c>
      <c r="AO178" s="1"/>
      <c r="AP178" s="1"/>
      <c r="AQ178" t="s">
        <v>215</v>
      </c>
      <c r="AR178" t="s">
        <v>215</v>
      </c>
      <c r="AT178">
        <v>25.3058426313195</v>
      </c>
      <c r="AU178" t="s">
        <v>1150</v>
      </c>
      <c r="AW178">
        <v>25.452702557668101</v>
      </c>
      <c r="AX178">
        <v>0</v>
      </c>
      <c r="AY178" t="s">
        <v>56</v>
      </c>
      <c r="AZ178" t="s">
        <v>54</v>
      </c>
      <c r="BA178" t="s">
        <v>583</v>
      </c>
      <c r="BC178">
        <v>15</v>
      </c>
      <c r="BD178" t="s">
        <v>212</v>
      </c>
      <c r="BE178" t="s">
        <v>299</v>
      </c>
      <c r="BK178" t="s">
        <v>54</v>
      </c>
    </row>
    <row r="179" spans="1:63" hidden="1" x14ac:dyDescent="0.3">
      <c r="A179" t="s">
        <v>794</v>
      </c>
      <c r="B179" t="s">
        <v>98</v>
      </c>
      <c r="C179">
        <v>73264</v>
      </c>
      <c r="D179">
        <v>0</v>
      </c>
      <c r="E179" t="s">
        <v>62</v>
      </c>
      <c r="F179">
        <v>102</v>
      </c>
      <c r="G179" t="s">
        <v>53</v>
      </c>
      <c r="H179">
        <v>8</v>
      </c>
      <c r="J179">
        <v>102</v>
      </c>
      <c r="K179" t="s">
        <v>58</v>
      </c>
      <c r="L179">
        <v>185</v>
      </c>
      <c r="M179" t="s">
        <v>859</v>
      </c>
      <c r="N179" t="s">
        <v>323</v>
      </c>
      <c r="O179" t="s">
        <v>323</v>
      </c>
      <c r="P179" t="s">
        <v>1151</v>
      </c>
      <c r="Q179">
        <v>-84.473716999999994</v>
      </c>
      <c r="R179">
        <v>45.596049000000001</v>
      </c>
      <c r="X179">
        <v>25.14</v>
      </c>
      <c r="Y179">
        <v>12.57</v>
      </c>
      <c r="Z179">
        <v>23.05</v>
      </c>
      <c r="AA179">
        <v>27.24</v>
      </c>
      <c r="AB179">
        <v>95.54</v>
      </c>
      <c r="AC179">
        <v>47.77</v>
      </c>
      <c r="AD179">
        <v>43.99</v>
      </c>
      <c r="AE179">
        <v>147.09</v>
      </c>
      <c r="AF179">
        <v>164.28</v>
      </c>
      <c r="AG179">
        <v>82.14</v>
      </c>
      <c r="AH179">
        <v>114.6</v>
      </c>
      <c r="AI179">
        <v>213.97</v>
      </c>
      <c r="AJ179">
        <v>78.72</v>
      </c>
      <c r="AK179">
        <v>39.36</v>
      </c>
      <c r="AL179">
        <v>58.91</v>
      </c>
      <c r="AM179">
        <v>98.52</v>
      </c>
      <c r="AO179" s="1"/>
      <c r="AP179" s="1"/>
      <c r="AQ179" t="s">
        <v>215</v>
      </c>
      <c r="AR179" t="s">
        <v>215</v>
      </c>
      <c r="AT179">
        <v>0.31016287191677999</v>
      </c>
      <c r="AU179" t="s">
        <v>1152</v>
      </c>
      <c r="AV179">
        <v>14.2</v>
      </c>
      <c r="AW179">
        <v>0.78385861963033698</v>
      </c>
      <c r="AX179">
        <v>0</v>
      </c>
      <c r="AY179" t="s">
        <v>56</v>
      </c>
      <c r="AZ179" t="s">
        <v>54</v>
      </c>
      <c r="BA179" t="s">
        <v>583</v>
      </c>
      <c r="BK179" t="s">
        <v>54</v>
      </c>
    </row>
    <row r="180" spans="1:63" hidden="1" x14ac:dyDescent="0.3">
      <c r="A180" t="s">
        <v>846</v>
      </c>
      <c r="B180" t="s">
        <v>98</v>
      </c>
      <c r="C180">
        <v>73277</v>
      </c>
      <c r="D180">
        <v>0</v>
      </c>
      <c r="E180" t="s">
        <v>64</v>
      </c>
      <c r="F180">
        <v>102</v>
      </c>
      <c r="G180" t="s">
        <v>60</v>
      </c>
      <c r="H180">
        <v>17</v>
      </c>
      <c r="J180">
        <v>102</v>
      </c>
      <c r="K180" t="s">
        <v>60</v>
      </c>
      <c r="L180">
        <v>100</v>
      </c>
      <c r="M180" t="s">
        <v>1328</v>
      </c>
      <c r="N180" t="s">
        <v>300</v>
      </c>
      <c r="O180" t="s">
        <v>300</v>
      </c>
      <c r="P180" t="s">
        <v>1329</v>
      </c>
      <c r="Q180">
        <v>-83.570402000000001</v>
      </c>
      <c r="R180">
        <v>45.077407999999998</v>
      </c>
      <c r="X180">
        <v>8.65</v>
      </c>
      <c r="Y180">
        <v>2.1625000000000001</v>
      </c>
      <c r="Z180">
        <v>-5.99</v>
      </c>
      <c r="AA180">
        <v>23.3</v>
      </c>
      <c r="AB180">
        <v>106.78</v>
      </c>
      <c r="AC180">
        <v>26.695</v>
      </c>
      <c r="AD180">
        <v>33.03</v>
      </c>
      <c r="AE180">
        <v>180.53</v>
      </c>
      <c r="AF180">
        <v>146.82</v>
      </c>
      <c r="AG180">
        <v>36.704999999999998</v>
      </c>
      <c r="AH180">
        <v>73</v>
      </c>
      <c r="AI180">
        <v>220.63</v>
      </c>
      <c r="AJ180">
        <v>81.78</v>
      </c>
      <c r="AK180">
        <v>20.445</v>
      </c>
      <c r="AL180">
        <v>9.9700000000000006</v>
      </c>
      <c r="AM180">
        <v>153.6</v>
      </c>
      <c r="AO180" s="1"/>
      <c r="AP180" s="1"/>
      <c r="AQ180" t="s">
        <v>215</v>
      </c>
      <c r="AR180" t="s">
        <v>215</v>
      </c>
      <c r="AT180">
        <v>0</v>
      </c>
      <c r="AU180" t="s">
        <v>1330</v>
      </c>
      <c r="AV180">
        <v>0.35</v>
      </c>
      <c r="AW180">
        <v>0</v>
      </c>
      <c r="AX180">
        <v>0</v>
      </c>
      <c r="AY180" t="s">
        <v>56</v>
      </c>
      <c r="AZ180" t="s">
        <v>56</v>
      </c>
      <c r="BA180" t="s">
        <v>583</v>
      </c>
      <c r="BK180" t="s">
        <v>56</v>
      </c>
    </row>
    <row r="181" spans="1:63" hidden="1" x14ac:dyDescent="0.3">
      <c r="A181" t="s">
        <v>773</v>
      </c>
      <c r="B181" t="s">
        <v>98</v>
      </c>
      <c r="C181">
        <v>99212</v>
      </c>
      <c r="D181">
        <v>1</v>
      </c>
      <c r="E181" t="s">
        <v>62</v>
      </c>
      <c r="F181">
        <v>102</v>
      </c>
      <c r="G181" t="s">
        <v>58</v>
      </c>
      <c r="H181">
        <v>5</v>
      </c>
      <c r="J181">
        <v>102</v>
      </c>
      <c r="K181" t="s">
        <v>58</v>
      </c>
      <c r="L181">
        <v>50</v>
      </c>
      <c r="M181" t="s">
        <v>1331</v>
      </c>
      <c r="N181" t="s">
        <v>323</v>
      </c>
      <c r="O181" t="s">
        <v>323</v>
      </c>
      <c r="P181" t="s">
        <v>1332</v>
      </c>
      <c r="Q181">
        <v>-84.614052000000001</v>
      </c>
      <c r="R181">
        <v>45.404437999999999</v>
      </c>
      <c r="X181">
        <v>38.770000000000003</v>
      </c>
      <c r="Y181">
        <v>19.385000000000002</v>
      </c>
      <c r="Z181">
        <v>35.89</v>
      </c>
      <c r="AA181">
        <v>41.65</v>
      </c>
      <c r="AB181">
        <v>34.89</v>
      </c>
      <c r="AC181">
        <v>17.445</v>
      </c>
      <c r="AD181">
        <v>31.98</v>
      </c>
      <c r="AE181">
        <v>37.799999999999997</v>
      </c>
      <c r="AF181">
        <v>40.729999999999997</v>
      </c>
      <c r="AG181">
        <v>20.364999999999998</v>
      </c>
      <c r="AH181">
        <v>37.82</v>
      </c>
      <c r="AI181">
        <v>43.64</v>
      </c>
      <c r="AJ181">
        <v>40.729999999999997</v>
      </c>
      <c r="AK181">
        <v>20.364999999999998</v>
      </c>
      <c r="AL181">
        <v>37.82</v>
      </c>
      <c r="AM181">
        <v>43.64</v>
      </c>
      <c r="AO181" s="1"/>
      <c r="AP181" s="1"/>
      <c r="AQ181" t="s">
        <v>215</v>
      </c>
      <c r="AR181" t="s">
        <v>215</v>
      </c>
      <c r="AT181">
        <v>0.14002369399915399</v>
      </c>
      <c r="AU181" t="s">
        <v>1333</v>
      </c>
      <c r="AV181">
        <v>6.08</v>
      </c>
      <c r="AW181">
        <v>0.76183260977268197</v>
      </c>
      <c r="AX181">
        <v>0</v>
      </c>
      <c r="AY181" t="s">
        <v>56</v>
      </c>
      <c r="AZ181" t="s">
        <v>56</v>
      </c>
      <c r="BA181" t="s">
        <v>583</v>
      </c>
      <c r="BK181" t="s">
        <v>56</v>
      </c>
    </row>
    <row r="182" spans="1:63" hidden="1" x14ac:dyDescent="0.3">
      <c r="A182" t="s">
        <v>595</v>
      </c>
      <c r="B182" t="s">
        <v>98</v>
      </c>
      <c r="C182">
        <v>73289</v>
      </c>
      <c r="D182">
        <v>0</v>
      </c>
      <c r="E182" t="s">
        <v>63</v>
      </c>
      <c r="F182">
        <v>102</v>
      </c>
      <c r="G182" t="s">
        <v>60</v>
      </c>
      <c r="H182">
        <v>19</v>
      </c>
      <c r="J182">
        <v>102</v>
      </c>
      <c r="K182" t="s">
        <v>53</v>
      </c>
      <c r="L182">
        <v>30</v>
      </c>
      <c r="M182" t="s">
        <v>596</v>
      </c>
      <c r="N182" t="s">
        <v>300</v>
      </c>
      <c r="O182" t="s">
        <v>300</v>
      </c>
      <c r="P182" t="s">
        <v>1153</v>
      </c>
      <c r="Q182">
        <v>-83.440226999999993</v>
      </c>
      <c r="R182">
        <v>45.137020999999997</v>
      </c>
      <c r="S182">
        <v>25</v>
      </c>
      <c r="T182">
        <v>1</v>
      </c>
      <c r="U182" t="s">
        <v>316</v>
      </c>
      <c r="V182">
        <v>12</v>
      </c>
      <c r="W182">
        <v>0.52</v>
      </c>
      <c r="X182">
        <v>73.67</v>
      </c>
      <c r="Y182">
        <v>18.4175</v>
      </c>
      <c r="Z182">
        <v>73.3</v>
      </c>
      <c r="AA182">
        <v>74.03</v>
      </c>
      <c r="AB182">
        <v>55.53</v>
      </c>
      <c r="AC182">
        <v>13.8825</v>
      </c>
      <c r="AD182">
        <v>44.54</v>
      </c>
      <c r="AE182">
        <v>66.53</v>
      </c>
      <c r="AF182">
        <v>46.3</v>
      </c>
      <c r="AG182">
        <v>11.574999999999999</v>
      </c>
      <c r="AH182">
        <v>39.17</v>
      </c>
      <c r="AI182">
        <v>53.42</v>
      </c>
      <c r="AJ182">
        <v>55.85</v>
      </c>
      <c r="AK182">
        <v>13.9625</v>
      </c>
      <c r="AL182">
        <v>39.590000000000003</v>
      </c>
      <c r="AM182">
        <v>72.11</v>
      </c>
      <c r="AO182" s="1"/>
      <c r="AP182" s="1"/>
      <c r="AQ182" t="s">
        <v>215</v>
      </c>
      <c r="AR182" t="s">
        <v>215</v>
      </c>
      <c r="AT182">
        <v>4.48169197228935</v>
      </c>
      <c r="AU182" t="s">
        <v>1154</v>
      </c>
      <c r="AV182">
        <v>7.32</v>
      </c>
      <c r="AW182">
        <v>4.8951971828937504</v>
      </c>
      <c r="AX182">
        <v>0</v>
      </c>
      <c r="AY182" t="s">
        <v>56</v>
      </c>
      <c r="AZ182" t="s">
        <v>54</v>
      </c>
      <c r="BA182" t="s">
        <v>583</v>
      </c>
      <c r="BC182">
        <v>25</v>
      </c>
      <c r="BD182" t="s">
        <v>435</v>
      </c>
      <c r="BE182" t="s">
        <v>301</v>
      </c>
      <c r="BF182" t="s">
        <v>58</v>
      </c>
      <c r="BG182" t="s">
        <v>54</v>
      </c>
      <c r="BK182" t="s">
        <v>54</v>
      </c>
    </row>
    <row r="183" spans="1:63" hidden="1" x14ac:dyDescent="0.3">
      <c r="A183" t="s">
        <v>609</v>
      </c>
      <c r="B183" t="s">
        <v>98</v>
      </c>
      <c r="C183">
        <v>99031</v>
      </c>
      <c r="D183">
        <v>104</v>
      </c>
      <c r="E183" t="s">
        <v>57</v>
      </c>
      <c r="F183">
        <v>102</v>
      </c>
      <c r="G183" t="s">
        <v>60</v>
      </c>
      <c r="H183">
        <v>9</v>
      </c>
      <c r="J183">
        <v>102</v>
      </c>
      <c r="K183" t="s">
        <v>53</v>
      </c>
      <c r="L183">
        <v>180</v>
      </c>
      <c r="M183" t="s">
        <v>610</v>
      </c>
      <c r="N183" t="s">
        <v>300</v>
      </c>
      <c r="O183" t="s">
        <v>300</v>
      </c>
      <c r="P183" t="s">
        <v>1155</v>
      </c>
      <c r="Q183">
        <v>-83.699364000000003</v>
      </c>
      <c r="R183">
        <v>45.266696000000003</v>
      </c>
      <c r="S183">
        <v>2</v>
      </c>
      <c r="X183">
        <v>94.16</v>
      </c>
      <c r="Y183">
        <v>23.54</v>
      </c>
      <c r="Z183">
        <v>66.790000000000006</v>
      </c>
      <c r="AA183">
        <v>121.53</v>
      </c>
      <c r="AB183">
        <v>126.07</v>
      </c>
      <c r="AC183">
        <v>31.517499999999998</v>
      </c>
      <c r="AD183">
        <v>58.28</v>
      </c>
      <c r="AE183">
        <v>193.86</v>
      </c>
      <c r="AF183">
        <v>100.35</v>
      </c>
      <c r="AG183">
        <v>25.087499999999999</v>
      </c>
      <c r="AH183">
        <v>66.989999999999995</v>
      </c>
      <c r="AI183">
        <v>133.71</v>
      </c>
      <c r="AJ183">
        <v>106.24</v>
      </c>
      <c r="AK183">
        <v>26.56</v>
      </c>
      <c r="AL183">
        <v>56.47</v>
      </c>
      <c r="AM183">
        <v>156.02000000000001</v>
      </c>
      <c r="AO183" s="1"/>
      <c r="AP183" s="1"/>
      <c r="AQ183" t="s">
        <v>215</v>
      </c>
      <c r="AR183" t="s">
        <v>215</v>
      </c>
      <c r="AT183">
        <v>0.186346752847348</v>
      </c>
      <c r="AU183" t="s">
        <v>1156</v>
      </c>
      <c r="AV183">
        <v>10.53</v>
      </c>
      <c r="AW183">
        <v>0.31945156492292898</v>
      </c>
      <c r="AX183">
        <v>0</v>
      </c>
      <c r="AY183" t="s">
        <v>56</v>
      </c>
      <c r="AZ183" t="s">
        <v>54</v>
      </c>
      <c r="BA183" t="s">
        <v>583</v>
      </c>
      <c r="BC183">
        <v>2</v>
      </c>
      <c r="BD183" t="s">
        <v>435</v>
      </c>
      <c r="BE183" t="s">
        <v>301</v>
      </c>
      <c r="BF183" t="s">
        <v>58</v>
      </c>
      <c r="BG183" t="s">
        <v>54</v>
      </c>
      <c r="BK183" t="s">
        <v>54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2CA2C-7629-4FEA-B2CD-94E8C38708BA}">
  <sheetPr codeName="Sheet21"/>
  <dimension ref="H2:BQ48"/>
  <sheetViews>
    <sheetView topLeftCell="O1" workbookViewId="0">
      <selection activeCell="BQ4" sqref="BQ4"/>
    </sheetView>
  </sheetViews>
  <sheetFormatPr defaultRowHeight="14.4" x14ac:dyDescent="0.3"/>
  <cols>
    <col min="8" max="8" width="10.44140625" customWidth="1"/>
    <col min="10" max="10" width="10.77734375" bestFit="1" customWidth="1"/>
    <col min="11" max="11" width="8.21875" bestFit="1" customWidth="1"/>
    <col min="12" max="13" width="8.33203125" bestFit="1" customWidth="1"/>
    <col min="14" max="14" width="9.44140625" bestFit="1" customWidth="1"/>
    <col min="15" max="15" width="9.21875" bestFit="1" customWidth="1"/>
    <col min="16" max="16" width="18" bestFit="1" customWidth="1"/>
    <col min="17" max="17" width="11.33203125" bestFit="1" customWidth="1"/>
    <col min="18" max="18" width="17.33203125" bestFit="1" customWidth="1"/>
    <col min="19" max="19" width="9.77734375" bestFit="1" customWidth="1"/>
    <col min="20" max="20" width="17.109375" bestFit="1" customWidth="1"/>
    <col min="21" max="21" width="10.44140625" bestFit="1" customWidth="1"/>
    <col min="22" max="22" width="29.6640625" bestFit="1" customWidth="1"/>
    <col min="23" max="23" width="56.5546875" bestFit="1" customWidth="1"/>
    <col min="24" max="24" width="21.88671875" bestFit="1" customWidth="1"/>
    <col min="25" max="25" width="12" bestFit="1" customWidth="1"/>
    <col min="26" max="26" width="14" bestFit="1" customWidth="1"/>
    <col min="27" max="27" width="16.21875" bestFit="1" customWidth="1"/>
    <col min="28" max="28" width="13.77734375" bestFit="1" customWidth="1"/>
    <col min="29" max="29" width="12.109375" bestFit="1" customWidth="1"/>
    <col min="30" max="30" width="13.77734375" bestFit="1" customWidth="1"/>
    <col min="31" max="31" width="26" bestFit="1" customWidth="1"/>
    <col min="32" max="32" width="26.33203125" bestFit="1" customWidth="1"/>
    <col min="33" max="33" width="26" bestFit="1" customWidth="1"/>
    <col min="34" max="34" width="26.33203125" bestFit="1" customWidth="1"/>
    <col min="35" max="35" width="26" bestFit="1" customWidth="1"/>
    <col min="36" max="36" width="26.33203125" bestFit="1" customWidth="1"/>
    <col min="37" max="37" width="26" bestFit="1" customWidth="1"/>
    <col min="38" max="38" width="26.33203125" bestFit="1" customWidth="1"/>
    <col min="39" max="42" width="24.109375" bestFit="1" customWidth="1"/>
    <col min="43" max="44" width="19.44140625" bestFit="1" customWidth="1"/>
    <col min="45" max="45" width="30.33203125" bestFit="1" customWidth="1"/>
    <col min="46" max="46" width="22.6640625" bestFit="1" customWidth="1"/>
    <col min="47" max="47" width="24.109375" bestFit="1" customWidth="1"/>
    <col min="48" max="48" width="23" bestFit="1" customWidth="1"/>
    <col min="49" max="49" width="24.109375" bestFit="1" customWidth="1"/>
    <col min="50" max="50" width="22.5546875" bestFit="1" customWidth="1"/>
    <col min="51" max="51" width="23" bestFit="1" customWidth="1"/>
    <col min="52" max="52" width="22.77734375" bestFit="1" customWidth="1"/>
    <col min="53" max="53" width="18.44140625" bestFit="1" customWidth="1"/>
    <col min="54" max="54" width="16.6640625" bestFit="1" customWidth="1"/>
    <col min="55" max="55" width="20.21875" bestFit="1" customWidth="1"/>
    <col min="56" max="56" width="17.109375" bestFit="1" customWidth="1"/>
    <col min="57" max="60" width="14.109375" bestFit="1" customWidth="1"/>
    <col min="61" max="61" width="32.109375" bestFit="1" customWidth="1"/>
    <col min="62" max="62" width="11.109375" bestFit="1" customWidth="1"/>
    <col min="63" max="63" width="23.21875" bestFit="1" customWidth="1"/>
    <col min="64" max="64" width="29.5546875" bestFit="1" customWidth="1"/>
    <col min="65" max="65" width="30.21875" bestFit="1" customWidth="1"/>
    <col min="66" max="66" width="22.88671875" bestFit="1" customWidth="1"/>
    <col min="67" max="67" width="41.5546875" bestFit="1" customWidth="1"/>
    <col min="68" max="68" width="46.77734375" bestFit="1" customWidth="1"/>
    <col min="69" max="69" width="44.6640625" bestFit="1" customWidth="1"/>
  </cols>
  <sheetData>
    <row r="2" spans="8:69" x14ac:dyDescent="0.3">
      <c r="H2" t="s">
        <v>261</v>
      </c>
      <c r="J2" t="s">
        <v>261</v>
      </c>
      <c r="K2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Q2" t="s">
        <v>6</v>
      </c>
      <c r="R2" t="s">
        <v>74</v>
      </c>
      <c r="S2" t="s">
        <v>7</v>
      </c>
      <c r="T2" t="s">
        <v>8</v>
      </c>
      <c r="U2" t="s">
        <v>9</v>
      </c>
      <c r="V2" t="s">
        <v>10</v>
      </c>
      <c r="W2" t="s">
        <v>11</v>
      </c>
      <c r="X2" t="s">
        <v>12</v>
      </c>
      <c r="Y2" t="s">
        <v>13</v>
      </c>
      <c r="Z2" t="s">
        <v>14</v>
      </c>
      <c r="AA2" t="s">
        <v>15</v>
      </c>
      <c r="AB2" t="s">
        <v>16</v>
      </c>
      <c r="AC2" t="s">
        <v>17</v>
      </c>
      <c r="AD2" t="s">
        <v>18</v>
      </c>
      <c r="AE2" t="s">
        <v>19</v>
      </c>
      <c r="AF2" t="s">
        <v>20</v>
      </c>
      <c r="AG2" t="s">
        <v>21</v>
      </c>
      <c r="AH2" t="s">
        <v>22</v>
      </c>
      <c r="AI2" t="s">
        <v>23</v>
      </c>
      <c r="AJ2" t="s">
        <v>24</v>
      </c>
      <c r="AK2" t="s">
        <v>25</v>
      </c>
      <c r="AL2" t="s">
        <v>26</v>
      </c>
      <c r="AM2" t="s">
        <v>27</v>
      </c>
      <c r="AN2" t="s">
        <v>28</v>
      </c>
      <c r="AO2" t="s">
        <v>29</v>
      </c>
      <c r="AP2" t="s">
        <v>30</v>
      </c>
      <c r="AQ2" t="s">
        <v>31</v>
      </c>
      <c r="AR2" t="s">
        <v>32</v>
      </c>
      <c r="AS2" t="s">
        <v>33</v>
      </c>
      <c r="AT2" t="s">
        <v>34</v>
      </c>
      <c r="AU2" t="s">
        <v>35</v>
      </c>
      <c r="AV2" t="s">
        <v>36</v>
      </c>
      <c r="AW2" t="s">
        <v>37</v>
      </c>
      <c r="AX2" t="s">
        <v>43</v>
      </c>
      <c r="AY2" t="s">
        <v>38</v>
      </c>
      <c r="AZ2" t="s">
        <v>39</v>
      </c>
      <c r="BA2" t="s">
        <v>40</v>
      </c>
      <c r="BB2" t="s">
        <v>41</v>
      </c>
      <c r="BC2" t="s">
        <v>42</v>
      </c>
      <c r="BD2" t="s">
        <v>44</v>
      </c>
      <c r="BE2" t="s">
        <v>45</v>
      </c>
      <c r="BF2" t="s">
        <v>46</v>
      </c>
      <c r="BG2" t="s">
        <v>47</v>
      </c>
      <c r="BH2" t="s">
        <v>48</v>
      </c>
      <c r="BI2" t="s">
        <v>49</v>
      </c>
      <c r="BJ2" t="s">
        <v>50</v>
      </c>
      <c r="BK2" t="s">
        <v>51</v>
      </c>
      <c r="BL2" t="s">
        <v>206</v>
      </c>
      <c r="BM2" t="s">
        <v>207</v>
      </c>
      <c r="BN2" t="s">
        <v>208</v>
      </c>
      <c r="BO2" t="s">
        <v>209</v>
      </c>
      <c r="BP2" t="s">
        <v>210</v>
      </c>
      <c r="BQ2" t="s">
        <v>211</v>
      </c>
    </row>
    <row r="3" spans="8:69" x14ac:dyDescent="0.3">
      <c r="H3">
        <v>13851</v>
      </c>
      <c r="J3" t="s">
        <v>96</v>
      </c>
      <c r="K3" t="s">
        <v>96</v>
      </c>
      <c r="L3">
        <v>17049</v>
      </c>
      <c r="M3">
        <v>0</v>
      </c>
      <c r="N3" t="s">
        <v>62</v>
      </c>
      <c r="O3">
        <v>15</v>
      </c>
      <c r="P3" t="s">
        <v>58</v>
      </c>
      <c r="Q3">
        <v>5</v>
      </c>
      <c r="R3">
        <v>30</v>
      </c>
      <c r="S3">
        <v>15</v>
      </c>
      <c r="T3" t="s">
        <v>60</v>
      </c>
      <c r="U3">
        <v>170</v>
      </c>
      <c r="V3" t="s">
        <v>97</v>
      </c>
      <c r="W3" t="s">
        <v>222</v>
      </c>
      <c r="Y3">
        <v>6</v>
      </c>
      <c r="AA3">
        <v>15</v>
      </c>
      <c r="AB3">
        <v>-83.513045000000005</v>
      </c>
      <c r="AC3">
        <v>42.502845999999998</v>
      </c>
      <c r="AE3">
        <v>145.63329999999999</v>
      </c>
      <c r="AF3">
        <v>146.4667</v>
      </c>
      <c r="AG3">
        <v>147.1789</v>
      </c>
      <c r="AH3">
        <v>148.14769999999999</v>
      </c>
      <c r="AI3">
        <v>146.8921</v>
      </c>
      <c r="AJ3">
        <v>156.42509999999999</v>
      </c>
      <c r="AK3">
        <v>159.75319999999999</v>
      </c>
      <c r="AL3">
        <v>163.70099999999999</v>
      </c>
      <c r="AM3">
        <v>146.05000000000001</v>
      </c>
      <c r="AN3">
        <v>147.66329999999999</v>
      </c>
      <c r="AO3">
        <v>151.65860000000001</v>
      </c>
      <c r="AP3">
        <v>161.72710000000001</v>
      </c>
      <c r="AU3" s="1">
        <v>0.33333333333333326</v>
      </c>
      <c r="AV3" s="1">
        <v>0.66666666666666674</v>
      </c>
      <c r="AX3" t="s">
        <v>54</v>
      </c>
      <c r="AZ3" t="s">
        <v>91</v>
      </c>
      <c r="BA3" t="s">
        <v>56</v>
      </c>
      <c r="BB3" t="s">
        <v>54</v>
      </c>
      <c r="BC3" t="s">
        <v>55</v>
      </c>
      <c r="BE3">
        <v>36.512500000000003</v>
      </c>
      <c r="BF3">
        <v>36.915824999999998</v>
      </c>
      <c r="BG3">
        <v>37.914650000000002</v>
      </c>
      <c r="BH3">
        <v>40.431775000000002</v>
      </c>
      <c r="BJ3">
        <v>6</v>
      </c>
      <c r="BK3" t="s">
        <v>56</v>
      </c>
    </row>
    <row r="4" spans="8:69" x14ac:dyDescent="0.3">
      <c r="H4">
        <v>11520</v>
      </c>
      <c r="J4" t="s">
        <v>100</v>
      </c>
      <c r="K4" t="s">
        <v>100</v>
      </c>
      <c r="L4">
        <v>73335</v>
      </c>
      <c r="M4">
        <v>13</v>
      </c>
      <c r="N4" t="s">
        <v>62</v>
      </c>
      <c r="O4">
        <v>15</v>
      </c>
      <c r="P4" t="s">
        <v>58</v>
      </c>
      <c r="Q4">
        <v>8</v>
      </c>
      <c r="R4">
        <v>60</v>
      </c>
      <c r="S4">
        <v>15</v>
      </c>
      <c r="T4" t="s">
        <v>60</v>
      </c>
      <c r="U4">
        <v>130</v>
      </c>
      <c r="V4" t="s">
        <v>101</v>
      </c>
      <c r="W4" t="s">
        <v>230</v>
      </c>
      <c r="Y4">
        <v>2</v>
      </c>
      <c r="AA4">
        <v>5</v>
      </c>
      <c r="AB4">
        <v>-83.536065988789602</v>
      </c>
      <c r="AC4">
        <v>42.496270305393303</v>
      </c>
      <c r="AE4">
        <v>49.21</v>
      </c>
      <c r="AF4">
        <v>51.21</v>
      </c>
      <c r="AG4">
        <v>52.727699999999999</v>
      </c>
      <c r="AH4">
        <v>56.798900000000003</v>
      </c>
      <c r="AI4">
        <v>56.783299999999997</v>
      </c>
      <c r="AJ4">
        <v>57.316699999999997</v>
      </c>
      <c r="AK4">
        <v>56.65</v>
      </c>
      <c r="AL4">
        <v>56.65</v>
      </c>
      <c r="AM4">
        <v>50.21</v>
      </c>
      <c r="AN4">
        <v>54.763300000000001</v>
      </c>
      <c r="AO4">
        <v>57.05</v>
      </c>
      <c r="AP4">
        <v>56.65</v>
      </c>
      <c r="AU4" s="1">
        <v>0.39583333333333326</v>
      </c>
      <c r="AV4" s="1">
        <v>0.66666666666666674</v>
      </c>
      <c r="AX4" t="s">
        <v>54</v>
      </c>
      <c r="AZ4" t="s">
        <v>91</v>
      </c>
      <c r="BA4" t="s">
        <v>56</v>
      </c>
      <c r="BB4" t="s">
        <v>54</v>
      </c>
      <c r="BC4" t="s">
        <v>55</v>
      </c>
      <c r="BE4">
        <v>12.5525</v>
      </c>
      <c r="BF4">
        <v>13.690825</v>
      </c>
      <c r="BG4">
        <v>14.262499999999999</v>
      </c>
      <c r="BH4">
        <v>14.1625</v>
      </c>
      <c r="BJ4">
        <v>2</v>
      </c>
      <c r="BK4" t="s">
        <v>56</v>
      </c>
    </row>
    <row r="5" spans="8:69" x14ac:dyDescent="0.3">
      <c r="H5">
        <v>12715</v>
      </c>
      <c r="J5" t="s">
        <v>102</v>
      </c>
      <c r="K5" t="s">
        <v>102</v>
      </c>
      <c r="L5">
        <v>99054</v>
      </c>
      <c r="M5">
        <v>47</v>
      </c>
      <c r="N5" t="s">
        <v>62</v>
      </c>
      <c r="O5">
        <v>15</v>
      </c>
      <c r="P5" t="s">
        <v>58</v>
      </c>
      <c r="Q5">
        <v>15</v>
      </c>
      <c r="R5">
        <v>270</v>
      </c>
      <c r="S5">
        <v>15</v>
      </c>
      <c r="T5" t="s">
        <v>60</v>
      </c>
      <c r="U5">
        <v>247</v>
      </c>
      <c r="V5" t="s">
        <v>61</v>
      </c>
      <c r="W5" t="s">
        <v>239</v>
      </c>
      <c r="Y5">
        <v>6</v>
      </c>
      <c r="AA5">
        <v>3</v>
      </c>
      <c r="AB5">
        <v>-83.474789999999999</v>
      </c>
      <c r="AC5">
        <v>42.482138999999997</v>
      </c>
      <c r="AE5">
        <v>43.365600000000001</v>
      </c>
      <c r="AF5">
        <v>82.147800000000004</v>
      </c>
      <c r="AG5">
        <v>48.692</v>
      </c>
      <c r="AH5">
        <v>115.988</v>
      </c>
      <c r="AI5">
        <v>52.578200000000002</v>
      </c>
      <c r="AJ5">
        <v>134.2304</v>
      </c>
      <c r="AK5">
        <v>53.18</v>
      </c>
      <c r="AL5">
        <v>181.78</v>
      </c>
      <c r="AM5">
        <v>62.756700000000002</v>
      </c>
      <c r="AN5">
        <v>82.34</v>
      </c>
      <c r="AO5">
        <v>93.404300000000006</v>
      </c>
      <c r="AP5">
        <v>117.48</v>
      </c>
      <c r="AU5" s="1">
        <v>0.41666666666666674</v>
      </c>
      <c r="AV5" s="1">
        <v>0.66666666666666674</v>
      </c>
      <c r="AX5" t="s">
        <v>54</v>
      </c>
      <c r="AZ5" t="s">
        <v>91</v>
      </c>
      <c r="BA5" t="s">
        <v>56</v>
      </c>
      <c r="BB5" t="s">
        <v>54</v>
      </c>
      <c r="BC5" t="s">
        <v>55</v>
      </c>
      <c r="BE5">
        <v>15.689175000000001</v>
      </c>
      <c r="BF5">
        <v>20.585000000000001</v>
      </c>
      <c r="BG5">
        <v>23.351075000000002</v>
      </c>
      <c r="BH5">
        <v>29.37</v>
      </c>
      <c r="BJ5">
        <v>6</v>
      </c>
      <c r="BK5" t="s">
        <v>56</v>
      </c>
    </row>
    <row r="6" spans="8:69" x14ac:dyDescent="0.3">
      <c r="H6">
        <v>16264</v>
      </c>
      <c r="J6" t="s">
        <v>113</v>
      </c>
      <c r="K6" t="s">
        <v>113</v>
      </c>
      <c r="L6">
        <v>99033</v>
      </c>
      <c r="M6">
        <v>84</v>
      </c>
      <c r="N6" t="s">
        <v>62</v>
      </c>
      <c r="O6">
        <v>34</v>
      </c>
      <c r="P6" t="s">
        <v>58</v>
      </c>
      <c r="Q6">
        <v>17</v>
      </c>
      <c r="R6">
        <v>190</v>
      </c>
      <c r="S6">
        <v>34</v>
      </c>
      <c r="T6" t="s">
        <v>60</v>
      </c>
      <c r="U6">
        <v>40</v>
      </c>
      <c r="V6" t="s">
        <v>114</v>
      </c>
      <c r="W6" t="s">
        <v>232</v>
      </c>
      <c r="Y6">
        <v>6</v>
      </c>
      <c r="AA6">
        <v>3</v>
      </c>
      <c r="AB6">
        <v>-83.039013999999995</v>
      </c>
      <c r="AC6">
        <v>42.334325</v>
      </c>
      <c r="AE6">
        <v>23.43</v>
      </c>
      <c r="AF6">
        <v>48.67</v>
      </c>
      <c r="AG6">
        <v>35.385599999999997</v>
      </c>
      <c r="AH6">
        <v>44.447800000000001</v>
      </c>
      <c r="AI6">
        <v>53.588999999999999</v>
      </c>
      <c r="AJ6">
        <v>58.633800000000001</v>
      </c>
      <c r="AK6">
        <v>21.787700000000001</v>
      </c>
      <c r="AL6">
        <v>152.48650000000001</v>
      </c>
      <c r="AM6">
        <v>36.049999999999997</v>
      </c>
      <c r="AN6">
        <v>39.916699999999999</v>
      </c>
      <c r="AO6">
        <v>56.111400000000003</v>
      </c>
      <c r="AP6">
        <v>87.137100000000004</v>
      </c>
      <c r="AU6" s="1">
        <v>7</v>
      </c>
      <c r="AV6" s="1">
        <v>0.6875</v>
      </c>
      <c r="AX6" t="s">
        <v>54</v>
      </c>
      <c r="AZ6" t="s">
        <v>91</v>
      </c>
      <c r="BA6" t="s">
        <v>56</v>
      </c>
      <c r="BB6" t="s">
        <v>54</v>
      </c>
      <c r="BC6" t="s">
        <v>55</v>
      </c>
      <c r="BE6">
        <v>9.0124999999999993</v>
      </c>
      <c r="BF6">
        <v>9.9791749999999997</v>
      </c>
      <c r="BG6">
        <v>14.027850000000001</v>
      </c>
      <c r="BH6">
        <v>21.784275000000001</v>
      </c>
      <c r="BJ6">
        <v>6</v>
      </c>
      <c r="BK6" t="s">
        <v>56</v>
      </c>
    </row>
    <row r="7" spans="8:69" x14ac:dyDescent="0.3">
      <c r="H7">
        <v>1640</v>
      </c>
      <c r="J7" t="s">
        <v>111</v>
      </c>
      <c r="K7" t="s">
        <v>111</v>
      </c>
      <c r="L7">
        <v>24733</v>
      </c>
      <c r="M7">
        <v>0</v>
      </c>
      <c r="N7" t="s">
        <v>64</v>
      </c>
      <c r="O7">
        <v>34</v>
      </c>
      <c r="P7" t="s">
        <v>58</v>
      </c>
      <c r="Q7">
        <v>20</v>
      </c>
      <c r="R7">
        <v>240</v>
      </c>
      <c r="S7">
        <v>34</v>
      </c>
      <c r="T7" t="s">
        <v>60</v>
      </c>
      <c r="U7">
        <v>95</v>
      </c>
      <c r="V7" t="s">
        <v>112</v>
      </c>
      <c r="W7" t="s">
        <v>236</v>
      </c>
      <c r="Y7">
        <v>0</v>
      </c>
      <c r="AA7">
        <v>2</v>
      </c>
      <c r="AB7">
        <v>-83.014424000000005</v>
      </c>
      <c r="AC7">
        <v>42.342286999999999</v>
      </c>
      <c r="AE7">
        <v>167.56</v>
      </c>
      <c r="AF7">
        <v>205.52</v>
      </c>
      <c r="AG7">
        <v>202.69</v>
      </c>
      <c r="AH7">
        <v>202.69</v>
      </c>
      <c r="AI7">
        <v>67.569999999999993</v>
      </c>
      <c r="AJ7">
        <v>202.69</v>
      </c>
      <c r="AK7">
        <v>220.67</v>
      </c>
      <c r="AL7">
        <v>220.67</v>
      </c>
      <c r="AM7">
        <v>186.54</v>
      </c>
      <c r="AN7">
        <v>202.69</v>
      </c>
      <c r="AO7">
        <v>135.13</v>
      </c>
      <c r="AP7">
        <v>220.67</v>
      </c>
      <c r="AU7" s="1">
        <v>0.4375</v>
      </c>
      <c r="AV7" s="1">
        <v>0.6875</v>
      </c>
      <c r="AX7" t="s">
        <v>54</v>
      </c>
      <c r="AZ7" t="s">
        <v>91</v>
      </c>
      <c r="BA7" t="s">
        <v>56</v>
      </c>
      <c r="BB7" t="s">
        <v>54</v>
      </c>
      <c r="BC7" t="s">
        <v>55</v>
      </c>
      <c r="BE7">
        <v>46.634999999999998</v>
      </c>
      <c r="BF7">
        <v>50.672499999999999</v>
      </c>
      <c r="BG7">
        <v>33.782499999999999</v>
      </c>
      <c r="BH7">
        <v>55.167499999999997</v>
      </c>
      <c r="BK7" t="s">
        <v>56</v>
      </c>
    </row>
    <row r="8" spans="8:69" x14ac:dyDescent="0.3">
      <c r="H8">
        <v>9817</v>
      </c>
      <c r="J8" t="s">
        <v>109</v>
      </c>
      <c r="K8" t="s">
        <v>109</v>
      </c>
      <c r="L8">
        <v>99033</v>
      </c>
      <c r="M8">
        <v>258</v>
      </c>
      <c r="N8" t="s">
        <v>62</v>
      </c>
      <c r="O8">
        <v>34</v>
      </c>
      <c r="P8" t="s">
        <v>58</v>
      </c>
      <c r="Q8">
        <v>20</v>
      </c>
      <c r="R8">
        <v>230</v>
      </c>
      <c r="S8">
        <v>34</v>
      </c>
      <c r="T8" t="s">
        <v>60</v>
      </c>
      <c r="U8">
        <v>80</v>
      </c>
      <c r="V8" t="s">
        <v>110</v>
      </c>
      <c r="W8" t="s">
        <v>234</v>
      </c>
      <c r="Y8">
        <v>6</v>
      </c>
      <c r="AA8">
        <v>3</v>
      </c>
      <c r="AB8">
        <v>-83.016289999999998</v>
      </c>
      <c r="AC8">
        <v>42.338734000000002</v>
      </c>
      <c r="AE8">
        <v>44.08</v>
      </c>
      <c r="AF8">
        <v>44.08</v>
      </c>
      <c r="AG8">
        <v>39.698900000000002</v>
      </c>
      <c r="AH8">
        <v>45.714500000000001</v>
      </c>
      <c r="AI8">
        <v>53.561900000000001</v>
      </c>
      <c r="AJ8">
        <v>59.806699999999999</v>
      </c>
      <c r="AK8">
        <v>51.157499999999999</v>
      </c>
      <c r="AL8">
        <v>58.276699999999998</v>
      </c>
      <c r="AM8">
        <v>44.08</v>
      </c>
      <c r="AN8">
        <v>42.706699999999998</v>
      </c>
      <c r="AO8">
        <v>56.6843</v>
      </c>
      <c r="AP8">
        <v>54.717100000000002</v>
      </c>
      <c r="AU8" s="1">
        <v>7</v>
      </c>
      <c r="AV8" s="1">
        <v>0.6875</v>
      </c>
      <c r="AX8" t="s">
        <v>54</v>
      </c>
      <c r="AZ8" t="s">
        <v>91</v>
      </c>
      <c r="BA8" t="s">
        <v>56</v>
      </c>
      <c r="BB8" t="s">
        <v>54</v>
      </c>
      <c r="BC8" t="s">
        <v>55</v>
      </c>
      <c r="BE8">
        <v>11.02</v>
      </c>
      <c r="BF8">
        <v>10.676674999999999</v>
      </c>
      <c r="BG8">
        <v>14.171075</v>
      </c>
      <c r="BH8">
        <v>13.679275000000001</v>
      </c>
      <c r="BJ8">
        <v>6</v>
      </c>
      <c r="BK8" t="s">
        <v>56</v>
      </c>
    </row>
    <row r="9" spans="8:69" x14ac:dyDescent="0.3">
      <c r="H9">
        <v>12480</v>
      </c>
      <c r="J9" t="s">
        <v>119</v>
      </c>
      <c r="K9" t="s">
        <v>119</v>
      </c>
      <c r="L9">
        <v>31589</v>
      </c>
      <c r="M9">
        <v>1</v>
      </c>
      <c r="N9" t="s">
        <v>62</v>
      </c>
      <c r="O9">
        <v>70</v>
      </c>
      <c r="P9" t="s">
        <v>58</v>
      </c>
      <c r="Q9">
        <v>23</v>
      </c>
      <c r="R9">
        <v>270</v>
      </c>
      <c r="S9">
        <v>70</v>
      </c>
      <c r="T9" t="s">
        <v>60</v>
      </c>
      <c r="U9">
        <v>82</v>
      </c>
      <c r="V9" t="s">
        <v>99</v>
      </c>
      <c r="W9" t="s">
        <v>240</v>
      </c>
      <c r="Y9">
        <v>2</v>
      </c>
      <c r="AA9">
        <v>3</v>
      </c>
      <c r="AB9">
        <v>-83.357960000000006</v>
      </c>
      <c r="AC9">
        <v>42.544134</v>
      </c>
      <c r="AE9">
        <v>61.57</v>
      </c>
      <c r="AF9">
        <v>63.57</v>
      </c>
      <c r="AG9">
        <v>63.8033</v>
      </c>
      <c r="AH9">
        <v>65.936700000000002</v>
      </c>
      <c r="AI9">
        <v>65.886700000000005</v>
      </c>
      <c r="AJ9">
        <v>66.553299999999993</v>
      </c>
      <c r="AK9">
        <v>65.72</v>
      </c>
      <c r="AL9">
        <v>65.72</v>
      </c>
      <c r="AM9">
        <v>62.57</v>
      </c>
      <c r="AN9">
        <v>64.87</v>
      </c>
      <c r="AO9">
        <v>66.22</v>
      </c>
      <c r="AP9">
        <v>65.72</v>
      </c>
      <c r="AU9" s="1">
        <v>0.41666666666666674</v>
      </c>
      <c r="AV9" s="1">
        <v>0.70833333333333326</v>
      </c>
      <c r="AX9" t="s">
        <v>54</v>
      </c>
      <c r="AZ9" t="s">
        <v>91</v>
      </c>
      <c r="BA9" t="s">
        <v>56</v>
      </c>
      <c r="BB9" t="s">
        <v>54</v>
      </c>
      <c r="BC9" t="s">
        <v>55</v>
      </c>
      <c r="BE9">
        <v>15.6425</v>
      </c>
      <c r="BF9">
        <v>16.217500000000001</v>
      </c>
      <c r="BG9">
        <v>16.555</v>
      </c>
      <c r="BH9">
        <v>16.43</v>
      </c>
      <c r="BJ9">
        <v>2</v>
      </c>
      <c r="BK9" t="s">
        <v>56</v>
      </c>
    </row>
    <row r="10" spans="8:69" x14ac:dyDescent="0.3">
      <c r="H10">
        <v>142</v>
      </c>
      <c r="J10" t="s">
        <v>139</v>
      </c>
      <c r="K10" t="s">
        <v>139</v>
      </c>
      <c r="L10">
        <v>31827</v>
      </c>
      <c r="M10">
        <v>0</v>
      </c>
      <c r="N10" t="s">
        <v>62</v>
      </c>
      <c r="O10">
        <v>72</v>
      </c>
      <c r="P10" t="s">
        <v>58</v>
      </c>
      <c r="Q10">
        <v>11</v>
      </c>
      <c r="R10">
        <v>170</v>
      </c>
      <c r="S10">
        <v>72</v>
      </c>
      <c r="T10" t="s">
        <v>60</v>
      </c>
      <c r="U10">
        <v>50</v>
      </c>
      <c r="V10" t="s">
        <v>140</v>
      </c>
      <c r="W10" t="s">
        <v>262</v>
      </c>
      <c r="Y10">
        <v>6</v>
      </c>
      <c r="AA10">
        <v>3</v>
      </c>
      <c r="AB10">
        <v>-83.732546999999997</v>
      </c>
      <c r="AC10">
        <v>42.224657999999998</v>
      </c>
      <c r="AE10">
        <v>118.02</v>
      </c>
      <c r="AF10">
        <v>119.27</v>
      </c>
      <c r="AG10">
        <v>79.250500000000002</v>
      </c>
      <c r="AH10">
        <v>108.0861</v>
      </c>
      <c r="AI10">
        <v>83.3917</v>
      </c>
      <c r="AJ10">
        <v>88.714100000000002</v>
      </c>
      <c r="AK10">
        <v>90.71</v>
      </c>
      <c r="AL10">
        <v>90.71</v>
      </c>
      <c r="AM10">
        <v>118.645</v>
      </c>
      <c r="AN10">
        <v>93.668300000000002</v>
      </c>
      <c r="AO10">
        <v>86.052899999999994</v>
      </c>
      <c r="AP10">
        <v>90.71</v>
      </c>
      <c r="AU10" s="1">
        <v>0.375</v>
      </c>
      <c r="AV10" s="1">
        <v>0.6875</v>
      </c>
      <c r="AX10" t="s">
        <v>54</v>
      </c>
      <c r="AZ10" t="s">
        <v>91</v>
      </c>
      <c r="BA10" t="s">
        <v>56</v>
      </c>
      <c r="BB10" t="s">
        <v>54</v>
      </c>
      <c r="BC10" t="s">
        <v>55</v>
      </c>
      <c r="BE10">
        <v>29.661249999999999</v>
      </c>
      <c r="BF10">
        <v>23.417075000000001</v>
      </c>
      <c r="BG10">
        <v>21.513224999999998</v>
      </c>
      <c r="BH10">
        <v>22.677499999999998</v>
      </c>
      <c r="BJ10">
        <v>6</v>
      </c>
      <c r="BK10" t="s">
        <v>56</v>
      </c>
    </row>
    <row r="11" spans="8:69" x14ac:dyDescent="0.3">
      <c r="H11">
        <v>103</v>
      </c>
      <c r="J11" t="s">
        <v>147</v>
      </c>
      <c r="K11" t="s">
        <v>147</v>
      </c>
      <c r="L11">
        <v>33665</v>
      </c>
      <c r="M11">
        <v>0</v>
      </c>
      <c r="N11" t="s">
        <v>62</v>
      </c>
      <c r="O11">
        <v>72</v>
      </c>
      <c r="P11" t="s">
        <v>58</v>
      </c>
      <c r="Q11">
        <v>18</v>
      </c>
      <c r="R11">
        <v>260</v>
      </c>
      <c r="S11">
        <v>72</v>
      </c>
      <c r="T11" t="s">
        <v>60</v>
      </c>
      <c r="U11">
        <v>1</v>
      </c>
      <c r="V11" t="s">
        <v>148</v>
      </c>
      <c r="W11" t="s">
        <v>263</v>
      </c>
      <c r="Y11">
        <v>6</v>
      </c>
      <c r="AA11">
        <v>5.9440109053742045</v>
      </c>
      <c r="AB11">
        <v>-83.781090000000006</v>
      </c>
      <c r="AC11">
        <v>42.278365999999998</v>
      </c>
      <c r="AE11">
        <v>0</v>
      </c>
      <c r="AF11">
        <v>0</v>
      </c>
      <c r="AG11">
        <v>0</v>
      </c>
      <c r="AH11">
        <v>0</v>
      </c>
      <c r="AI11">
        <v>104.14</v>
      </c>
      <c r="AJ11">
        <v>104.14</v>
      </c>
      <c r="AK11">
        <v>104.14</v>
      </c>
      <c r="AL11">
        <v>104.14</v>
      </c>
      <c r="AM11">
        <v>0</v>
      </c>
      <c r="AN11">
        <v>0</v>
      </c>
      <c r="AO11">
        <v>104.14</v>
      </c>
      <c r="AP11">
        <v>104.14</v>
      </c>
      <c r="AU11" s="1"/>
      <c r="AV11" s="1"/>
      <c r="AW11" t="s">
        <v>215</v>
      </c>
      <c r="AX11" t="s">
        <v>54</v>
      </c>
      <c r="AY11" t="s">
        <v>215</v>
      </c>
      <c r="AZ11" t="s">
        <v>91</v>
      </c>
      <c r="BA11" t="s">
        <v>56</v>
      </c>
      <c r="BB11" t="s">
        <v>54</v>
      </c>
      <c r="BC11" t="s">
        <v>55</v>
      </c>
      <c r="BE11">
        <v>0</v>
      </c>
      <c r="BF11">
        <v>0</v>
      </c>
      <c r="BG11">
        <v>26.035</v>
      </c>
      <c r="BH11">
        <v>26.035</v>
      </c>
      <c r="BJ11">
        <v>6</v>
      </c>
      <c r="BK11" t="s">
        <v>56</v>
      </c>
    </row>
    <row r="12" spans="8:69" x14ac:dyDescent="0.3">
      <c r="H12">
        <v>9613</v>
      </c>
      <c r="J12" t="s">
        <v>141</v>
      </c>
      <c r="K12" t="s">
        <v>141</v>
      </c>
      <c r="L12">
        <v>50154</v>
      </c>
      <c r="M12">
        <v>0</v>
      </c>
      <c r="N12" t="s">
        <v>62</v>
      </c>
      <c r="O12">
        <v>72</v>
      </c>
      <c r="P12" t="s">
        <v>58</v>
      </c>
      <c r="Q12">
        <v>19</v>
      </c>
      <c r="R12">
        <v>270</v>
      </c>
      <c r="S12">
        <v>72</v>
      </c>
      <c r="T12" t="s">
        <v>60</v>
      </c>
      <c r="U12">
        <v>170</v>
      </c>
      <c r="V12" t="s">
        <v>142</v>
      </c>
      <c r="W12" t="s">
        <v>264</v>
      </c>
      <c r="Y12">
        <v>6</v>
      </c>
      <c r="AA12">
        <v>3</v>
      </c>
      <c r="AB12">
        <v>-83.779235999999997</v>
      </c>
      <c r="AC12">
        <v>42.266661999999997</v>
      </c>
      <c r="AE12">
        <v>38.659999999999997</v>
      </c>
      <c r="AF12">
        <v>39.909999999999997</v>
      </c>
      <c r="AG12">
        <v>43.7911</v>
      </c>
      <c r="AH12">
        <v>45.862299999999998</v>
      </c>
      <c r="AI12">
        <v>45.709499999999998</v>
      </c>
      <c r="AJ12">
        <v>46.424700000000001</v>
      </c>
      <c r="AK12">
        <v>45.65</v>
      </c>
      <c r="AL12">
        <v>45.65</v>
      </c>
      <c r="AM12">
        <v>39.284999999999997</v>
      </c>
      <c r="AN12">
        <v>44.826700000000002</v>
      </c>
      <c r="AO12">
        <v>46.067100000000003</v>
      </c>
      <c r="AP12">
        <v>45.65</v>
      </c>
      <c r="AU12" s="1">
        <v>0.33333333333333326</v>
      </c>
      <c r="AV12" s="1">
        <v>0.6875</v>
      </c>
      <c r="AX12" t="s">
        <v>54</v>
      </c>
      <c r="AZ12" t="s">
        <v>91</v>
      </c>
      <c r="BA12" t="s">
        <v>56</v>
      </c>
      <c r="BB12" t="s">
        <v>54</v>
      </c>
      <c r="BC12" t="s">
        <v>55</v>
      </c>
      <c r="BE12">
        <v>9.8212499999999991</v>
      </c>
      <c r="BF12">
        <v>11.206675000000001</v>
      </c>
      <c r="BG12">
        <v>11.516775000000001</v>
      </c>
      <c r="BH12">
        <v>11.4125</v>
      </c>
      <c r="BJ12">
        <v>6</v>
      </c>
      <c r="BK12" t="s">
        <v>56</v>
      </c>
    </row>
    <row r="13" spans="8:69" x14ac:dyDescent="0.3">
      <c r="H13">
        <v>1820</v>
      </c>
      <c r="J13" t="s">
        <v>143</v>
      </c>
      <c r="K13" t="s">
        <v>143</v>
      </c>
      <c r="L13">
        <v>28361</v>
      </c>
      <c r="M13">
        <v>0</v>
      </c>
      <c r="N13" t="s">
        <v>62</v>
      </c>
      <c r="O13">
        <v>72</v>
      </c>
      <c r="P13" t="s">
        <v>58</v>
      </c>
      <c r="Q13">
        <v>20</v>
      </c>
      <c r="R13">
        <v>280</v>
      </c>
      <c r="S13">
        <v>72</v>
      </c>
      <c r="T13" t="s">
        <v>60</v>
      </c>
      <c r="U13">
        <v>160</v>
      </c>
      <c r="V13" t="s">
        <v>144</v>
      </c>
      <c r="W13" t="s">
        <v>266</v>
      </c>
      <c r="Y13">
        <v>2</v>
      </c>
      <c r="AA13">
        <v>3</v>
      </c>
      <c r="AB13">
        <v>-83.771576999999994</v>
      </c>
      <c r="AC13">
        <v>42.268689999999999</v>
      </c>
      <c r="AE13">
        <v>31.737500000000001</v>
      </c>
      <c r="AF13">
        <v>46.6325</v>
      </c>
      <c r="AG13">
        <v>55.77</v>
      </c>
      <c r="AH13">
        <v>61.62</v>
      </c>
      <c r="AI13">
        <v>59.537700000000001</v>
      </c>
      <c r="AJ13">
        <v>60.328899999999997</v>
      </c>
      <c r="AK13">
        <v>59.34</v>
      </c>
      <c r="AL13">
        <v>59.34</v>
      </c>
      <c r="AM13">
        <v>39.185000000000002</v>
      </c>
      <c r="AN13">
        <v>58.695</v>
      </c>
      <c r="AO13">
        <v>59.933300000000003</v>
      </c>
      <c r="AP13">
        <v>59.34</v>
      </c>
      <c r="AU13" s="1">
        <v>0.41666666666666674</v>
      </c>
      <c r="AV13" s="1">
        <v>0.6875</v>
      </c>
      <c r="AX13" t="s">
        <v>54</v>
      </c>
      <c r="AZ13" t="s">
        <v>91</v>
      </c>
      <c r="BA13" t="s">
        <v>56</v>
      </c>
      <c r="BB13" t="s">
        <v>54</v>
      </c>
      <c r="BC13" t="s">
        <v>55</v>
      </c>
      <c r="BE13">
        <v>9.7962500000000006</v>
      </c>
      <c r="BF13">
        <v>14.67375</v>
      </c>
      <c r="BG13">
        <v>14.983325000000001</v>
      </c>
      <c r="BH13">
        <v>14.835000000000001</v>
      </c>
      <c r="BJ13">
        <v>2</v>
      </c>
      <c r="BK13" t="s">
        <v>56</v>
      </c>
    </row>
    <row r="14" spans="8:69" x14ac:dyDescent="0.3">
      <c r="H14">
        <v>16267</v>
      </c>
      <c r="J14" t="s">
        <v>145</v>
      </c>
      <c r="K14" t="s">
        <v>145</v>
      </c>
      <c r="L14">
        <v>30391</v>
      </c>
      <c r="M14">
        <v>0</v>
      </c>
      <c r="N14" t="s">
        <v>62</v>
      </c>
      <c r="O14">
        <v>72</v>
      </c>
      <c r="P14" t="s">
        <v>58</v>
      </c>
      <c r="Q14">
        <v>21</v>
      </c>
      <c r="R14">
        <v>290</v>
      </c>
      <c r="S14">
        <v>72</v>
      </c>
      <c r="T14" t="s">
        <v>60</v>
      </c>
      <c r="U14">
        <v>180</v>
      </c>
      <c r="V14" t="s">
        <v>146</v>
      </c>
      <c r="W14" t="s">
        <v>267</v>
      </c>
      <c r="Y14">
        <v>6</v>
      </c>
      <c r="AA14">
        <v>3</v>
      </c>
      <c r="AB14">
        <v>-83.777154999999993</v>
      </c>
      <c r="AC14">
        <v>42.273715000000003</v>
      </c>
      <c r="AE14">
        <v>91.38</v>
      </c>
      <c r="AF14">
        <v>92.63</v>
      </c>
      <c r="AG14">
        <v>103.44889999999999</v>
      </c>
      <c r="AH14">
        <v>106.65770000000001</v>
      </c>
      <c r="AI14">
        <v>106.4314</v>
      </c>
      <c r="AJ14">
        <v>107.5286</v>
      </c>
      <c r="AK14">
        <v>106.34</v>
      </c>
      <c r="AL14">
        <v>106.34</v>
      </c>
      <c r="AM14">
        <v>92.004999999999995</v>
      </c>
      <c r="AN14">
        <v>105.05329999999999</v>
      </c>
      <c r="AO14">
        <v>106.98</v>
      </c>
      <c r="AP14">
        <v>106.34</v>
      </c>
      <c r="AU14" s="1">
        <v>0.375</v>
      </c>
      <c r="AV14" s="1">
        <v>0.6875</v>
      </c>
      <c r="AX14" t="s">
        <v>54</v>
      </c>
      <c r="AZ14" t="s">
        <v>91</v>
      </c>
      <c r="BA14" t="s">
        <v>56</v>
      </c>
      <c r="BB14" t="s">
        <v>54</v>
      </c>
      <c r="BC14" t="s">
        <v>55</v>
      </c>
      <c r="BE14">
        <v>23.001249999999999</v>
      </c>
      <c r="BF14">
        <v>26.263324999999998</v>
      </c>
      <c r="BG14">
        <v>26.745000000000001</v>
      </c>
      <c r="BH14">
        <v>26.585000000000001</v>
      </c>
      <c r="BJ14">
        <v>6</v>
      </c>
      <c r="BK14" t="s">
        <v>56</v>
      </c>
    </row>
    <row r="15" spans="8:69" x14ac:dyDescent="0.3">
      <c r="H15">
        <v>13344</v>
      </c>
      <c r="J15" t="s">
        <v>213</v>
      </c>
      <c r="K15" t="s">
        <v>213</v>
      </c>
      <c r="L15">
        <v>33734</v>
      </c>
      <c r="M15">
        <v>0</v>
      </c>
      <c r="N15" t="s">
        <v>62</v>
      </c>
      <c r="O15">
        <v>75</v>
      </c>
      <c r="P15" t="s">
        <v>58</v>
      </c>
      <c r="Q15">
        <v>20</v>
      </c>
      <c r="R15">
        <v>20</v>
      </c>
      <c r="S15">
        <v>34</v>
      </c>
      <c r="T15" t="s">
        <v>60</v>
      </c>
      <c r="U15">
        <v>1</v>
      </c>
      <c r="V15" t="s">
        <v>214</v>
      </c>
      <c r="W15" t="s">
        <v>219</v>
      </c>
      <c r="Y15">
        <v>6</v>
      </c>
      <c r="AA15">
        <v>5.9440109053742045</v>
      </c>
      <c r="AB15">
        <v>-83.04928409</v>
      </c>
      <c r="AC15">
        <v>42.390485159999997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U15" s="1"/>
      <c r="AV15" s="1"/>
      <c r="AW15" t="s">
        <v>215</v>
      </c>
      <c r="AX15" t="s">
        <v>54</v>
      </c>
      <c r="AY15" t="s">
        <v>215</v>
      </c>
      <c r="AZ15" t="s">
        <v>91</v>
      </c>
      <c r="BA15" t="s">
        <v>54</v>
      </c>
      <c r="BB15" t="s">
        <v>54</v>
      </c>
      <c r="BC15" t="s">
        <v>55</v>
      </c>
      <c r="BE15">
        <v>0</v>
      </c>
      <c r="BF15">
        <v>0</v>
      </c>
      <c r="BG15">
        <v>0</v>
      </c>
      <c r="BH15">
        <v>0</v>
      </c>
      <c r="BJ15">
        <v>6</v>
      </c>
      <c r="BK15" t="s">
        <v>56</v>
      </c>
    </row>
    <row r="16" spans="8:69" x14ac:dyDescent="0.3">
      <c r="H16">
        <v>214</v>
      </c>
      <c r="J16" t="s">
        <v>93</v>
      </c>
      <c r="K16" t="s">
        <v>93</v>
      </c>
      <c r="L16">
        <v>99033</v>
      </c>
      <c r="M16">
        <v>307</v>
      </c>
      <c r="N16" t="s">
        <v>62</v>
      </c>
      <c r="O16">
        <v>9</v>
      </c>
      <c r="P16" t="s">
        <v>58</v>
      </c>
      <c r="Q16">
        <v>28</v>
      </c>
      <c r="R16">
        <v>500</v>
      </c>
      <c r="S16">
        <v>9</v>
      </c>
      <c r="T16" t="s">
        <v>60</v>
      </c>
      <c r="U16">
        <v>16</v>
      </c>
      <c r="V16" t="s">
        <v>94</v>
      </c>
      <c r="W16" t="s">
        <v>244</v>
      </c>
      <c r="X16">
        <v>6.8344160934552702</v>
      </c>
      <c r="Y16">
        <v>6</v>
      </c>
      <c r="Z16">
        <v>0</v>
      </c>
      <c r="AA16">
        <v>10</v>
      </c>
      <c r="AB16">
        <v>-83.357694800000004</v>
      </c>
      <c r="AC16">
        <v>42.206603800000003</v>
      </c>
      <c r="AE16">
        <v>54.28</v>
      </c>
      <c r="AF16">
        <v>54.28</v>
      </c>
      <c r="AG16">
        <v>49.775199999999998</v>
      </c>
      <c r="AH16">
        <v>73.800799999999995</v>
      </c>
      <c r="AI16">
        <v>62.08</v>
      </c>
      <c r="AJ16">
        <v>62.08</v>
      </c>
      <c r="AK16">
        <v>59.579000000000001</v>
      </c>
      <c r="AL16">
        <v>71.583799999999997</v>
      </c>
      <c r="AM16">
        <v>54.28</v>
      </c>
      <c r="AN16">
        <v>61.787999999999997</v>
      </c>
      <c r="AO16">
        <v>62.08</v>
      </c>
      <c r="AP16">
        <v>65.581400000000002</v>
      </c>
      <c r="AQ16">
        <v>3.69008202416369</v>
      </c>
      <c r="AU16" s="1"/>
      <c r="AV16" s="1"/>
      <c r="AX16" t="s">
        <v>54</v>
      </c>
      <c r="AZ16" t="s">
        <v>91</v>
      </c>
      <c r="BA16" t="s">
        <v>56</v>
      </c>
      <c r="BB16" t="s">
        <v>54</v>
      </c>
      <c r="BC16" t="s">
        <v>55</v>
      </c>
      <c r="BE16">
        <v>13.57</v>
      </c>
      <c r="BF16">
        <v>15.446999999999999</v>
      </c>
      <c r="BG16">
        <v>15.52</v>
      </c>
      <c r="BH16">
        <v>16.395350000000001</v>
      </c>
      <c r="BI16" t="s">
        <v>245</v>
      </c>
      <c r="BJ16">
        <v>6</v>
      </c>
      <c r="BK16" t="s">
        <v>56</v>
      </c>
    </row>
    <row r="17" spans="8:65" x14ac:dyDescent="0.3">
      <c r="H17">
        <v>1421</v>
      </c>
      <c r="J17" t="s">
        <v>103</v>
      </c>
      <c r="K17" t="s">
        <v>103</v>
      </c>
      <c r="L17">
        <v>32877</v>
      </c>
      <c r="M17">
        <v>0</v>
      </c>
      <c r="N17" t="s">
        <v>62</v>
      </c>
      <c r="O17">
        <v>15</v>
      </c>
      <c r="P17" t="s">
        <v>59</v>
      </c>
      <c r="Q17">
        <v>22</v>
      </c>
      <c r="R17">
        <v>310</v>
      </c>
      <c r="S17">
        <v>15</v>
      </c>
      <c r="T17" t="s">
        <v>59</v>
      </c>
      <c r="U17">
        <v>47</v>
      </c>
      <c r="V17" t="s">
        <v>104</v>
      </c>
      <c r="W17" t="s">
        <v>241</v>
      </c>
      <c r="Y17">
        <v>6</v>
      </c>
      <c r="AA17">
        <v>15</v>
      </c>
      <c r="AB17">
        <v>-83.474593999999996</v>
      </c>
      <c r="AC17">
        <v>42.477245000000003</v>
      </c>
      <c r="AE17">
        <v>62.242199999999997</v>
      </c>
      <c r="AF17">
        <v>237.88059999999999</v>
      </c>
      <c r="AG17">
        <v>12.529400000000001</v>
      </c>
      <c r="AH17">
        <v>597.80520000000001</v>
      </c>
      <c r="AI17">
        <v>13.356199999999999</v>
      </c>
      <c r="AJ17">
        <v>729.38379999999995</v>
      </c>
      <c r="AK17">
        <v>46.641399999999997</v>
      </c>
      <c r="AL17">
        <v>664.26459999999997</v>
      </c>
      <c r="AM17">
        <v>150.06139999999999</v>
      </c>
      <c r="AN17">
        <v>305.16730000000001</v>
      </c>
      <c r="AO17">
        <v>371.37</v>
      </c>
      <c r="AP17">
        <v>355.45299999999997</v>
      </c>
      <c r="AU17" s="1">
        <v>0.4375</v>
      </c>
      <c r="AV17" s="1">
        <v>0.6875</v>
      </c>
      <c r="AX17" t="s">
        <v>56</v>
      </c>
      <c r="AZ17" t="s">
        <v>91</v>
      </c>
      <c r="BA17" t="s">
        <v>56</v>
      </c>
      <c r="BB17" t="s">
        <v>56</v>
      </c>
      <c r="BC17" t="s">
        <v>55</v>
      </c>
      <c r="BE17">
        <v>37.515349999999998</v>
      </c>
      <c r="BF17">
        <v>76.291825000000003</v>
      </c>
      <c r="BG17">
        <v>92.842500000000001</v>
      </c>
      <c r="BH17">
        <v>88.863249999999994</v>
      </c>
      <c r="BJ17">
        <v>6</v>
      </c>
      <c r="BK17" t="s">
        <v>56</v>
      </c>
    </row>
    <row r="18" spans="8:65" x14ac:dyDescent="0.3">
      <c r="H18">
        <v>626</v>
      </c>
      <c r="J18" t="s">
        <v>124</v>
      </c>
      <c r="K18" t="s">
        <v>124</v>
      </c>
      <c r="L18">
        <v>30679</v>
      </c>
      <c r="M18">
        <v>0</v>
      </c>
      <c r="N18" t="s">
        <v>62</v>
      </c>
      <c r="O18">
        <v>70</v>
      </c>
      <c r="P18" t="s">
        <v>58</v>
      </c>
      <c r="Q18">
        <v>10</v>
      </c>
      <c r="R18">
        <v>120</v>
      </c>
      <c r="S18">
        <v>70</v>
      </c>
      <c r="T18" t="s">
        <v>59</v>
      </c>
      <c r="U18">
        <v>60</v>
      </c>
      <c r="V18" t="s">
        <v>125</v>
      </c>
      <c r="W18" t="s">
        <v>226</v>
      </c>
      <c r="Y18">
        <v>6</v>
      </c>
      <c r="AA18">
        <v>3</v>
      </c>
      <c r="AB18">
        <v>-83.327135999999996</v>
      </c>
      <c r="AC18">
        <v>42.510446999999999</v>
      </c>
      <c r="AE18">
        <v>34.76</v>
      </c>
      <c r="AF18">
        <v>36.01</v>
      </c>
      <c r="AG18">
        <v>37.0732</v>
      </c>
      <c r="AH18">
        <v>40.061</v>
      </c>
      <c r="AI18">
        <v>39.369999999999997</v>
      </c>
      <c r="AJ18">
        <v>40.31</v>
      </c>
      <c r="AK18">
        <v>39.200400000000002</v>
      </c>
      <c r="AL18">
        <v>41.913800000000002</v>
      </c>
      <c r="AM18">
        <v>35.384999999999998</v>
      </c>
      <c r="AN18">
        <v>38.567100000000003</v>
      </c>
      <c r="AO18">
        <v>39.840000000000003</v>
      </c>
      <c r="AP18">
        <v>40.557099999999998</v>
      </c>
      <c r="AU18" s="1">
        <v>0.375</v>
      </c>
      <c r="AV18" s="1">
        <v>0.5</v>
      </c>
      <c r="AX18" t="s">
        <v>54</v>
      </c>
      <c r="AZ18" t="s">
        <v>91</v>
      </c>
      <c r="BA18" t="s">
        <v>56</v>
      </c>
      <c r="BB18" t="s">
        <v>54</v>
      </c>
      <c r="BC18" t="s">
        <v>55</v>
      </c>
      <c r="BE18">
        <v>8.8462499999999995</v>
      </c>
      <c r="BF18">
        <v>9.6417750000000009</v>
      </c>
      <c r="BG18">
        <v>9.9600000000000009</v>
      </c>
      <c r="BH18">
        <v>10.139275</v>
      </c>
      <c r="BJ18">
        <v>6</v>
      </c>
      <c r="BK18" t="s">
        <v>56</v>
      </c>
    </row>
    <row r="19" spans="8:65" x14ac:dyDescent="0.3">
      <c r="H19">
        <v>504</v>
      </c>
      <c r="J19" t="s">
        <v>117</v>
      </c>
      <c r="K19" t="s">
        <v>117</v>
      </c>
      <c r="L19">
        <v>26496</v>
      </c>
      <c r="M19">
        <v>0</v>
      </c>
      <c r="N19" t="s">
        <v>57</v>
      </c>
      <c r="O19">
        <v>70</v>
      </c>
      <c r="P19" t="s">
        <v>58</v>
      </c>
      <c r="Q19">
        <v>22</v>
      </c>
      <c r="R19">
        <v>290</v>
      </c>
      <c r="S19">
        <v>70</v>
      </c>
      <c r="T19" t="s">
        <v>59</v>
      </c>
      <c r="U19">
        <v>66</v>
      </c>
      <c r="V19" t="s">
        <v>118</v>
      </c>
      <c r="W19" t="s">
        <v>242</v>
      </c>
      <c r="Y19">
        <v>6</v>
      </c>
      <c r="AA19">
        <v>3</v>
      </c>
      <c r="AB19">
        <v>-83.379496000000003</v>
      </c>
      <c r="AC19">
        <v>42.541626000000001</v>
      </c>
      <c r="AE19">
        <v>183.6</v>
      </c>
      <c r="AF19">
        <v>194.09</v>
      </c>
      <c r="AG19">
        <v>185.57730000000001</v>
      </c>
      <c r="AH19">
        <v>191.30549999999999</v>
      </c>
      <c r="AI19">
        <v>187.89</v>
      </c>
      <c r="AJ19">
        <v>189.15</v>
      </c>
      <c r="AK19">
        <v>190.7389</v>
      </c>
      <c r="AL19">
        <v>202.1345</v>
      </c>
      <c r="AM19">
        <v>188.845</v>
      </c>
      <c r="AN19">
        <v>188.44139999999999</v>
      </c>
      <c r="AO19">
        <v>188.52</v>
      </c>
      <c r="AP19">
        <v>196.4367</v>
      </c>
      <c r="AU19" s="1">
        <v>0.33333333333333326</v>
      </c>
      <c r="AV19" s="1">
        <v>0.70833333333333326</v>
      </c>
      <c r="AX19" t="s">
        <v>54</v>
      </c>
      <c r="AZ19" t="s">
        <v>91</v>
      </c>
      <c r="BA19" t="s">
        <v>56</v>
      </c>
      <c r="BB19" t="s">
        <v>54</v>
      </c>
      <c r="BC19" t="s">
        <v>55</v>
      </c>
      <c r="BE19">
        <v>47.21125</v>
      </c>
      <c r="BF19">
        <v>47.110349999999997</v>
      </c>
      <c r="BG19">
        <v>47.13</v>
      </c>
      <c r="BH19">
        <v>49.109175</v>
      </c>
      <c r="BK19" t="s">
        <v>56</v>
      </c>
    </row>
    <row r="20" spans="8:65" x14ac:dyDescent="0.3">
      <c r="H20">
        <v>9583</v>
      </c>
      <c r="J20" t="s">
        <v>120</v>
      </c>
      <c r="K20" t="s">
        <v>120</v>
      </c>
      <c r="L20">
        <v>50633</v>
      </c>
      <c r="M20">
        <v>0</v>
      </c>
      <c r="N20" t="s">
        <v>62</v>
      </c>
      <c r="O20">
        <v>70</v>
      </c>
      <c r="P20" t="s">
        <v>58</v>
      </c>
      <c r="Q20">
        <v>25</v>
      </c>
      <c r="R20">
        <v>90</v>
      </c>
      <c r="S20">
        <v>70</v>
      </c>
      <c r="T20" t="s">
        <v>59</v>
      </c>
      <c r="U20">
        <v>63</v>
      </c>
      <c r="V20" t="s">
        <v>121</v>
      </c>
      <c r="W20" t="s">
        <v>223</v>
      </c>
      <c r="Y20">
        <v>2</v>
      </c>
      <c r="AA20">
        <v>3</v>
      </c>
      <c r="AB20">
        <v>-83.305837999999994</v>
      </c>
      <c r="AC20">
        <v>42.499864000000002</v>
      </c>
      <c r="AE20">
        <v>73.540000000000006</v>
      </c>
      <c r="AF20">
        <v>75.540000000000006</v>
      </c>
      <c r="AG20">
        <v>75.553299999999993</v>
      </c>
      <c r="AH20">
        <v>79.446700000000007</v>
      </c>
      <c r="AI20">
        <v>79.06</v>
      </c>
      <c r="AJ20">
        <v>80.42</v>
      </c>
      <c r="AK20">
        <v>79.06</v>
      </c>
      <c r="AL20">
        <v>79.06</v>
      </c>
      <c r="AM20">
        <v>74.540000000000006</v>
      </c>
      <c r="AN20">
        <v>77.5</v>
      </c>
      <c r="AO20">
        <v>79.739999999999995</v>
      </c>
      <c r="AP20">
        <v>79.06</v>
      </c>
      <c r="AU20" s="1">
        <v>0.41666666666666674</v>
      </c>
      <c r="AV20" s="1">
        <v>0.70833333333333326</v>
      </c>
      <c r="AX20" t="s">
        <v>54</v>
      </c>
      <c r="AZ20" t="s">
        <v>91</v>
      </c>
      <c r="BA20" t="s">
        <v>56</v>
      </c>
      <c r="BB20" t="s">
        <v>54</v>
      </c>
      <c r="BC20" t="s">
        <v>55</v>
      </c>
      <c r="BE20">
        <v>18.635000000000002</v>
      </c>
      <c r="BF20">
        <v>19.375</v>
      </c>
      <c r="BG20">
        <v>19.934999999999999</v>
      </c>
      <c r="BH20">
        <v>19.765000000000001</v>
      </c>
      <c r="BJ20">
        <v>2</v>
      </c>
      <c r="BK20" t="s">
        <v>56</v>
      </c>
    </row>
    <row r="21" spans="8:65" x14ac:dyDescent="0.3">
      <c r="H21">
        <v>11037</v>
      </c>
      <c r="J21" t="s">
        <v>122</v>
      </c>
      <c r="K21" t="s">
        <v>122</v>
      </c>
      <c r="L21">
        <v>24363</v>
      </c>
      <c r="M21">
        <v>0</v>
      </c>
      <c r="N21" t="s">
        <v>62</v>
      </c>
      <c r="O21">
        <v>70</v>
      </c>
      <c r="P21" t="s">
        <v>58</v>
      </c>
      <c r="Q21">
        <v>26</v>
      </c>
      <c r="R21">
        <v>110</v>
      </c>
      <c r="S21">
        <v>70</v>
      </c>
      <c r="T21" t="s">
        <v>59</v>
      </c>
      <c r="U21">
        <v>20</v>
      </c>
      <c r="V21" t="s">
        <v>123</v>
      </c>
      <c r="W21" t="s">
        <v>224</v>
      </c>
      <c r="Y21">
        <v>2</v>
      </c>
      <c r="AA21">
        <v>5.9440109053742045</v>
      </c>
      <c r="AB21">
        <v>-83.315363000000005</v>
      </c>
      <c r="AC21">
        <v>42.505693999999998</v>
      </c>
      <c r="AE21">
        <v>49.41</v>
      </c>
      <c r="AF21">
        <v>51.41</v>
      </c>
      <c r="AG21">
        <v>0</v>
      </c>
      <c r="AH21">
        <v>0</v>
      </c>
      <c r="AI21">
        <v>57.35</v>
      </c>
      <c r="AJ21">
        <v>67.260000000000005</v>
      </c>
      <c r="AK21">
        <v>51.91</v>
      </c>
      <c r="AL21">
        <v>51.91</v>
      </c>
      <c r="AM21">
        <v>50.41</v>
      </c>
      <c r="AN21">
        <v>0</v>
      </c>
      <c r="AO21">
        <v>62.305</v>
      </c>
      <c r="AP21">
        <v>51.91</v>
      </c>
      <c r="AU21" s="1">
        <v>0.45833333333333326</v>
      </c>
      <c r="AV21" s="1">
        <v>0.875</v>
      </c>
      <c r="AX21" t="s">
        <v>54</v>
      </c>
      <c r="AZ21" t="s">
        <v>91</v>
      </c>
      <c r="BA21" t="s">
        <v>56</v>
      </c>
      <c r="BB21" t="s">
        <v>54</v>
      </c>
      <c r="BC21" t="s">
        <v>55</v>
      </c>
      <c r="BE21">
        <v>12.602499999999999</v>
      </c>
      <c r="BF21">
        <v>0</v>
      </c>
      <c r="BG21">
        <v>15.57625</v>
      </c>
      <c r="BH21">
        <v>12.977499999999999</v>
      </c>
      <c r="BJ21">
        <v>2</v>
      </c>
      <c r="BK21" t="s">
        <v>56</v>
      </c>
    </row>
    <row r="22" spans="8:65" x14ac:dyDescent="0.3">
      <c r="H22">
        <v>11680</v>
      </c>
      <c r="J22" t="s">
        <v>163</v>
      </c>
      <c r="K22" t="s">
        <v>163</v>
      </c>
      <c r="L22">
        <v>29955</v>
      </c>
      <c r="M22">
        <v>0</v>
      </c>
      <c r="N22" t="s">
        <v>62</v>
      </c>
      <c r="O22">
        <v>75</v>
      </c>
      <c r="P22" t="s">
        <v>58</v>
      </c>
      <c r="Q22">
        <v>15</v>
      </c>
      <c r="R22">
        <v>220</v>
      </c>
      <c r="S22">
        <v>78</v>
      </c>
      <c r="T22" t="s">
        <v>59</v>
      </c>
      <c r="U22">
        <v>180</v>
      </c>
      <c r="V22" t="s">
        <v>164</v>
      </c>
      <c r="W22" t="s">
        <v>235</v>
      </c>
      <c r="Y22">
        <v>6</v>
      </c>
      <c r="AA22">
        <v>8</v>
      </c>
      <c r="AB22">
        <v>-83.026802000000004</v>
      </c>
      <c r="AC22">
        <v>42.476840000000003</v>
      </c>
      <c r="AE22">
        <v>44.23</v>
      </c>
      <c r="AF22">
        <v>45.48</v>
      </c>
      <c r="AG22">
        <v>46.73</v>
      </c>
      <c r="AH22">
        <v>50.53</v>
      </c>
      <c r="AI22">
        <v>51.17</v>
      </c>
      <c r="AJ22">
        <v>52.23</v>
      </c>
      <c r="AK22">
        <v>52.073900000000002</v>
      </c>
      <c r="AL22">
        <v>55.689500000000002</v>
      </c>
      <c r="AM22">
        <v>44.854999999999997</v>
      </c>
      <c r="AN22">
        <v>48.63</v>
      </c>
      <c r="AO22">
        <v>51.7</v>
      </c>
      <c r="AP22">
        <v>53.881700000000002</v>
      </c>
      <c r="AU22" s="1">
        <v>0.33333333333333326</v>
      </c>
      <c r="AV22" s="1">
        <v>0.66666666666666674</v>
      </c>
      <c r="AX22" t="s">
        <v>54</v>
      </c>
      <c r="AZ22" t="s">
        <v>91</v>
      </c>
      <c r="BA22" t="s">
        <v>54</v>
      </c>
      <c r="BB22" t="s">
        <v>54</v>
      </c>
      <c r="BC22" t="s">
        <v>55</v>
      </c>
      <c r="BE22">
        <v>11.213749999999999</v>
      </c>
      <c r="BF22">
        <v>12.157500000000001</v>
      </c>
      <c r="BG22">
        <v>12.925000000000001</v>
      </c>
      <c r="BH22">
        <v>13.470425000000001</v>
      </c>
      <c r="BJ22">
        <v>6</v>
      </c>
      <c r="BK22" t="s">
        <v>56</v>
      </c>
    </row>
    <row r="23" spans="8:65" x14ac:dyDescent="0.3">
      <c r="H23">
        <v>13123</v>
      </c>
      <c r="J23" t="s">
        <v>171</v>
      </c>
      <c r="K23" t="s">
        <v>171</v>
      </c>
      <c r="L23">
        <v>33466</v>
      </c>
      <c r="M23">
        <v>0</v>
      </c>
      <c r="N23" t="s">
        <v>62</v>
      </c>
      <c r="O23">
        <v>75</v>
      </c>
      <c r="P23" t="s">
        <v>58</v>
      </c>
      <c r="Q23">
        <v>23</v>
      </c>
      <c r="R23">
        <v>290</v>
      </c>
      <c r="S23">
        <v>78</v>
      </c>
      <c r="T23" t="s">
        <v>59</v>
      </c>
      <c r="U23">
        <v>250</v>
      </c>
      <c r="V23" t="s">
        <v>172</v>
      </c>
      <c r="W23" t="s">
        <v>243</v>
      </c>
      <c r="Y23">
        <v>6</v>
      </c>
      <c r="AA23">
        <v>5.3791666666666664</v>
      </c>
      <c r="AB23">
        <v>-83.024255999999994</v>
      </c>
      <c r="AC23">
        <v>42.445385000000002</v>
      </c>
      <c r="AE23">
        <v>48.5</v>
      </c>
      <c r="AF23">
        <v>49.75</v>
      </c>
      <c r="AG23">
        <v>51.754899999999999</v>
      </c>
      <c r="AH23">
        <v>60.813699999999997</v>
      </c>
      <c r="AI23">
        <v>59.9651</v>
      </c>
      <c r="AJ23">
        <v>66.803700000000006</v>
      </c>
      <c r="AK23">
        <v>70.004800000000003</v>
      </c>
      <c r="AL23">
        <v>72.299199999999999</v>
      </c>
      <c r="AM23">
        <v>49.125</v>
      </c>
      <c r="AN23">
        <v>56.284300000000002</v>
      </c>
      <c r="AO23">
        <v>63.384399999999999</v>
      </c>
      <c r="AP23">
        <v>71.152000000000001</v>
      </c>
      <c r="AU23" s="1">
        <v>0.33333333333333326</v>
      </c>
      <c r="AV23" s="1">
        <v>0.70833333333333326</v>
      </c>
      <c r="AX23" t="s">
        <v>54</v>
      </c>
      <c r="AZ23" t="s">
        <v>91</v>
      </c>
      <c r="BA23" t="s">
        <v>54</v>
      </c>
      <c r="BB23" t="s">
        <v>54</v>
      </c>
      <c r="BC23" t="s">
        <v>55</v>
      </c>
      <c r="BE23">
        <v>12.28125</v>
      </c>
      <c r="BF23">
        <v>14.071075</v>
      </c>
      <c r="BG23">
        <v>15.8461</v>
      </c>
      <c r="BH23">
        <v>17.788</v>
      </c>
      <c r="BJ23">
        <v>6</v>
      </c>
      <c r="BK23" t="s">
        <v>56</v>
      </c>
    </row>
    <row r="24" spans="8:65" x14ac:dyDescent="0.3">
      <c r="H24">
        <v>11035</v>
      </c>
      <c r="J24" t="s">
        <v>115</v>
      </c>
      <c r="K24" t="s">
        <v>115</v>
      </c>
      <c r="L24">
        <v>99033</v>
      </c>
      <c r="M24">
        <v>91</v>
      </c>
      <c r="N24" t="s">
        <v>62</v>
      </c>
      <c r="O24">
        <v>34</v>
      </c>
      <c r="P24" t="s">
        <v>58</v>
      </c>
      <c r="Q24">
        <v>4</v>
      </c>
      <c r="R24">
        <v>170</v>
      </c>
      <c r="S24">
        <v>34</v>
      </c>
      <c r="T24" t="s">
        <v>53</v>
      </c>
      <c r="U24">
        <v>37</v>
      </c>
      <c r="V24" t="s">
        <v>116</v>
      </c>
      <c r="W24" t="s">
        <v>231</v>
      </c>
      <c r="Y24">
        <v>0</v>
      </c>
      <c r="AA24">
        <v>5.9440109053742045</v>
      </c>
      <c r="AB24">
        <v>-83.046847</v>
      </c>
      <c r="AC24">
        <v>42.330593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S24">
        <v>0</v>
      </c>
      <c r="AU24" s="1"/>
      <c r="AV24" s="1"/>
      <c r="AW24" t="s">
        <v>215</v>
      </c>
      <c r="AX24" t="s">
        <v>54</v>
      </c>
      <c r="AY24" t="s">
        <v>215</v>
      </c>
      <c r="AZ24" t="s">
        <v>91</v>
      </c>
      <c r="BA24" t="s">
        <v>56</v>
      </c>
      <c r="BB24" t="s">
        <v>54</v>
      </c>
      <c r="BC24" t="s">
        <v>55</v>
      </c>
      <c r="BE24">
        <v>0</v>
      </c>
      <c r="BF24">
        <v>0</v>
      </c>
      <c r="BG24">
        <v>0</v>
      </c>
      <c r="BH24">
        <v>0</v>
      </c>
      <c r="BK24" t="s">
        <v>56</v>
      </c>
    </row>
    <row r="25" spans="8:65" x14ac:dyDescent="0.3">
      <c r="H25">
        <v>11036</v>
      </c>
      <c r="J25" t="s">
        <v>126</v>
      </c>
      <c r="K25" t="s">
        <v>126</v>
      </c>
      <c r="L25">
        <v>99079</v>
      </c>
      <c r="M25">
        <v>27</v>
      </c>
      <c r="N25" t="s">
        <v>57</v>
      </c>
      <c r="O25">
        <v>70</v>
      </c>
      <c r="P25" t="s">
        <v>58</v>
      </c>
      <c r="Q25">
        <v>1</v>
      </c>
      <c r="R25">
        <v>10</v>
      </c>
      <c r="S25">
        <v>70</v>
      </c>
      <c r="T25" t="s">
        <v>53</v>
      </c>
      <c r="U25">
        <v>80</v>
      </c>
      <c r="V25" t="s">
        <v>127</v>
      </c>
      <c r="W25" t="s">
        <v>218</v>
      </c>
      <c r="Y25">
        <v>7</v>
      </c>
      <c r="AA25">
        <v>6.1375000000000002</v>
      </c>
      <c r="AB25">
        <v>-83.433004999999994</v>
      </c>
      <c r="AC25">
        <v>42.434874000000001</v>
      </c>
      <c r="AE25">
        <v>329.14280000000002</v>
      </c>
      <c r="AF25">
        <v>375.01260000000002</v>
      </c>
      <c r="AG25">
        <v>339.35939999999999</v>
      </c>
      <c r="AH25">
        <v>360.44819999999999</v>
      </c>
      <c r="AI25">
        <v>242.44710000000001</v>
      </c>
      <c r="AJ25">
        <v>374.6995</v>
      </c>
      <c r="AK25">
        <v>346.11590000000001</v>
      </c>
      <c r="AL25">
        <v>347.42250000000001</v>
      </c>
      <c r="AM25">
        <v>352.07769999999999</v>
      </c>
      <c r="AN25">
        <v>349.90379999999999</v>
      </c>
      <c r="AO25">
        <v>308.57330000000002</v>
      </c>
      <c r="AP25">
        <v>346.76920000000001</v>
      </c>
      <c r="AU25" s="1">
        <v>0.29166666666666674</v>
      </c>
      <c r="AV25" s="1">
        <v>0.95833333333333326</v>
      </c>
      <c r="AX25" t="s">
        <v>54</v>
      </c>
      <c r="AZ25" t="s">
        <v>91</v>
      </c>
      <c r="BA25" t="s">
        <v>56</v>
      </c>
      <c r="BB25" t="s">
        <v>54</v>
      </c>
      <c r="BC25" t="s">
        <v>55</v>
      </c>
      <c r="BE25">
        <v>88.019424999999998</v>
      </c>
      <c r="BF25">
        <v>87.475949999999997</v>
      </c>
      <c r="BG25">
        <v>77.143325000000004</v>
      </c>
      <c r="BH25">
        <v>86.692300000000003</v>
      </c>
      <c r="BJ25">
        <v>7</v>
      </c>
      <c r="BK25" t="s">
        <v>56</v>
      </c>
      <c r="BL25" t="s">
        <v>212</v>
      </c>
      <c r="BM25">
        <v>4</v>
      </c>
    </row>
    <row r="26" spans="8:65" x14ac:dyDescent="0.3">
      <c r="H26">
        <v>10962</v>
      </c>
      <c r="J26" t="s">
        <v>131</v>
      </c>
      <c r="K26" t="s">
        <v>131</v>
      </c>
      <c r="L26">
        <v>99033</v>
      </c>
      <c r="M26">
        <v>289</v>
      </c>
      <c r="N26" t="s">
        <v>57</v>
      </c>
      <c r="O26">
        <v>71</v>
      </c>
      <c r="P26" t="s">
        <v>58</v>
      </c>
      <c r="Q26">
        <v>20</v>
      </c>
      <c r="R26">
        <v>240</v>
      </c>
      <c r="S26">
        <v>71</v>
      </c>
      <c r="T26" t="s">
        <v>53</v>
      </c>
      <c r="U26">
        <v>211</v>
      </c>
      <c r="V26" t="s">
        <v>132</v>
      </c>
      <c r="W26" t="s">
        <v>237</v>
      </c>
      <c r="X26">
        <v>6.4190471252482002</v>
      </c>
      <c r="Y26">
        <v>7</v>
      </c>
      <c r="Z26">
        <v>0</v>
      </c>
      <c r="AA26">
        <v>15</v>
      </c>
      <c r="AB26">
        <v>-83.372299999999996</v>
      </c>
      <c r="AC26">
        <v>42.745136000000002</v>
      </c>
      <c r="AE26">
        <v>0</v>
      </c>
      <c r="AF26">
        <v>0</v>
      </c>
      <c r="AG26">
        <v>51.5501</v>
      </c>
      <c r="AH26">
        <v>785.70870000000002</v>
      </c>
      <c r="AI26">
        <v>236.88900000000001</v>
      </c>
      <c r="AJ26">
        <v>686.96759999999995</v>
      </c>
      <c r="AK26">
        <v>325.1123</v>
      </c>
      <c r="AL26">
        <v>1204.4411</v>
      </c>
      <c r="AM26">
        <v>0</v>
      </c>
      <c r="AN26">
        <v>418.62939999999998</v>
      </c>
      <c r="AO26">
        <v>461.92829999999998</v>
      </c>
      <c r="AP26">
        <v>764.77670000000001</v>
      </c>
      <c r="AQ26">
        <v>1.7382671400912799</v>
      </c>
      <c r="AS26">
        <v>0</v>
      </c>
      <c r="AU26" s="1">
        <v>10</v>
      </c>
      <c r="AV26" s="1">
        <v>6.5</v>
      </c>
      <c r="AX26" t="s">
        <v>54</v>
      </c>
      <c r="AZ26" t="s">
        <v>91</v>
      </c>
      <c r="BA26" t="s">
        <v>56</v>
      </c>
      <c r="BB26" t="s">
        <v>54</v>
      </c>
      <c r="BC26" t="s">
        <v>55</v>
      </c>
      <c r="BE26">
        <v>0</v>
      </c>
      <c r="BF26">
        <v>104.65734999999999</v>
      </c>
      <c r="BG26">
        <v>115.48207499999999</v>
      </c>
      <c r="BH26">
        <v>191.194175</v>
      </c>
      <c r="BI26" t="s">
        <v>238</v>
      </c>
      <c r="BJ26">
        <v>7</v>
      </c>
      <c r="BK26" t="s">
        <v>56</v>
      </c>
      <c r="BL26" t="s">
        <v>212</v>
      </c>
      <c r="BM26">
        <v>4</v>
      </c>
    </row>
    <row r="27" spans="8:65" x14ac:dyDescent="0.3">
      <c r="H27">
        <v>11189</v>
      </c>
      <c r="J27" t="s">
        <v>135</v>
      </c>
      <c r="K27" t="s">
        <v>135</v>
      </c>
      <c r="L27">
        <v>99041</v>
      </c>
      <c r="M27">
        <v>9</v>
      </c>
      <c r="N27" t="s">
        <v>57</v>
      </c>
      <c r="O27">
        <v>72</v>
      </c>
      <c r="P27" t="s">
        <v>58</v>
      </c>
      <c r="Q27">
        <v>19</v>
      </c>
      <c r="R27">
        <v>240</v>
      </c>
      <c r="S27">
        <v>72</v>
      </c>
      <c r="T27" t="s">
        <v>53</v>
      </c>
      <c r="U27">
        <v>450</v>
      </c>
      <c r="V27" t="s">
        <v>136</v>
      </c>
      <c r="W27" t="s">
        <v>265</v>
      </c>
      <c r="X27">
        <v>13.687646562487799</v>
      </c>
      <c r="Y27">
        <v>7</v>
      </c>
      <c r="Z27">
        <v>0</v>
      </c>
      <c r="AA27">
        <v>10</v>
      </c>
      <c r="AB27">
        <v>-84.019913000000003</v>
      </c>
      <c r="AC27">
        <v>42.305486000000002</v>
      </c>
      <c r="AE27">
        <v>25.805199999999999</v>
      </c>
      <c r="AF27">
        <v>27.517800000000001</v>
      </c>
      <c r="AG27">
        <v>24.443100000000001</v>
      </c>
      <c r="AH27">
        <v>31.589700000000001</v>
      </c>
      <c r="AI27">
        <v>38.822200000000002</v>
      </c>
      <c r="AJ27">
        <v>43.028599999999997</v>
      </c>
      <c r="AK27">
        <v>35.020000000000003</v>
      </c>
      <c r="AL27">
        <v>39.64</v>
      </c>
      <c r="AM27">
        <v>26.6615</v>
      </c>
      <c r="AN27">
        <v>28.016400000000001</v>
      </c>
      <c r="AO27">
        <v>40.925400000000003</v>
      </c>
      <c r="AP27">
        <v>37.33</v>
      </c>
      <c r="AQ27">
        <v>10.1946803582476</v>
      </c>
      <c r="AU27" s="1">
        <v>0.375</v>
      </c>
      <c r="AV27" s="1">
        <v>0.6875</v>
      </c>
      <c r="AX27" t="s">
        <v>54</v>
      </c>
      <c r="AZ27" t="s">
        <v>91</v>
      </c>
      <c r="BA27" t="s">
        <v>56</v>
      </c>
      <c r="BB27" t="s">
        <v>54</v>
      </c>
      <c r="BC27" t="s">
        <v>55</v>
      </c>
      <c r="BE27">
        <v>6.665375</v>
      </c>
      <c r="BF27">
        <v>7.0041000000000002</v>
      </c>
      <c r="BG27">
        <v>10.231350000000001</v>
      </c>
      <c r="BH27">
        <v>9.3324999999999996</v>
      </c>
      <c r="BJ27">
        <v>7</v>
      </c>
      <c r="BK27" t="s">
        <v>56</v>
      </c>
      <c r="BL27" t="s">
        <v>212</v>
      </c>
      <c r="BM27">
        <v>4</v>
      </c>
    </row>
    <row r="28" spans="8:65" x14ac:dyDescent="0.3">
      <c r="H28">
        <v>10955</v>
      </c>
      <c r="J28" t="s">
        <v>137</v>
      </c>
      <c r="K28" t="s">
        <v>137</v>
      </c>
      <c r="L28">
        <v>33252</v>
      </c>
      <c r="M28">
        <v>0</v>
      </c>
      <c r="N28" t="s">
        <v>57</v>
      </c>
      <c r="O28">
        <v>72</v>
      </c>
      <c r="P28" t="s">
        <v>58</v>
      </c>
      <c r="Q28">
        <v>20</v>
      </c>
      <c r="R28">
        <v>250</v>
      </c>
      <c r="S28">
        <v>72</v>
      </c>
      <c r="T28" t="s">
        <v>53</v>
      </c>
      <c r="U28">
        <v>440</v>
      </c>
      <c r="V28" t="s">
        <v>138</v>
      </c>
      <c r="W28" t="s">
        <v>268</v>
      </c>
      <c r="X28">
        <v>4.5449269562449199</v>
      </c>
      <c r="Y28">
        <v>7</v>
      </c>
      <c r="Z28">
        <v>0</v>
      </c>
      <c r="AA28">
        <v>15</v>
      </c>
      <c r="AB28">
        <v>-84.019208000000006</v>
      </c>
      <c r="AC28">
        <v>42.320596999999999</v>
      </c>
      <c r="AE28">
        <v>468.60039999999998</v>
      </c>
      <c r="AF28">
        <v>470.19799999999998</v>
      </c>
      <c r="AG28">
        <v>473.0976</v>
      </c>
      <c r="AH28">
        <v>486.21480000000003</v>
      </c>
      <c r="AI28">
        <v>530.60360000000003</v>
      </c>
      <c r="AJ28">
        <v>531.40880000000004</v>
      </c>
      <c r="AK28">
        <v>530.57000000000005</v>
      </c>
      <c r="AL28">
        <v>530.57000000000005</v>
      </c>
      <c r="AM28">
        <v>469.39920000000001</v>
      </c>
      <c r="AN28">
        <v>479.65620000000001</v>
      </c>
      <c r="AO28">
        <v>531.00620000000004</v>
      </c>
      <c r="AP28">
        <v>530.57000000000005</v>
      </c>
      <c r="AQ28">
        <v>1.1101932315631</v>
      </c>
      <c r="AU28" s="1">
        <v>0.47916666666666674</v>
      </c>
      <c r="AV28" s="1">
        <v>0.6875</v>
      </c>
      <c r="AX28" t="s">
        <v>54</v>
      </c>
      <c r="AZ28" t="s">
        <v>91</v>
      </c>
      <c r="BA28" t="s">
        <v>56</v>
      </c>
      <c r="BB28" t="s">
        <v>54</v>
      </c>
      <c r="BC28" t="s">
        <v>55</v>
      </c>
      <c r="BE28">
        <v>117.3498</v>
      </c>
      <c r="BF28">
        <v>119.91405</v>
      </c>
      <c r="BG28">
        <v>132.75155000000001</v>
      </c>
      <c r="BH28">
        <v>132.64250000000001</v>
      </c>
      <c r="BJ28">
        <v>7</v>
      </c>
      <c r="BK28" t="s">
        <v>56</v>
      </c>
      <c r="BL28" t="s">
        <v>212</v>
      </c>
      <c r="BM28">
        <v>4</v>
      </c>
    </row>
    <row r="29" spans="8:65" x14ac:dyDescent="0.3">
      <c r="H29">
        <v>10777</v>
      </c>
      <c r="J29" t="s">
        <v>187</v>
      </c>
      <c r="K29" t="s">
        <v>187</v>
      </c>
      <c r="L29">
        <v>99033</v>
      </c>
      <c r="M29">
        <v>164</v>
      </c>
      <c r="N29" t="s">
        <v>57</v>
      </c>
      <c r="O29">
        <v>76</v>
      </c>
      <c r="P29" t="s">
        <v>58</v>
      </c>
      <c r="Q29">
        <v>13</v>
      </c>
      <c r="R29">
        <v>150</v>
      </c>
      <c r="S29">
        <v>71</v>
      </c>
      <c r="T29" t="s">
        <v>53</v>
      </c>
      <c r="U29">
        <v>173</v>
      </c>
      <c r="V29" t="s">
        <v>188</v>
      </c>
      <c r="W29" t="s">
        <v>228</v>
      </c>
      <c r="X29">
        <v>0.69871279260931396</v>
      </c>
      <c r="Y29">
        <v>7</v>
      </c>
      <c r="Z29">
        <v>0</v>
      </c>
      <c r="AA29">
        <v>3</v>
      </c>
      <c r="AB29">
        <v>-83.243319247121406</v>
      </c>
      <c r="AC29">
        <v>42.569373000080901</v>
      </c>
      <c r="AE29">
        <v>47.14</v>
      </c>
      <c r="AF29">
        <v>47.14</v>
      </c>
      <c r="AG29">
        <v>36.8108</v>
      </c>
      <c r="AH29">
        <v>50.091200000000001</v>
      </c>
      <c r="AI29">
        <v>54.28</v>
      </c>
      <c r="AJ29">
        <v>54.28</v>
      </c>
      <c r="AK29">
        <v>54.28</v>
      </c>
      <c r="AL29">
        <v>54.28</v>
      </c>
      <c r="AM29">
        <v>47.14</v>
      </c>
      <c r="AN29">
        <v>43.451000000000001</v>
      </c>
      <c r="AO29">
        <v>54.28</v>
      </c>
      <c r="AP29">
        <v>54.28</v>
      </c>
      <c r="AQ29">
        <v>0.13121792692839301</v>
      </c>
      <c r="AU29" s="1">
        <v>8</v>
      </c>
      <c r="AV29" s="1">
        <v>5.5</v>
      </c>
      <c r="AX29" t="s">
        <v>54</v>
      </c>
      <c r="AZ29" t="s">
        <v>91</v>
      </c>
      <c r="BA29" t="s">
        <v>54</v>
      </c>
      <c r="BB29" t="s">
        <v>54</v>
      </c>
      <c r="BC29" t="s">
        <v>55</v>
      </c>
      <c r="BE29">
        <v>11.785</v>
      </c>
      <c r="BF29">
        <v>10.86275</v>
      </c>
      <c r="BG29">
        <v>13.57</v>
      </c>
      <c r="BH29">
        <v>13.57</v>
      </c>
      <c r="BI29" t="s">
        <v>229</v>
      </c>
      <c r="BJ29">
        <v>7</v>
      </c>
      <c r="BK29" t="s">
        <v>56</v>
      </c>
      <c r="BL29" t="s">
        <v>212</v>
      </c>
      <c r="BM29">
        <v>4</v>
      </c>
    </row>
    <row r="30" spans="8:65" x14ac:dyDescent="0.3">
      <c r="H30">
        <v>707</v>
      </c>
      <c r="J30" t="s">
        <v>189</v>
      </c>
      <c r="K30" t="s">
        <v>189</v>
      </c>
      <c r="L30">
        <v>99033</v>
      </c>
      <c r="M30">
        <v>120</v>
      </c>
      <c r="N30" t="s">
        <v>57</v>
      </c>
      <c r="O30">
        <v>76</v>
      </c>
      <c r="P30" t="s">
        <v>58</v>
      </c>
      <c r="Q30">
        <v>14</v>
      </c>
      <c r="R30">
        <v>160</v>
      </c>
      <c r="S30">
        <v>71</v>
      </c>
      <c r="T30" t="s">
        <v>53</v>
      </c>
      <c r="U30">
        <v>170</v>
      </c>
      <c r="V30" t="s">
        <v>190</v>
      </c>
      <c r="W30" t="s">
        <v>227</v>
      </c>
      <c r="X30">
        <v>0</v>
      </c>
      <c r="Y30">
        <v>7</v>
      </c>
      <c r="Z30">
        <v>0</v>
      </c>
      <c r="AA30">
        <v>15.616666666666667</v>
      </c>
      <c r="AB30">
        <v>-83.243319247121406</v>
      </c>
      <c r="AC30">
        <v>42.569373000080901</v>
      </c>
      <c r="AE30">
        <v>113.57</v>
      </c>
      <c r="AF30">
        <v>113.57</v>
      </c>
      <c r="AG30">
        <v>64.866699999999994</v>
      </c>
      <c r="AH30">
        <v>253.60390000000001</v>
      </c>
      <c r="AI30">
        <v>97.34</v>
      </c>
      <c r="AJ30">
        <v>97.34</v>
      </c>
      <c r="AK30">
        <v>94.95</v>
      </c>
      <c r="AL30">
        <v>97.846999999999994</v>
      </c>
      <c r="AM30">
        <v>113.57</v>
      </c>
      <c r="AN30">
        <v>159.2353</v>
      </c>
      <c r="AO30">
        <v>97.34</v>
      </c>
      <c r="AP30">
        <v>96.398499999999999</v>
      </c>
      <c r="AU30" s="1">
        <v>8</v>
      </c>
      <c r="AV30" s="1">
        <v>5.5</v>
      </c>
      <c r="AX30" t="s">
        <v>54</v>
      </c>
      <c r="AZ30" t="s">
        <v>91</v>
      </c>
      <c r="BA30" t="s">
        <v>54</v>
      </c>
      <c r="BB30" t="s">
        <v>54</v>
      </c>
      <c r="BC30" t="s">
        <v>55</v>
      </c>
      <c r="BE30">
        <v>28.392499999999998</v>
      </c>
      <c r="BF30">
        <v>39.808824999999999</v>
      </c>
      <c r="BG30">
        <v>24.335000000000001</v>
      </c>
      <c r="BH30">
        <v>24.099625</v>
      </c>
      <c r="BI30" t="s">
        <v>229</v>
      </c>
      <c r="BJ30">
        <v>7</v>
      </c>
      <c r="BK30" t="s">
        <v>56</v>
      </c>
      <c r="BL30" t="s">
        <v>212</v>
      </c>
      <c r="BM30">
        <v>4</v>
      </c>
    </row>
    <row r="31" spans="8:65" x14ac:dyDescent="0.3">
      <c r="H31">
        <v>14432</v>
      </c>
      <c r="J31" t="s">
        <v>85</v>
      </c>
      <c r="K31" t="s">
        <v>85</v>
      </c>
      <c r="L31">
        <v>32721</v>
      </c>
      <c r="M31">
        <v>0</v>
      </c>
      <c r="N31" t="s">
        <v>57</v>
      </c>
      <c r="O31">
        <v>77</v>
      </c>
      <c r="P31" t="s">
        <v>58</v>
      </c>
      <c r="Q31">
        <v>1</v>
      </c>
      <c r="R31">
        <v>240</v>
      </c>
      <c r="S31">
        <v>70</v>
      </c>
      <c r="T31" t="s">
        <v>53</v>
      </c>
      <c r="U31">
        <v>210</v>
      </c>
      <c r="V31" t="s">
        <v>86</v>
      </c>
      <c r="W31" t="s">
        <v>247</v>
      </c>
      <c r="Y31">
        <v>7</v>
      </c>
      <c r="AA31">
        <v>6.7740740733333338</v>
      </c>
      <c r="AB31">
        <v>-83.310935999999998</v>
      </c>
      <c r="AC31">
        <v>42.370393999999997</v>
      </c>
      <c r="AD31">
        <v>3</v>
      </c>
      <c r="AE31">
        <v>124.7638</v>
      </c>
      <c r="AF31">
        <v>168.97620000000001</v>
      </c>
      <c r="AG31">
        <v>128.48500000000001</v>
      </c>
      <c r="AH31">
        <v>183.89500000000001</v>
      </c>
      <c r="AI31">
        <v>122.86279999999999</v>
      </c>
      <c r="AJ31">
        <v>209.5926</v>
      </c>
      <c r="AK31">
        <v>143.23439999999999</v>
      </c>
      <c r="AL31">
        <v>201.9102</v>
      </c>
      <c r="AM31">
        <v>146.87</v>
      </c>
      <c r="AN31">
        <v>156.19</v>
      </c>
      <c r="AO31">
        <v>166.2277</v>
      </c>
      <c r="AP31">
        <v>172.57230000000001</v>
      </c>
      <c r="AR31">
        <v>58</v>
      </c>
      <c r="AS31">
        <v>5</v>
      </c>
      <c r="AT31">
        <v>8.6206896551724144E-2</v>
      </c>
      <c r="AU31" s="1">
        <v>0.25</v>
      </c>
      <c r="AV31" s="1">
        <v>0.91666666666666674</v>
      </c>
      <c r="AX31" t="s">
        <v>54</v>
      </c>
      <c r="AZ31" t="s">
        <v>91</v>
      </c>
      <c r="BA31" t="s">
        <v>54</v>
      </c>
      <c r="BB31" t="s">
        <v>54</v>
      </c>
      <c r="BC31" t="s">
        <v>55</v>
      </c>
      <c r="BD31">
        <v>58</v>
      </c>
      <c r="BE31">
        <v>36.717500000000001</v>
      </c>
      <c r="BF31">
        <v>39.047499999999999</v>
      </c>
      <c r="BG31">
        <v>41.556925</v>
      </c>
      <c r="BH31">
        <v>43.143075000000003</v>
      </c>
      <c r="BJ31">
        <v>7</v>
      </c>
      <c r="BK31" t="s">
        <v>56</v>
      </c>
      <c r="BL31" t="s">
        <v>212</v>
      </c>
      <c r="BM31">
        <v>4</v>
      </c>
    </row>
    <row r="32" spans="8:65" x14ac:dyDescent="0.3">
      <c r="H32">
        <v>8766</v>
      </c>
      <c r="J32" t="s">
        <v>202</v>
      </c>
      <c r="K32" t="s">
        <v>202</v>
      </c>
      <c r="L32">
        <v>29142</v>
      </c>
      <c r="M32">
        <v>0</v>
      </c>
      <c r="N32" t="s">
        <v>57</v>
      </c>
      <c r="O32">
        <v>77</v>
      </c>
      <c r="P32" t="s">
        <v>58</v>
      </c>
      <c r="Q32">
        <v>2</v>
      </c>
      <c r="R32">
        <v>230</v>
      </c>
      <c r="S32">
        <v>70</v>
      </c>
      <c r="T32" t="s">
        <v>53</v>
      </c>
      <c r="U32">
        <v>200</v>
      </c>
      <c r="V32" t="s">
        <v>203</v>
      </c>
      <c r="W32" t="s">
        <v>248</v>
      </c>
      <c r="Y32">
        <v>7</v>
      </c>
      <c r="AA32">
        <v>7.1395833333333334</v>
      </c>
      <c r="AB32">
        <v>-83.293898999999996</v>
      </c>
      <c r="AC32">
        <v>42.371054999999998</v>
      </c>
      <c r="AE32">
        <v>70.847300000000004</v>
      </c>
      <c r="AF32">
        <v>110.54689999999999</v>
      </c>
      <c r="AG32">
        <v>83.472899999999996</v>
      </c>
      <c r="AH32">
        <v>125.8441</v>
      </c>
      <c r="AI32">
        <v>87.700299999999999</v>
      </c>
      <c r="AJ32">
        <v>160.1343</v>
      </c>
      <c r="AK32">
        <v>96.5869</v>
      </c>
      <c r="AL32">
        <v>158.5531</v>
      </c>
      <c r="AM32">
        <v>90.697100000000006</v>
      </c>
      <c r="AN32">
        <v>104.6585</v>
      </c>
      <c r="AO32">
        <v>123.9173</v>
      </c>
      <c r="AP32">
        <v>127.57</v>
      </c>
      <c r="AU32" s="1">
        <v>0.25</v>
      </c>
      <c r="AV32" s="1">
        <v>0.66666666666666674</v>
      </c>
      <c r="AX32" t="s">
        <v>54</v>
      </c>
      <c r="AZ32" t="s">
        <v>91</v>
      </c>
      <c r="BA32" t="s">
        <v>54</v>
      </c>
      <c r="BB32" t="s">
        <v>54</v>
      </c>
      <c r="BC32" t="s">
        <v>55</v>
      </c>
      <c r="BE32">
        <v>22.674275000000002</v>
      </c>
      <c r="BF32">
        <v>26.164625000000001</v>
      </c>
      <c r="BG32">
        <v>30.979324999999999</v>
      </c>
      <c r="BH32">
        <v>31.892499999999998</v>
      </c>
      <c r="BJ32">
        <v>7</v>
      </c>
      <c r="BK32" t="s">
        <v>56</v>
      </c>
      <c r="BL32" t="s">
        <v>212</v>
      </c>
      <c r="BM32">
        <v>4</v>
      </c>
    </row>
    <row r="33" spans="8:65" x14ac:dyDescent="0.3">
      <c r="H33">
        <v>14444</v>
      </c>
      <c r="J33" t="s">
        <v>198</v>
      </c>
      <c r="K33" t="s">
        <v>198</v>
      </c>
      <c r="L33">
        <v>33217</v>
      </c>
      <c r="M33">
        <v>0</v>
      </c>
      <c r="N33" t="s">
        <v>57</v>
      </c>
      <c r="O33">
        <v>77</v>
      </c>
      <c r="P33" t="s">
        <v>58</v>
      </c>
      <c r="Q33">
        <v>21</v>
      </c>
      <c r="R33">
        <v>500</v>
      </c>
      <c r="S33">
        <v>70</v>
      </c>
      <c r="T33" t="s">
        <v>53</v>
      </c>
      <c r="U33">
        <v>170</v>
      </c>
      <c r="V33" t="s">
        <v>199</v>
      </c>
      <c r="W33" t="s">
        <v>254</v>
      </c>
      <c r="Y33">
        <v>7</v>
      </c>
      <c r="AA33">
        <v>5.9440109053742045</v>
      </c>
      <c r="AB33">
        <v>-83.277667199999996</v>
      </c>
      <c r="AC33">
        <v>42.394454199999998</v>
      </c>
      <c r="AE33">
        <v>37.36</v>
      </c>
      <c r="AF33">
        <v>46.61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41.984999999999999</v>
      </c>
      <c r="AN33">
        <v>0</v>
      </c>
      <c r="AO33">
        <v>0</v>
      </c>
      <c r="AP33">
        <v>0</v>
      </c>
      <c r="AU33" s="1"/>
      <c r="AV33" s="1"/>
      <c r="AX33" t="s">
        <v>54</v>
      </c>
      <c r="AZ33" t="s">
        <v>91</v>
      </c>
      <c r="BA33" t="s">
        <v>54</v>
      </c>
      <c r="BB33" t="s">
        <v>54</v>
      </c>
      <c r="BC33" t="s">
        <v>55</v>
      </c>
      <c r="BE33">
        <v>10.49625</v>
      </c>
      <c r="BF33">
        <v>0</v>
      </c>
      <c r="BG33">
        <v>0</v>
      </c>
      <c r="BH33">
        <v>0</v>
      </c>
      <c r="BJ33">
        <v>7</v>
      </c>
      <c r="BK33" t="s">
        <v>56</v>
      </c>
      <c r="BL33" t="s">
        <v>212</v>
      </c>
      <c r="BM33">
        <v>4</v>
      </c>
    </row>
    <row r="34" spans="8:65" x14ac:dyDescent="0.3">
      <c r="H34">
        <v>15596</v>
      </c>
      <c r="J34" t="s">
        <v>80</v>
      </c>
      <c r="K34" t="s">
        <v>80</v>
      </c>
      <c r="L34">
        <v>30871</v>
      </c>
      <c r="M34">
        <v>0</v>
      </c>
      <c r="N34" t="s">
        <v>57</v>
      </c>
      <c r="O34">
        <v>77</v>
      </c>
      <c r="P34" t="s">
        <v>58</v>
      </c>
      <c r="Q34">
        <v>3</v>
      </c>
      <c r="R34">
        <v>10</v>
      </c>
      <c r="S34">
        <v>78</v>
      </c>
      <c r="T34" t="s">
        <v>53</v>
      </c>
      <c r="U34">
        <v>80</v>
      </c>
      <c r="V34" t="s">
        <v>81</v>
      </c>
      <c r="W34" t="s">
        <v>249</v>
      </c>
      <c r="Y34">
        <v>7</v>
      </c>
      <c r="AA34">
        <v>5.9440109053742045</v>
      </c>
      <c r="AB34">
        <v>-83.302285999999995</v>
      </c>
      <c r="AC34">
        <v>42.375905000000003</v>
      </c>
      <c r="AD34">
        <v>3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R34">
        <v>50</v>
      </c>
      <c r="AS34">
        <v>0</v>
      </c>
      <c r="AU34" s="1"/>
      <c r="AV34" s="1"/>
      <c r="AW34" t="s">
        <v>215</v>
      </c>
      <c r="AX34" t="s">
        <v>54</v>
      </c>
      <c r="AY34" t="s">
        <v>215</v>
      </c>
      <c r="AZ34" t="s">
        <v>91</v>
      </c>
      <c r="BA34" t="s">
        <v>54</v>
      </c>
      <c r="BB34" t="s">
        <v>54</v>
      </c>
      <c r="BC34" t="s">
        <v>55</v>
      </c>
      <c r="BD34">
        <v>50</v>
      </c>
      <c r="BE34">
        <v>0</v>
      </c>
      <c r="BF34">
        <v>0</v>
      </c>
      <c r="BG34">
        <v>0</v>
      </c>
      <c r="BH34">
        <v>0</v>
      </c>
      <c r="BJ34">
        <v>7</v>
      </c>
      <c r="BK34" t="s">
        <v>56</v>
      </c>
      <c r="BL34" t="s">
        <v>212</v>
      </c>
      <c r="BM34">
        <v>4</v>
      </c>
    </row>
    <row r="35" spans="8:65" x14ac:dyDescent="0.3">
      <c r="H35">
        <v>1379</v>
      </c>
      <c r="J35" t="s">
        <v>192</v>
      </c>
      <c r="K35" t="s">
        <v>192</v>
      </c>
      <c r="L35">
        <v>32914</v>
      </c>
      <c r="M35">
        <v>0</v>
      </c>
      <c r="N35" t="s">
        <v>57</v>
      </c>
      <c r="O35">
        <v>77</v>
      </c>
      <c r="P35" t="s">
        <v>58</v>
      </c>
      <c r="Q35">
        <v>9</v>
      </c>
      <c r="R35">
        <v>70</v>
      </c>
      <c r="S35">
        <v>70</v>
      </c>
      <c r="T35" t="s">
        <v>53</v>
      </c>
      <c r="U35">
        <v>60</v>
      </c>
      <c r="V35" t="s">
        <v>193</v>
      </c>
      <c r="W35" t="s">
        <v>250</v>
      </c>
      <c r="Y35">
        <v>7</v>
      </c>
      <c r="AA35">
        <v>6.3812500000000005</v>
      </c>
      <c r="AB35">
        <v>-83.334389999999999</v>
      </c>
      <c r="AC35">
        <v>42.437351</v>
      </c>
      <c r="AE35">
        <v>142.43450000000001</v>
      </c>
      <c r="AF35">
        <v>170.12549999999999</v>
      </c>
      <c r="AG35">
        <v>151.60679999999999</v>
      </c>
      <c r="AH35">
        <v>166.04079999999999</v>
      </c>
      <c r="AI35">
        <v>164.4427</v>
      </c>
      <c r="AJ35">
        <v>167.99270000000001</v>
      </c>
      <c r="AK35">
        <v>153.25399999999999</v>
      </c>
      <c r="AL35">
        <v>163.5214</v>
      </c>
      <c r="AM35">
        <v>156.28</v>
      </c>
      <c r="AN35">
        <v>158.82380000000001</v>
      </c>
      <c r="AO35">
        <v>166.21770000000001</v>
      </c>
      <c r="AP35">
        <v>158.3877</v>
      </c>
      <c r="AU35" s="1">
        <v>0.29166666666666674</v>
      </c>
      <c r="AV35" s="1">
        <v>0.66666666666666674</v>
      </c>
      <c r="AX35" t="s">
        <v>54</v>
      </c>
      <c r="AZ35" t="s">
        <v>91</v>
      </c>
      <c r="BA35" t="s">
        <v>54</v>
      </c>
      <c r="BB35" t="s">
        <v>54</v>
      </c>
      <c r="BC35" t="s">
        <v>55</v>
      </c>
      <c r="BE35">
        <v>39.07</v>
      </c>
      <c r="BF35">
        <v>39.705950000000001</v>
      </c>
      <c r="BG35">
        <v>41.554425000000002</v>
      </c>
      <c r="BH35">
        <v>39.596924999999999</v>
      </c>
      <c r="BJ35">
        <v>7</v>
      </c>
      <c r="BK35" t="s">
        <v>56</v>
      </c>
      <c r="BL35" t="s">
        <v>212</v>
      </c>
      <c r="BM35">
        <v>4</v>
      </c>
    </row>
    <row r="36" spans="8:65" x14ac:dyDescent="0.3">
      <c r="H36">
        <v>14557</v>
      </c>
      <c r="J36" t="s">
        <v>196</v>
      </c>
      <c r="K36" t="s">
        <v>196</v>
      </c>
      <c r="L36">
        <v>24784</v>
      </c>
      <c r="M36">
        <v>0</v>
      </c>
      <c r="N36" t="s">
        <v>57</v>
      </c>
      <c r="O36">
        <v>77</v>
      </c>
      <c r="P36" t="s">
        <v>53</v>
      </c>
      <c r="Q36">
        <v>21</v>
      </c>
      <c r="R36">
        <v>245</v>
      </c>
      <c r="S36">
        <v>70</v>
      </c>
      <c r="T36" t="s">
        <v>53</v>
      </c>
      <c r="U36">
        <v>160</v>
      </c>
      <c r="V36" t="s">
        <v>197</v>
      </c>
      <c r="W36" t="s">
        <v>253</v>
      </c>
      <c r="Y36">
        <v>7</v>
      </c>
      <c r="AA36">
        <v>3</v>
      </c>
      <c r="AB36">
        <v>-83.259501999999998</v>
      </c>
      <c r="AC36">
        <v>42.400449999999999</v>
      </c>
      <c r="AE36">
        <v>39.470999999999997</v>
      </c>
      <c r="AF36">
        <v>41.746000000000002</v>
      </c>
      <c r="AG36">
        <v>42.542499999999997</v>
      </c>
      <c r="AH36">
        <v>44.8675</v>
      </c>
      <c r="AI36">
        <v>45.07</v>
      </c>
      <c r="AJ36">
        <v>46.03</v>
      </c>
      <c r="AK36">
        <v>45.07</v>
      </c>
      <c r="AL36">
        <v>45.07</v>
      </c>
      <c r="AM36">
        <v>40.608499999999999</v>
      </c>
      <c r="AN36">
        <v>43.704999999999998</v>
      </c>
      <c r="AO36">
        <v>45.55</v>
      </c>
      <c r="AP36">
        <v>45.07</v>
      </c>
      <c r="AU36" s="1">
        <v>0.45833333333333326</v>
      </c>
      <c r="AV36" s="1">
        <v>0.79166666666666674</v>
      </c>
      <c r="AX36" t="s">
        <v>54</v>
      </c>
      <c r="AZ36" t="s">
        <v>92</v>
      </c>
      <c r="BA36" t="s">
        <v>54</v>
      </c>
      <c r="BB36" t="s">
        <v>56</v>
      </c>
      <c r="BC36" t="s">
        <v>55</v>
      </c>
      <c r="BE36">
        <v>10.152125</v>
      </c>
      <c r="BF36">
        <v>10.92625</v>
      </c>
      <c r="BG36">
        <v>11.387499999999999</v>
      </c>
      <c r="BH36">
        <v>11.2675</v>
      </c>
      <c r="BJ36">
        <v>7</v>
      </c>
      <c r="BK36" t="s">
        <v>56</v>
      </c>
    </row>
    <row r="37" spans="8:65" x14ac:dyDescent="0.3">
      <c r="H37">
        <v>16131</v>
      </c>
      <c r="J37" t="s">
        <v>258</v>
      </c>
      <c r="K37" t="s">
        <v>258</v>
      </c>
      <c r="L37">
        <v>33736</v>
      </c>
      <c r="M37">
        <v>0</v>
      </c>
      <c r="N37" t="s">
        <v>57</v>
      </c>
      <c r="O37">
        <v>78</v>
      </c>
      <c r="P37" t="s">
        <v>58</v>
      </c>
      <c r="Q37">
        <v>9</v>
      </c>
      <c r="R37">
        <v>90</v>
      </c>
      <c r="S37">
        <v>78</v>
      </c>
      <c r="T37" t="s">
        <v>53</v>
      </c>
      <c r="U37">
        <v>1</v>
      </c>
      <c r="V37" t="s">
        <v>259</v>
      </c>
      <c r="W37" t="s">
        <v>260</v>
      </c>
      <c r="X37">
        <v>7.7634877216098097</v>
      </c>
      <c r="Y37">
        <v>7</v>
      </c>
      <c r="Z37">
        <v>0</v>
      </c>
      <c r="AA37">
        <v>5.9440109053742045</v>
      </c>
      <c r="AB37">
        <v>-83.029919000000007</v>
      </c>
      <c r="AC37">
        <v>42.539361999999997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4.0241175977415402</v>
      </c>
      <c r="AR37">
        <v>0</v>
      </c>
      <c r="AS37">
        <v>0</v>
      </c>
      <c r="AU37" s="1"/>
      <c r="AV37" s="1"/>
      <c r="AW37" t="s">
        <v>215</v>
      </c>
      <c r="AX37" t="s">
        <v>54</v>
      </c>
      <c r="AY37" t="s">
        <v>215</v>
      </c>
      <c r="AZ37" t="s">
        <v>91</v>
      </c>
      <c r="BA37" t="s">
        <v>56</v>
      </c>
      <c r="BB37" t="s">
        <v>54</v>
      </c>
      <c r="BC37" t="s">
        <v>55</v>
      </c>
      <c r="BD37">
        <v>0</v>
      </c>
      <c r="BE37">
        <v>0</v>
      </c>
      <c r="BF37">
        <v>0</v>
      </c>
      <c r="BG37">
        <v>0</v>
      </c>
      <c r="BH37">
        <v>0</v>
      </c>
      <c r="BK37" t="s">
        <v>56</v>
      </c>
      <c r="BL37" t="s">
        <v>212</v>
      </c>
      <c r="BM37">
        <v>4</v>
      </c>
    </row>
    <row r="38" spans="8:65" x14ac:dyDescent="0.3">
      <c r="H38">
        <v>14781</v>
      </c>
      <c r="J38" t="s">
        <v>105</v>
      </c>
      <c r="K38" t="s">
        <v>105</v>
      </c>
      <c r="L38">
        <v>32982</v>
      </c>
      <c r="M38">
        <v>0</v>
      </c>
      <c r="N38" t="s">
        <v>62</v>
      </c>
      <c r="O38">
        <v>15</v>
      </c>
      <c r="P38" t="s">
        <v>58</v>
      </c>
      <c r="Q38">
        <v>1</v>
      </c>
      <c r="R38">
        <v>110</v>
      </c>
      <c r="S38">
        <v>15</v>
      </c>
      <c r="T38" t="s">
        <v>52</v>
      </c>
      <c r="U38">
        <v>390</v>
      </c>
      <c r="V38" t="s">
        <v>106</v>
      </c>
      <c r="W38" t="s">
        <v>217</v>
      </c>
      <c r="Y38">
        <v>6</v>
      </c>
      <c r="AA38">
        <v>5</v>
      </c>
      <c r="AB38">
        <v>-83.583588000000006</v>
      </c>
      <c r="AC38">
        <v>42.506734999999999</v>
      </c>
      <c r="AE38">
        <v>53.92</v>
      </c>
      <c r="AF38">
        <v>55.17</v>
      </c>
      <c r="AG38">
        <v>55.647799999999997</v>
      </c>
      <c r="AH38">
        <v>62.597999999999999</v>
      </c>
      <c r="AI38">
        <v>69.64</v>
      </c>
      <c r="AJ38">
        <v>70.42</v>
      </c>
      <c r="AK38">
        <v>69.64</v>
      </c>
      <c r="AL38">
        <v>69.64</v>
      </c>
      <c r="AM38">
        <v>54.545000000000002</v>
      </c>
      <c r="AN38">
        <v>59.122900000000001</v>
      </c>
      <c r="AO38">
        <v>70.03</v>
      </c>
      <c r="AP38">
        <v>69.64</v>
      </c>
      <c r="AU38" s="1">
        <v>0.375</v>
      </c>
      <c r="AV38" s="1">
        <v>0.6875</v>
      </c>
      <c r="AX38" t="s">
        <v>54</v>
      </c>
      <c r="AZ38" t="s">
        <v>91</v>
      </c>
      <c r="BA38" t="s">
        <v>56</v>
      </c>
      <c r="BB38" t="s">
        <v>54</v>
      </c>
      <c r="BC38" t="s">
        <v>55</v>
      </c>
      <c r="BE38">
        <v>13.63625</v>
      </c>
      <c r="BF38">
        <v>14.780725</v>
      </c>
      <c r="BG38">
        <v>17.5075</v>
      </c>
      <c r="BH38">
        <v>17.41</v>
      </c>
      <c r="BJ38">
        <v>6</v>
      </c>
      <c r="BK38" t="s">
        <v>56</v>
      </c>
    </row>
    <row r="39" spans="8:65" x14ac:dyDescent="0.3">
      <c r="H39">
        <v>11926</v>
      </c>
      <c r="J39" t="s">
        <v>165</v>
      </c>
      <c r="K39" t="s">
        <v>165</v>
      </c>
      <c r="L39">
        <v>32575</v>
      </c>
      <c r="M39">
        <v>0</v>
      </c>
      <c r="N39" t="s">
        <v>62</v>
      </c>
      <c r="O39">
        <v>75</v>
      </c>
      <c r="P39" t="s">
        <v>58</v>
      </c>
      <c r="Q39">
        <v>40</v>
      </c>
      <c r="R39">
        <v>40</v>
      </c>
      <c r="S39">
        <v>34</v>
      </c>
      <c r="T39" t="s">
        <v>52</v>
      </c>
      <c r="U39">
        <v>75</v>
      </c>
      <c r="V39" t="s">
        <v>166</v>
      </c>
      <c r="W39" t="s">
        <v>220</v>
      </c>
      <c r="Y39">
        <v>6</v>
      </c>
      <c r="AA39">
        <v>3</v>
      </c>
      <c r="AB39">
        <v>-83.049098000000001</v>
      </c>
      <c r="AC39">
        <v>42.396726000000001</v>
      </c>
      <c r="AE39">
        <v>45.255000000000003</v>
      </c>
      <c r="AF39">
        <v>48.155000000000001</v>
      </c>
      <c r="AG39">
        <v>49.7956</v>
      </c>
      <c r="AH39">
        <v>52.320399999999999</v>
      </c>
      <c r="AI39">
        <v>51.29</v>
      </c>
      <c r="AJ39">
        <v>52.11</v>
      </c>
      <c r="AK39">
        <v>40.936999999999998</v>
      </c>
      <c r="AL39">
        <v>66.528800000000004</v>
      </c>
      <c r="AM39">
        <v>46.704999999999998</v>
      </c>
      <c r="AN39">
        <v>51.058</v>
      </c>
      <c r="AO39">
        <v>51.7</v>
      </c>
      <c r="AP39">
        <v>53.732900000000001</v>
      </c>
      <c r="AU39" s="1">
        <v>0.4375</v>
      </c>
      <c r="AV39" s="1">
        <v>0.6875</v>
      </c>
      <c r="AX39" t="s">
        <v>54</v>
      </c>
      <c r="AZ39" t="s">
        <v>91</v>
      </c>
      <c r="BA39" t="s">
        <v>54</v>
      </c>
      <c r="BB39" t="s">
        <v>54</v>
      </c>
      <c r="BC39" t="s">
        <v>55</v>
      </c>
      <c r="BE39">
        <v>11.67625</v>
      </c>
      <c r="BF39">
        <v>12.7645</v>
      </c>
      <c r="BG39">
        <v>12.925000000000001</v>
      </c>
      <c r="BH39">
        <v>13.433225</v>
      </c>
      <c r="BJ39">
        <v>6</v>
      </c>
      <c r="BK39" t="s">
        <v>56</v>
      </c>
    </row>
    <row r="40" spans="8:65" x14ac:dyDescent="0.3">
      <c r="H40">
        <v>1786</v>
      </c>
      <c r="J40" t="s">
        <v>157</v>
      </c>
      <c r="K40" t="s">
        <v>157</v>
      </c>
      <c r="L40">
        <v>23671</v>
      </c>
      <c r="M40">
        <v>0</v>
      </c>
      <c r="N40" t="s">
        <v>62</v>
      </c>
      <c r="O40">
        <v>75</v>
      </c>
      <c r="P40" t="s">
        <v>58</v>
      </c>
      <c r="Q40">
        <v>100</v>
      </c>
      <c r="R40">
        <v>110</v>
      </c>
      <c r="S40">
        <v>34</v>
      </c>
      <c r="T40" t="s">
        <v>52</v>
      </c>
      <c r="U40">
        <v>45</v>
      </c>
      <c r="V40" t="s">
        <v>158</v>
      </c>
      <c r="W40" t="s">
        <v>225</v>
      </c>
      <c r="Y40">
        <v>2</v>
      </c>
      <c r="AA40">
        <v>9.5083333333333329</v>
      </c>
      <c r="AB40">
        <v>-83.083971000000005</v>
      </c>
      <c r="AC40">
        <v>42.416550000000001</v>
      </c>
      <c r="AE40">
        <v>112.32</v>
      </c>
      <c r="AF40">
        <v>206.27</v>
      </c>
      <c r="AG40">
        <v>112.0945</v>
      </c>
      <c r="AH40">
        <v>113.8989</v>
      </c>
      <c r="AI40">
        <v>110.87130000000001</v>
      </c>
      <c r="AJ40">
        <v>150.8837</v>
      </c>
      <c r="AK40">
        <v>97.203199999999995</v>
      </c>
      <c r="AL40">
        <v>208.61279999999999</v>
      </c>
      <c r="AM40">
        <v>159.29499999999999</v>
      </c>
      <c r="AN40">
        <v>112.9967</v>
      </c>
      <c r="AO40">
        <v>130.8775</v>
      </c>
      <c r="AP40">
        <v>152.90799999999999</v>
      </c>
      <c r="AU40" s="1">
        <v>9</v>
      </c>
      <c r="AV40" s="1">
        <v>0.6875</v>
      </c>
      <c r="AX40" t="s">
        <v>54</v>
      </c>
      <c r="AZ40" t="s">
        <v>91</v>
      </c>
      <c r="BA40" t="s">
        <v>54</v>
      </c>
      <c r="BB40" t="s">
        <v>54</v>
      </c>
      <c r="BC40" t="s">
        <v>55</v>
      </c>
      <c r="BE40">
        <v>39.823749999999997</v>
      </c>
      <c r="BF40">
        <v>28.249175000000001</v>
      </c>
      <c r="BG40">
        <v>32.719374999999999</v>
      </c>
      <c r="BH40">
        <v>38.226999999999997</v>
      </c>
      <c r="BJ40">
        <v>2</v>
      </c>
      <c r="BK40" t="s">
        <v>56</v>
      </c>
    </row>
    <row r="41" spans="8:65" x14ac:dyDescent="0.3">
      <c r="H41">
        <v>13157</v>
      </c>
      <c r="J41" t="s">
        <v>155</v>
      </c>
      <c r="K41" t="s">
        <v>155</v>
      </c>
      <c r="L41">
        <v>26442</v>
      </c>
      <c r="M41">
        <v>1</v>
      </c>
      <c r="N41" t="s">
        <v>62</v>
      </c>
      <c r="O41">
        <v>75</v>
      </c>
      <c r="P41" t="s">
        <v>58</v>
      </c>
      <c r="Q41">
        <v>180</v>
      </c>
      <c r="R41">
        <v>190</v>
      </c>
      <c r="S41">
        <v>34</v>
      </c>
      <c r="T41" t="s">
        <v>52</v>
      </c>
      <c r="U41">
        <v>35</v>
      </c>
      <c r="V41" t="s">
        <v>156</v>
      </c>
      <c r="W41" t="s">
        <v>233</v>
      </c>
      <c r="Y41">
        <v>2</v>
      </c>
      <c r="AA41">
        <v>4.0750000000000002</v>
      </c>
      <c r="AB41">
        <v>-83.082547000000005</v>
      </c>
      <c r="AC41">
        <v>42.433152999999997</v>
      </c>
      <c r="AE41">
        <v>58.6267</v>
      </c>
      <c r="AF41">
        <v>61.853299999999997</v>
      </c>
      <c r="AG41">
        <v>62.056699999999999</v>
      </c>
      <c r="AH41">
        <v>63.203299999999999</v>
      </c>
      <c r="AI41">
        <v>63.178899999999999</v>
      </c>
      <c r="AJ41">
        <v>63.534500000000001</v>
      </c>
      <c r="AK41">
        <v>63.09</v>
      </c>
      <c r="AL41">
        <v>63.09</v>
      </c>
      <c r="AM41">
        <v>60.24</v>
      </c>
      <c r="AN41">
        <v>62.63</v>
      </c>
      <c r="AO41">
        <v>63.356699999999996</v>
      </c>
      <c r="AP41">
        <v>63.09</v>
      </c>
      <c r="AU41" s="1">
        <v>6</v>
      </c>
      <c r="AV41" s="1">
        <v>0.6875</v>
      </c>
      <c r="AX41" t="s">
        <v>54</v>
      </c>
      <c r="AZ41" t="s">
        <v>91</v>
      </c>
      <c r="BA41" t="s">
        <v>54</v>
      </c>
      <c r="BB41" t="s">
        <v>54</v>
      </c>
      <c r="BC41" t="s">
        <v>55</v>
      </c>
      <c r="BE41">
        <v>15.06</v>
      </c>
      <c r="BF41">
        <v>15.657500000000001</v>
      </c>
      <c r="BG41">
        <v>15.839174999999999</v>
      </c>
      <c r="BH41">
        <v>15.772500000000001</v>
      </c>
      <c r="BJ41">
        <v>2</v>
      </c>
      <c r="BK41" t="s">
        <v>56</v>
      </c>
    </row>
    <row r="42" spans="8:65" x14ac:dyDescent="0.3">
      <c r="H42">
        <v>1386</v>
      </c>
      <c r="J42" t="s">
        <v>159</v>
      </c>
      <c r="K42" t="s">
        <v>159</v>
      </c>
      <c r="L42">
        <v>26939</v>
      </c>
      <c r="M42">
        <v>0</v>
      </c>
      <c r="N42" t="s">
        <v>62</v>
      </c>
      <c r="O42">
        <v>75</v>
      </c>
      <c r="P42" t="s">
        <v>58</v>
      </c>
      <c r="Q42">
        <v>26</v>
      </c>
      <c r="R42">
        <v>340</v>
      </c>
      <c r="S42">
        <v>34</v>
      </c>
      <c r="T42" t="s">
        <v>52</v>
      </c>
      <c r="U42">
        <v>35</v>
      </c>
      <c r="V42" t="s">
        <v>160</v>
      </c>
      <c r="W42" t="s">
        <v>246</v>
      </c>
      <c r="Y42">
        <v>6</v>
      </c>
      <c r="AA42">
        <v>2.9958333333333336</v>
      </c>
      <c r="AB42">
        <v>-83.062492000000006</v>
      </c>
      <c r="AC42">
        <v>42.426023999999998</v>
      </c>
      <c r="AE42">
        <v>47.82</v>
      </c>
      <c r="AF42">
        <v>51.18</v>
      </c>
      <c r="AG42">
        <v>52.88</v>
      </c>
      <c r="AH42">
        <v>55.56</v>
      </c>
      <c r="AI42">
        <v>54.73</v>
      </c>
      <c r="AJ42">
        <v>55.56</v>
      </c>
      <c r="AK42">
        <v>54.73</v>
      </c>
      <c r="AL42">
        <v>54.73</v>
      </c>
      <c r="AM42">
        <v>49.5</v>
      </c>
      <c r="AN42">
        <v>54.22</v>
      </c>
      <c r="AO42">
        <v>55.145000000000003</v>
      </c>
      <c r="AP42">
        <v>54.73</v>
      </c>
      <c r="AU42" s="1">
        <v>7</v>
      </c>
      <c r="AV42" s="1">
        <v>0.6875</v>
      </c>
      <c r="AX42" t="s">
        <v>54</v>
      </c>
      <c r="AZ42" t="s">
        <v>91</v>
      </c>
      <c r="BA42" t="s">
        <v>54</v>
      </c>
      <c r="BB42" t="s">
        <v>54</v>
      </c>
      <c r="BC42" t="s">
        <v>55</v>
      </c>
      <c r="BE42">
        <v>12.375</v>
      </c>
      <c r="BF42">
        <v>13.555</v>
      </c>
      <c r="BG42">
        <v>13.786250000000001</v>
      </c>
      <c r="BH42">
        <v>13.682499999999999</v>
      </c>
      <c r="BJ42">
        <v>6</v>
      </c>
      <c r="BK42" t="s">
        <v>56</v>
      </c>
    </row>
    <row r="43" spans="8:65" x14ac:dyDescent="0.3">
      <c r="H43">
        <v>979</v>
      </c>
      <c r="J43" t="s">
        <v>185</v>
      </c>
      <c r="K43" t="s">
        <v>185</v>
      </c>
      <c r="L43">
        <v>18619</v>
      </c>
      <c r="M43">
        <v>0</v>
      </c>
      <c r="N43" t="s">
        <v>62</v>
      </c>
      <c r="O43">
        <v>76</v>
      </c>
      <c r="P43" t="s">
        <v>58</v>
      </c>
      <c r="Q43">
        <v>2</v>
      </c>
      <c r="R43">
        <v>40</v>
      </c>
      <c r="S43">
        <v>76</v>
      </c>
      <c r="T43" t="s">
        <v>52</v>
      </c>
      <c r="U43">
        <v>105</v>
      </c>
      <c r="V43" t="s">
        <v>186</v>
      </c>
      <c r="W43" t="s">
        <v>221</v>
      </c>
      <c r="X43">
        <v>0.75616296371793001</v>
      </c>
      <c r="Y43">
        <v>6</v>
      </c>
      <c r="Z43">
        <v>0</v>
      </c>
      <c r="AA43">
        <v>4.1958333333333337</v>
      </c>
      <c r="AB43">
        <v>-83.215609999999998</v>
      </c>
      <c r="AC43">
        <v>42.544274000000001</v>
      </c>
      <c r="AE43">
        <v>54.39</v>
      </c>
      <c r="AF43">
        <v>55.64</v>
      </c>
      <c r="AG43">
        <v>60.520600000000002</v>
      </c>
      <c r="AH43">
        <v>72.888000000000005</v>
      </c>
      <c r="AI43">
        <v>71.239999999999995</v>
      </c>
      <c r="AJ43">
        <v>72.39</v>
      </c>
      <c r="AK43">
        <v>52.985700000000001</v>
      </c>
      <c r="AL43">
        <v>76.814300000000003</v>
      </c>
      <c r="AM43">
        <v>55.015000000000001</v>
      </c>
      <c r="AN43">
        <v>66.704300000000003</v>
      </c>
      <c r="AO43">
        <v>71.814999999999998</v>
      </c>
      <c r="AP43">
        <v>64.900000000000006</v>
      </c>
      <c r="AQ43">
        <v>0.146654774924486</v>
      </c>
      <c r="AU43" s="1">
        <v>10</v>
      </c>
      <c r="AV43" s="1">
        <v>0.6875</v>
      </c>
      <c r="AX43" t="s">
        <v>54</v>
      </c>
      <c r="AZ43" t="s">
        <v>91</v>
      </c>
      <c r="BA43" t="s">
        <v>56</v>
      </c>
      <c r="BB43" t="s">
        <v>54</v>
      </c>
      <c r="BC43" t="s">
        <v>55</v>
      </c>
      <c r="BE43">
        <v>13.75375</v>
      </c>
      <c r="BF43">
        <v>16.676075000000001</v>
      </c>
      <c r="BG43">
        <v>17.953749999999999</v>
      </c>
      <c r="BH43">
        <v>16.225000000000001</v>
      </c>
      <c r="BI43" t="s">
        <v>216</v>
      </c>
      <c r="BJ43">
        <v>6</v>
      </c>
      <c r="BK43" t="s">
        <v>56</v>
      </c>
    </row>
    <row r="44" spans="8:65" x14ac:dyDescent="0.3">
      <c r="H44">
        <v>9228</v>
      </c>
      <c r="J44" t="s">
        <v>194</v>
      </c>
      <c r="K44" t="s">
        <v>194</v>
      </c>
      <c r="L44">
        <v>28460</v>
      </c>
      <c r="M44">
        <v>0</v>
      </c>
      <c r="N44" t="s">
        <v>62</v>
      </c>
      <c r="O44">
        <v>77</v>
      </c>
      <c r="P44" t="s">
        <v>58</v>
      </c>
      <c r="Q44">
        <v>15</v>
      </c>
      <c r="R44">
        <v>105</v>
      </c>
      <c r="S44">
        <v>76</v>
      </c>
      <c r="T44" t="s">
        <v>52</v>
      </c>
      <c r="U44">
        <v>110</v>
      </c>
      <c r="V44" t="s">
        <v>195</v>
      </c>
      <c r="W44" t="s">
        <v>252</v>
      </c>
      <c r="Y44">
        <v>6</v>
      </c>
      <c r="AA44">
        <v>7.9583333333333339</v>
      </c>
      <c r="AB44">
        <v>-83.260925999999998</v>
      </c>
      <c r="AC44">
        <v>42.458835999999998</v>
      </c>
      <c r="AE44">
        <v>48.9</v>
      </c>
      <c r="AF44">
        <v>50.15</v>
      </c>
      <c r="AG44">
        <v>48.559399999999997</v>
      </c>
      <c r="AH44">
        <v>53.517800000000001</v>
      </c>
      <c r="AI44">
        <v>52.83</v>
      </c>
      <c r="AJ44">
        <v>53.69</v>
      </c>
      <c r="AK44">
        <v>52.83</v>
      </c>
      <c r="AL44">
        <v>52.83</v>
      </c>
      <c r="AM44">
        <v>49.524999999999999</v>
      </c>
      <c r="AN44">
        <v>51.038600000000002</v>
      </c>
      <c r="AO44">
        <v>53.26</v>
      </c>
      <c r="AP44">
        <v>52.83</v>
      </c>
      <c r="AU44" s="1">
        <v>9</v>
      </c>
      <c r="AV44" s="1">
        <v>0.6875</v>
      </c>
      <c r="AX44" t="s">
        <v>54</v>
      </c>
      <c r="AZ44" t="s">
        <v>91</v>
      </c>
      <c r="BA44" t="s">
        <v>54</v>
      </c>
      <c r="BB44" t="s">
        <v>54</v>
      </c>
      <c r="BC44" t="s">
        <v>55</v>
      </c>
      <c r="BE44">
        <v>12.38125</v>
      </c>
      <c r="BF44">
        <v>12.759650000000001</v>
      </c>
      <c r="BG44">
        <v>13.315</v>
      </c>
      <c r="BH44">
        <v>13.2075</v>
      </c>
      <c r="BJ44">
        <v>6</v>
      </c>
      <c r="BK44" t="s">
        <v>56</v>
      </c>
    </row>
    <row r="45" spans="8:65" x14ac:dyDescent="0.3">
      <c r="H45">
        <v>15692</v>
      </c>
      <c r="J45" t="s">
        <v>200</v>
      </c>
      <c r="K45" t="s">
        <v>200</v>
      </c>
      <c r="L45">
        <v>20328</v>
      </c>
      <c r="M45">
        <v>0</v>
      </c>
      <c r="N45" t="s">
        <v>62</v>
      </c>
      <c r="O45">
        <v>77</v>
      </c>
      <c r="P45" t="s">
        <v>58</v>
      </c>
      <c r="Q45">
        <v>4</v>
      </c>
      <c r="R45">
        <v>200</v>
      </c>
      <c r="S45">
        <v>70</v>
      </c>
      <c r="T45" t="s">
        <v>52</v>
      </c>
      <c r="U45">
        <v>210</v>
      </c>
      <c r="V45" t="s">
        <v>201</v>
      </c>
      <c r="W45" t="s">
        <v>251</v>
      </c>
      <c r="Y45">
        <v>6</v>
      </c>
      <c r="AA45">
        <v>3</v>
      </c>
      <c r="AB45">
        <v>-83.309225900000001</v>
      </c>
      <c r="AC45">
        <v>42.442629400000001</v>
      </c>
      <c r="AE45">
        <v>39.6</v>
      </c>
      <c r="AF45">
        <v>246.61</v>
      </c>
      <c r="AG45">
        <v>77.133300000000006</v>
      </c>
      <c r="AH45">
        <v>242.7467</v>
      </c>
      <c r="AI45">
        <v>139.51220000000001</v>
      </c>
      <c r="AJ45">
        <v>189.65440000000001</v>
      </c>
      <c r="AK45">
        <v>17.832799999999999</v>
      </c>
      <c r="AL45">
        <v>161.75919999999999</v>
      </c>
      <c r="AM45">
        <v>143.10499999999999</v>
      </c>
      <c r="AN45">
        <v>159.94</v>
      </c>
      <c r="AO45">
        <v>164.58330000000001</v>
      </c>
      <c r="AP45">
        <v>89.796000000000006</v>
      </c>
      <c r="AU45" s="1"/>
      <c r="AV45" s="1"/>
      <c r="AX45" t="s">
        <v>54</v>
      </c>
      <c r="AZ45" t="s">
        <v>91</v>
      </c>
      <c r="BA45" t="s">
        <v>54</v>
      </c>
      <c r="BB45" t="s">
        <v>54</v>
      </c>
      <c r="BC45" t="s">
        <v>55</v>
      </c>
      <c r="BE45">
        <v>35.776249999999997</v>
      </c>
      <c r="BF45">
        <v>39.984999999999999</v>
      </c>
      <c r="BG45">
        <v>41.145825000000002</v>
      </c>
      <c r="BH45">
        <v>22.449000000000002</v>
      </c>
      <c r="BJ45">
        <v>6</v>
      </c>
      <c r="BK45" t="s">
        <v>56</v>
      </c>
    </row>
    <row r="46" spans="8:65" x14ac:dyDescent="0.3">
      <c r="H46">
        <v>15891</v>
      </c>
      <c r="J46" t="s">
        <v>255</v>
      </c>
      <c r="AU46" s="1"/>
      <c r="AV46" s="1"/>
    </row>
    <row r="47" spans="8:65" x14ac:dyDescent="0.3">
      <c r="H47">
        <v>1048</v>
      </c>
      <c r="J47" t="s">
        <v>256</v>
      </c>
      <c r="AU47" s="1"/>
      <c r="AV47" s="1"/>
    </row>
    <row r="48" spans="8:65" x14ac:dyDescent="0.3">
      <c r="H48">
        <v>688</v>
      </c>
      <c r="J48" t="s">
        <v>257</v>
      </c>
      <c r="AU48" s="1"/>
      <c r="AV48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D6E70-81FC-4559-816A-725A8621A927}">
  <sheetPr codeName="Sheet23">
    <pageSetUpPr fitToPage="1"/>
  </sheetPr>
  <dimension ref="A1:R1463"/>
  <sheetViews>
    <sheetView view="pageBreakPreview" topLeftCell="A505" zoomScale="70" zoomScaleNormal="100" zoomScaleSheetLayoutView="70" workbookViewId="0">
      <selection activeCell="N6" sqref="N6"/>
    </sheetView>
  </sheetViews>
  <sheetFormatPr defaultRowHeight="14.4" x14ac:dyDescent="0.3"/>
  <cols>
    <col min="1" max="1" width="9.44140625" style="4" customWidth="1"/>
    <col min="2" max="2" width="12.21875" style="7" customWidth="1"/>
    <col min="3" max="3" width="10.33203125" customWidth="1"/>
    <col min="4" max="4" width="41.6640625" customWidth="1"/>
    <col min="5" max="5" width="38" customWidth="1"/>
    <col min="6" max="6" width="12.5546875" style="2" customWidth="1"/>
    <col min="7" max="7" width="18" style="41" hidden="1" customWidth="1"/>
    <col min="8" max="8" width="16.44140625" style="7" customWidth="1"/>
    <col min="9" max="9" width="15.88671875" customWidth="1"/>
    <col min="10" max="10" width="15.6640625" customWidth="1"/>
    <col min="11" max="11" width="14.88671875" customWidth="1"/>
    <col min="12" max="12" width="14.44140625" customWidth="1"/>
    <col min="13" max="13" width="12.44140625" style="7" customWidth="1"/>
    <col min="14" max="14" width="10.77734375" style="7" customWidth="1"/>
    <col min="15" max="15" width="11.5546875" style="7" customWidth="1"/>
    <col min="16" max="16" width="10.77734375" style="7" customWidth="1"/>
    <col min="17" max="18" width="9.6640625" style="7" customWidth="1"/>
    <col min="19" max="19" width="13.6640625" customWidth="1"/>
    <col min="20" max="20" width="14.5546875" bestFit="1" customWidth="1"/>
  </cols>
  <sheetData>
    <row r="1" spans="1:17" x14ac:dyDescent="0.3">
      <c r="A1" s="21"/>
      <c r="B1" s="22"/>
      <c r="C1" s="23"/>
      <c r="D1" s="23"/>
      <c r="E1" s="23"/>
      <c r="F1" s="37"/>
      <c r="G1" s="39"/>
      <c r="H1" s="22"/>
      <c r="I1" s="23"/>
      <c r="J1" s="23"/>
      <c r="K1" s="23"/>
      <c r="L1" s="23"/>
      <c r="M1" s="22"/>
      <c r="N1" s="22"/>
      <c r="O1" s="22"/>
      <c r="P1" s="22"/>
      <c r="Q1" s="22"/>
    </row>
    <row r="2" spans="1:17" ht="28.8" customHeight="1" x14ac:dyDescent="0.3">
      <c r="A2" s="21"/>
      <c r="B2" s="22"/>
      <c r="C2" s="23"/>
      <c r="D2" s="23" t="s">
        <v>384</v>
      </c>
      <c r="E2" s="23"/>
      <c r="F2" s="37"/>
      <c r="G2" s="39"/>
      <c r="H2" s="22"/>
      <c r="I2" s="23"/>
      <c r="J2" s="23"/>
      <c r="K2" s="23"/>
      <c r="L2" s="23"/>
      <c r="M2" s="22"/>
      <c r="N2" s="22"/>
      <c r="O2" s="22"/>
      <c r="P2" s="22"/>
      <c r="Q2" s="22"/>
    </row>
    <row r="3" spans="1:17" ht="18" customHeight="1" x14ac:dyDescent="0.3">
      <c r="A3" s="51" t="s">
        <v>378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</row>
    <row r="4" spans="1:17" s="4" customFormat="1" ht="79.2" customHeight="1" x14ac:dyDescent="0.3">
      <c r="A4" s="24" t="s">
        <v>377</v>
      </c>
      <c r="B4" s="24" t="s">
        <v>272</v>
      </c>
      <c r="C4" s="24" t="s">
        <v>273</v>
      </c>
      <c r="D4" s="24" t="s">
        <v>10</v>
      </c>
      <c r="E4" s="25" t="s">
        <v>11</v>
      </c>
      <c r="F4" s="24" t="s">
        <v>13</v>
      </c>
      <c r="G4" s="24" t="s">
        <v>387</v>
      </c>
      <c r="H4" s="24" t="s">
        <v>35</v>
      </c>
      <c r="I4" s="24" t="s">
        <v>36</v>
      </c>
      <c r="J4" s="24" t="s">
        <v>37</v>
      </c>
      <c r="K4" s="24" t="s">
        <v>38</v>
      </c>
      <c r="L4" s="24" t="s">
        <v>408</v>
      </c>
      <c r="M4" s="24" t="s">
        <v>39</v>
      </c>
      <c r="N4" s="24" t="s">
        <v>338</v>
      </c>
      <c r="O4" s="24" t="s">
        <v>339</v>
      </c>
    </row>
    <row r="5" spans="1:17" s="35" customFormat="1" ht="25.05" customHeight="1" x14ac:dyDescent="0.4">
      <c r="A5" s="32" t="s">
        <v>1967</v>
      </c>
      <c r="B5" s="34" t="s">
        <v>1968</v>
      </c>
      <c r="C5" s="34" t="s">
        <v>340</v>
      </c>
      <c r="D5" s="34" t="s">
        <v>1969</v>
      </c>
      <c r="E5" s="34" t="s">
        <v>1970</v>
      </c>
      <c r="F5" s="33" t="s">
        <v>300</v>
      </c>
      <c r="G5" s="40" t="s">
        <v>1971</v>
      </c>
      <c r="J5" s="35" t="s">
        <v>215</v>
      </c>
      <c r="K5" s="35" t="s">
        <v>215</v>
      </c>
      <c r="L5" s="36"/>
      <c r="N5" s="36"/>
      <c r="O5" s="36"/>
    </row>
    <row r="6" spans="1:17" s="35" customFormat="1" ht="25.05" customHeight="1" x14ac:dyDescent="0.4">
      <c r="A6" s="32" t="s">
        <v>1967</v>
      </c>
      <c r="B6" s="34" t="s">
        <v>1972</v>
      </c>
      <c r="C6" s="34" t="s">
        <v>340</v>
      </c>
      <c r="D6" s="34" t="s">
        <v>1973</v>
      </c>
      <c r="E6" s="34" t="s">
        <v>1974</v>
      </c>
      <c r="F6" s="33" t="s">
        <v>300</v>
      </c>
      <c r="G6" s="40"/>
      <c r="H6" s="35" t="s">
        <v>1975</v>
      </c>
      <c r="I6" s="35" t="s">
        <v>1976</v>
      </c>
      <c r="J6" s="35" t="s">
        <v>215</v>
      </c>
      <c r="K6" s="35" t="s">
        <v>215</v>
      </c>
      <c r="L6" s="36"/>
      <c r="N6" s="36">
        <v>20.7</v>
      </c>
      <c r="O6" s="36"/>
    </row>
    <row r="7" spans="1:17" s="35" customFormat="1" ht="25.05" customHeight="1" x14ac:dyDescent="0.4">
      <c r="A7" s="32" t="s">
        <v>1967</v>
      </c>
      <c r="B7" s="34" t="s">
        <v>1977</v>
      </c>
      <c r="C7" s="34" t="s">
        <v>340</v>
      </c>
      <c r="D7" s="34" t="s">
        <v>1978</v>
      </c>
      <c r="E7" s="34" t="s">
        <v>1979</v>
      </c>
      <c r="F7" s="33" t="s">
        <v>300</v>
      </c>
      <c r="G7" s="40"/>
      <c r="H7" s="35" t="s">
        <v>1980</v>
      </c>
      <c r="I7" s="35" t="s">
        <v>1981</v>
      </c>
      <c r="J7" s="35" t="s">
        <v>215</v>
      </c>
      <c r="K7" s="35" t="s">
        <v>215</v>
      </c>
      <c r="L7" s="36"/>
      <c r="N7" s="36">
        <v>3.2</v>
      </c>
      <c r="O7" s="36"/>
    </row>
    <row r="8" spans="1:17" s="35" customFormat="1" ht="25.05" customHeight="1" x14ac:dyDescent="0.4">
      <c r="A8" s="32" t="s">
        <v>1967</v>
      </c>
      <c r="B8" s="34" t="s">
        <v>1526</v>
      </c>
      <c r="C8" s="34" t="s">
        <v>360</v>
      </c>
      <c r="D8" s="34" t="s">
        <v>1982</v>
      </c>
      <c r="E8" s="34" t="s">
        <v>1983</v>
      </c>
      <c r="F8" s="33" t="s">
        <v>299</v>
      </c>
      <c r="G8" s="40"/>
      <c r="H8" s="35" t="s">
        <v>1984</v>
      </c>
      <c r="I8" s="35" t="s">
        <v>1976</v>
      </c>
      <c r="J8" s="35" t="s">
        <v>215</v>
      </c>
      <c r="K8" s="35" t="s">
        <v>215</v>
      </c>
      <c r="L8" s="36"/>
      <c r="N8" s="36">
        <v>4.88</v>
      </c>
      <c r="O8" s="36"/>
    </row>
    <row r="9" spans="1:17" s="35" customFormat="1" ht="25.05" customHeight="1" x14ac:dyDescent="0.4">
      <c r="A9" s="32" t="s">
        <v>1967</v>
      </c>
      <c r="B9" s="34" t="s">
        <v>1985</v>
      </c>
      <c r="C9" s="34" t="s">
        <v>360</v>
      </c>
      <c r="D9" s="34" t="s">
        <v>1986</v>
      </c>
      <c r="E9" s="34" t="s">
        <v>1987</v>
      </c>
      <c r="F9" s="33" t="s">
        <v>323</v>
      </c>
      <c r="G9" s="40"/>
      <c r="H9" s="35" t="s">
        <v>1984</v>
      </c>
      <c r="I9" s="35" t="s">
        <v>1976</v>
      </c>
      <c r="J9" s="35" t="s">
        <v>215</v>
      </c>
      <c r="K9" s="35" t="s">
        <v>215</v>
      </c>
      <c r="L9" s="36"/>
      <c r="N9" s="36">
        <v>8.6199999999999992</v>
      </c>
      <c r="O9" s="36"/>
    </row>
    <row r="10" spans="1:17" s="35" customFormat="1" ht="25.05" customHeight="1" x14ac:dyDescent="0.4">
      <c r="A10" s="32" t="s">
        <v>1967</v>
      </c>
      <c r="B10" s="34" t="s">
        <v>1988</v>
      </c>
      <c r="C10" s="34" t="s">
        <v>340</v>
      </c>
      <c r="D10" s="34" t="s">
        <v>1989</v>
      </c>
      <c r="E10" s="34" t="s">
        <v>1990</v>
      </c>
      <c r="F10" s="33" t="s">
        <v>302</v>
      </c>
      <c r="G10" s="40"/>
      <c r="J10" s="35" t="s">
        <v>215</v>
      </c>
      <c r="K10" s="35" t="s">
        <v>215</v>
      </c>
      <c r="L10" s="36"/>
      <c r="N10" s="36">
        <v>7.45</v>
      </c>
      <c r="O10" s="36"/>
    </row>
    <row r="11" spans="1:17" s="35" customFormat="1" ht="25.05" customHeight="1" x14ac:dyDescent="0.4">
      <c r="A11" s="32" t="s">
        <v>1967</v>
      </c>
      <c r="B11" s="34" t="s">
        <v>1991</v>
      </c>
      <c r="C11" s="34" t="s">
        <v>340</v>
      </c>
      <c r="D11" s="34" t="s">
        <v>1992</v>
      </c>
      <c r="E11" s="34" t="s">
        <v>1993</v>
      </c>
      <c r="F11" s="33" t="s">
        <v>303</v>
      </c>
      <c r="G11" s="40"/>
      <c r="H11" s="35" t="s">
        <v>1994</v>
      </c>
      <c r="I11" s="35" t="s">
        <v>1976</v>
      </c>
      <c r="J11" s="35" t="s">
        <v>215</v>
      </c>
      <c r="K11" s="35" t="s">
        <v>215</v>
      </c>
      <c r="L11" s="36"/>
      <c r="N11" s="36">
        <v>26.36</v>
      </c>
      <c r="O11" s="36"/>
    </row>
    <row r="12" spans="1:17" s="35" customFormat="1" ht="25.05" customHeight="1" x14ac:dyDescent="0.4">
      <c r="A12" s="32" t="s">
        <v>1967</v>
      </c>
      <c r="B12" s="34" t="s">
        <v>1995</v>
      </c>
      <c r="C12" s="34" t="s">
        <v>340</v>
      </c>
      <c r="D12" s="34" t="s">
        <v>1996</v>
      </c>
      <c r="E12" s="34" t="s">
        <v>1997</v>
      </c>
      <c r="F12" s="33" t="s">
        <v>303</v>
      </c>
      <c r="G12" s="40"/>
      <c r="J12" s="35" t="s">
        <v>215</v>
      </c>
      <c r="K12" s="35" t="s">
        <v>215</v>
      </c>
      <c r="L12" s="36"/>
      <c r="N12" s="36">
        <v>4.7300000000000004</v>
      </c>
      <c r="O12" s="36"/>
    </row>
    <row r="13" spans="1:17" s="35" customFormat="1" ht="25.05" customHeight="1" x14ac:dyDescent="0.4">
      <c r="A13" s="32" t="s">
        <v>1967</v>
      </c>
      <c r="B13" s="34" t="s">
        <v>1998</v>
      </c>
      <c r="C13" s="34" t="s">
        <v>340</v>
      </c>
      <c r="D13" s="34" t="s">
        <v>1999</v>
      </c>
      <c r="E13" s="34" t="s">
        <v>2000</v>
      </c>
      <c r="F13" s="33" t="s">
        <v>323</v>
      </c>
      <c r="G13" s="40"/>
      <c r="H13" s="35" t="s">
        <v>1980</v>
      </c>
      <c r="I13" s="35" t="s">
        <v>1976</v>
      </c>
      <c r="J13" s="35" t="s">
        <v>215</v>
      </c>
      <c r="K13" s="35" t="s">
        <v>215</v>
      </c>
      <c r="L13" s="36"/>
      <c r="N13" s="36">
        <v>8.91</v>
      </c>
      <c r="O13" s="36"/>
    </row>
    <row r="14" spans="1:17" s="35" customFormat="1" ht="25.05" customHeight="1" x14ac:dyDescent="0.4">
      <c r="A14" s="32" t="s">
        <v>1967</v>
      </c>
      <c r="B14" s="34" t="s">
        <v>2001</v>
      </c>
      <c r="C14" s="34" t="s">
        <v>340</v>
      </c>
      <c r="D14" s="34" t="s">
        <v>2002</v>
      </c>
      <c r="E14" s="34" t="s">
        <v>2003</v>
      </c>
      <c r="F14" s="33" t="s">
        <v>299</v>
      </c>
      <c r="G14" s="40"/>
      <c r="H14" s="35" t="s">
        <v>2004</v>
      </c>
      <c r="I14" s="35" t="s">
        <v>1976</v>
      </c>
      <c r="J14" s="35" t="s">
        <v>215</v>
      </c>
      <c r="K14" s="35" t="s">
        <v>215</v>
      </c>
      <c r="L14" s="36"/>
      <c r="N14" s="36">
        <v>3.48</v>
      </c>
      <c r="O14" s="36"/>
    </row>
    <row r="15" spans="1:17" s="35" customFormat="1" ht="25.05" customHeight="1" x14ac:dyDescent="0.4">
      <c r="A15" s="32" t="s">
        <v>1967</v>
      </c>
      <c r="B15" s="34" t="s">
        <v>2005</v>
      </c>
      <c r="C15" s="34" t="s">
        <v>340</v>
      </c>
      <c r="D15" s="34" t="s">
        <v>2006</v>
      </c>
      <c r="E15" s="34" t="s">
        <v>2007</v>
      </c>
      <c r="F15" s="33" t="s">
        <v>302</v>
      </c>
      <c r="G15" s="40"/>
      <c r="H15" s="35" t="s">
        <v>2008</v>
      </c>
      <c r="I15" s="35" t="s">
        <v>1976</v>
      </c>
      <c r="J15" s="35" t="s">
        <v>215</v>
      </c>
      <c r="K15" s="35" t="s">
        <v>215</v>
      </c>
      <c r="L15" s="36"/>
      <c r="N15" s="36">
        <v>8.6300000000000008</v>
      </c>
      <c r="O15" s="36"/>
    </row>
    <row r="16" spans="1:17" s="35" customFormat="1" ht="25.05" customHeight="1" x14ac:dyDescent="0.4">
      <c r="A16" s="32" t="s">
        <v>1967</v>
      </c>
      <c r="B16" s="34" t="s">
        <v>2009</v>
      </c>
      <c r="C16" s="34" t="s">
        <v>340</v>
      </c>
      <c r="D16" s="34" t="s">
        <v>2010</v>
      </c>
      <c r="E16" s="34" t="s">
        <v>2011</v>
      </c>
      <c r="F16" s="33" t="s">
        <v>323</v>
      </c>
      <c r="G16" s="40"/>
      <c r="J16" s="35" t="s">
        <v>215</v>
      </c>
      <c r="K16" s="35" t="s">
        <v>215</v>
      </c>
      <c r="L16" s="36"/>
      <c r="N16" s="36">
        <v>11.94</v>
      </c>
      <c r="O16" s="36"/>
    </row>
    <row r="17" spans="1:15" s="35" customFormat="1" ht="25.05" customHeight="1" x14ac:dyDescent="0.4">
      <c r="A17" s="32" t="s">
        <v>1967</v>
      </c>
      <c r="B17" s="34" t="s">
        <v>2012</v>
      </c>
      <c r="C17" s="34" t="s">
        <v>340</v>
      </c>
      <c r="D17" s="34" t="s">
        <v>2013</v>
      </c>
      <c r="E17" s="34" t="s">
        <v>2014</v>
      </c>
      <c r="F17" s="33" t="s">
        <v>297</v>
      </c>
      <c r="G17" s="40"/>
      <c r="J17" s="35" t="s">
        <v>215</v>
      </c>
      <c r="K17" s="35" t="s">
        <v>215</v>
      </c>
      <c r="L17" s="36"/>
      <c r="N17" s="36">
        <v>5.23</v>
      </c>
      <c r="O17" s="36"/>
    </row>
    <row r="18" spans="1:15" s="35" customFormat="1" ht="25.05" customHeight="1" x14ac:dyDescent="0.4">
      <c r="A18" s="32" t="s">
        <v>1967</v>
      </c>
      <c r="B18" s="34" t="s">
        <v>2015</v>
      </c>
      <c r="C18" s="34" t="s">
        <v>340</v>
      </c>
      <c r="D18" s="34" t="s">
        <v>2016</v>
      </c>
      <c r="E18" s="34" t="s">
        <v>2017</v>
      </c>
      <c r="F18" s="33" t="s">
        <v>302</v>
      </c>
      <c r="G18" s="40"/>
      <c r="H18" s="35" t="s">
        <v>1984</v>
      </c>
      <c r="I18" s="35" t="s">
        <v>1976</v>
      </c>
      <c r="J18" s="35" t="s">
        <v>215</v>
      </c>
      <c r="K18" s="35" t="s">
        <v>215</v>
      </c>
      <c r="L18" s="36"/>
      <c r="N18" s="36">
        <v>6.92</v>
      </c>
      <c r="O18" s="36"/>
    </row>
    <row r="19" spans="1:15" s="35" customFormat="1" ht="25.05" customHeight="1" x14ac:dyDescent="0.4">
      <c r="A19" s="32" t="s">
        <v>1967</v>
      </c>
      <c r="B19" s="34" t="s">
        <v>2018</v>
      </c>
      <c r="C19" s="34" t="s">
        <v>340</v>
      </c>
      <c r="D19" s="34" t="s">
        <v>2019</v>
      </c>
      <c r="E19" s="34" t="s">
        <v>2020</v>
      </c>
      <c r="F19" s="33" t="s">
        <v>323</v>
      </c>
      <c r="G19" s="40"/>
      <c r="H19" s="35" t="s">
        <v>2021</v>
      </c>
      <c r="I19" s="35" t="s">
        <v>1976</v>
      </c>
      <c r="J19" s="35" t="s">
        <v>215</v>
      </c>
      <c r="K19" s="35" t="s">
        <v>215</v>
      </c>
      <c r="L19" s="36"/>
      <c r="N19" s="36">
        <v>5.7</v>
      </c>
      <c r="O19" s="36"/>
    </row>
    <row r="20" spans="1:15" s="35" customFormat="1" ht="25.05" customHeight="1" x14ac:dyDescent="0.4">
      <c r="A20" s="32" t="s">
        <v>1967</v>
      </c>
      <c r="B20" s="34" t="s">
        <v>2022</v>
      </c>
      <c r="C20" s="34" t="s">
        <v>340</v>
      </c>
      <c r="D20" s="34" t="s">
        <v>2023</v>
      </c>
      <c r="E20" s="34" t="s">
        <v>2024</v>
      </c>
      <c r="F20" s="33" t="s">
        <v>299</v>
      </c>
      <c r="G20" s="40"/>
      <c r="H20" s="35" t="s">
        <v>2008</v>
      </c>
      <c r="I20" s="35" t="s">
        <v>1976</v>
      </c>
      <c r="J20" s="35" t="s">
        <v>215</v>
      </c>
      <c r="K20" s="35" t="s">
        <v>215</v>
      </c>
      <c r="L20" s="36"/>
      <c r="N20" s="36">
        <v>12.66</v>
      </c>
      <c r="O20" s="36"/>
    </row>
    <row r="21" spans="1:15" s="35" customFormat="1" ht="25.05" customHeight="1" x14ac:dyDescent="0.4">
      <c r="A21" s="32" t="s">
        <v>1967</v>
      </c>
      <c r="B21" s="34" t="s">
        <v>2025</v>
      </c>
      <c r="C21" s="34" t="s">
        <v>340</v>
      </c>
      <c r="D21" s="34" t="s">
        <v>2026</v>
      </c>
      <c r="E21" s="34" t="s">
        <v>2027</v>
      </c>
      <c r="F21" s="33" t="s">
        <v>303</v>
      </c>
      <c r="G21" s="40"/>
      <c r="J21" s="35" t="s">
        <v>215</v>
      </c>
      <c r="K21" s="35" t="s">
        <v>215</v>
      </c>
      <c r="L21" s="36"/>
      <c r="N21" s="36">
        <v>7.78</v>
      </c>
      <c r="O21" s="36"/>
    </row>
    <row r="22" spans="1:15" s="35" customFormat="1" ht="25.05" customHeight="1" x14ac:dyDescent="0.4">
      <c r="A22" s="32" t="s">
        <v>1967</v>
      </c>
      <c r="B22" s="34" t="s">
        <v>537</v>
      </c>
      <c r="C22" s="34" t="s">
        <v>363</v>
      </c>
      <c r="D22" s="34" t="s">
        <v>2028</v>
      </c>
      <c r="E22" s="34" t="s">
        <v>2029</v>
      </c>
      <c r="F22" s="33" t="s">
        <v>323</v>
      </c>
      <c r="G22" s="40"/>
      <c r="J22" s="35" t="s">
        <v>215</v>
      </c>
      <c r="K22" s="35" t="s">
        <v>215</v>
      </c>
      <c r="L22" s="36"/>
      <c r="N22" s="36">
        <v>10.48</v>
      </c>
      <c r="O22" s="36"/>
    </row>
    <row r="23" spans="1:15" s="35" customFormat="1" ht="25.05" customHeight="1" x14ac:dyDescent="0.4">
      <c r="A23" s="32" t="s">
        <v>1967</v>
      </c>
      <c r="B23" s="34" t="s">
        <v>537</v>
      </c>
      <c r="C23" s="34" t="s">
        <v>368</v>
      </c>
      <c r="D23" s="34" t="s">
        <v>2030</v>
      </c>
      <c r="E23" s="34" t="s">
        <v>2031</v>
      </c>
      <c r="F23" s="33" t="s">
        <v>323</v>
      </c>
      <c r="G23" s="40"/>
      <c r="H23" s="35" t="s">
        <v>2008</v>
      </c>
      <c r="I23" s="35" t="s">
        <v>1976</v>
      </c>
      <c r="J23" s="35" t="s">
        <v>215</v>
      </c>
      <c r="K23" s="35" t="s">
        <v>215</v>
      </c>
      <c r="L23" s="36"/>
      <c r="N23" s="36">
        <v>5.35</v>
      </c>
      <c r="O23" s="36"/>
    </row>
    <row r="24" spans="1:15" s="35" customFormat="1" ht="25.05" customHeight="1" x14ac:dyDescent="0.4">
      <c r="A24" s="32" t="s">
        <v>1967</v>
      </c>
      <c r="B24" s="34" t="s">
        <v>537</v>
      </c>
      <c r="C24" s="34" t="s">
        <v>2032</v>
      </c>
      <c r="D24" s="34" t="s">
        <v>2033</v>
      </c>
      <c r="E24" s="34" t="s">
        <v>2034</v>
      </c>
      <c r="F24" s="33" t="s">
        <v>323</v>
      </c>
      <c r="G24" s="40"/>
      <c r="H24" s="35" t="s">
        <v>215</v>
      </c>
      <c r="I24" s="35" t="s">
        <v>215</v>
      </c>
      <c r="J24" s="35" t="s">
        <v>215</v>
      </c>
      <c r="K24" s="35" t="s">
        <v>215</v>
      </c>
      <c r="L24" s="36"/>
      <c r="N24" s="36"/>
      <c r="O24" s="36"/>
    </row>
    <row r="25" spans="1:15" s="35" customFormat="1" ht="25.05" customHeight="1" x14ac:dyDescent="0.4">
      <c r="A25" s="32" t="s">
        <v>1967</v>
      </c>
      <c r="B25" s="34" t="s">
        <v>2035</v>
      </c>
      <c r="C25" s="34" t="s">
        <v>340</v>
      </c>
      <c r="D25" s="34" t="s">
        <v>2036</v>
      </c>
      <c r="E25" s="34" t="s">
        <v>2037</v>
      </c>
      <c r="F25" s="33" t="s">
        <v>299</v>
      </c>
      <c r="G25" s="40"/>
      <c r="H25" s="35" t="s">
        <v>2008</v>
      </c>
      <c r="I25" s="35" t="s">
        <v>1976</v>
      </c>
      <c r="J25" s="35" t="s">
        <v>215</v>
      </c>
      <c r="K25" s="35" t="s">
        <v>215</v>
      </c>
      <c r="L25" s="36"/>
      <c r="N25" s="36">
        <v>7.62</v>
      </c>
      <c r="O25" s="36"/>
    </row>
    <row r="26" spans="1:15" s="35" customFormat="1" ht="25.05" customHeight="1" x14ac:dyDescent="0.4">
      <c r="A26" s="32" t="s">
        <v>1967</v>
      </c>
      <c r="B26" s="34" t="s">
        <v>2038</v>
      </c>
      <c r="C26" s="34" t="s">
        <v>346</v>
      </c>
      <c r="D26" s="34" t="s">
        <v>2039</v>
      </c>
      <c r="E26" s="34" t="s">
        <v>2040</v>
      </c>
      <c r="F26" s="33" t="s">
        <v>298</v>
      </c>
      <c r="G26" s="40"/>
      <c r="H26" s="35" t="s">
        <v>1984</v>
      </c>
      <c r="I26" s="35" t="s">
        <v>1976</v>
      </c>
      <c r="J26" s="35" t="s">
        <v>215</v>
      </c>
      <c r="K26" s="35" t="s">
        <v>215</v>
      </c>
      <c r="L26" s="36"/>
      <c r="N26" s="36">
        <v>5.7</v>
      </c>
      <c r="O26" s="36"/>
    </row>
    <row r="27" spans="1:15" s="35" customFormat="1" ht="25.05" customHeight="1" x14ac:dyDescent="0.4">
      <c r="A27" s="32" t="s">
        <v>1967</v>
      </c>
      <c r="B27" s="34" t="s">
        <v>2041</v>
      </c>
      <c r="C27" s="34" t="s">
        <v>340</v>
      </c>
      <c r="D27" s="34" t="s">
        <v>2042</v>
      </c>
      <c r="E27" s="34" t="s">
        <v>2043</v>
      </c>
      <c r="F27" s="33" t="s">
        <v>300</v>
      </c>
      <c r="G27" s="40"/>
      <c r="H27" s="35" t="s">
        <v>2008</v>
      </c>
      <c r="I27" s="35" t="s">
        <v>1976</v>
      </c>
      <c r="J27" s="35" t="s">
        <v>215</v>
      </c>
      <c r="K27" s="35" t="s">
        <v>215</v>
      </c>
      <c r="L27" s="36"/>
      <c r="N27" s="36">
        <v>16.239999999999998</v>
      </c>
      <c r="O27" s="36"/>
    </row>
    <row r="28" spans="1:15" s="35" customFormat="1" ht="25.05" customHeight="1" x14ac:dyDescent="0.4">
      <c r="A28" s="32" t="s">
        <v>1967</v>
      </c>
      <c r="B28" s="34" t="s">
        <v>2044</v>
      </c>
      <c r="C28" s="34" t="s">
        <v>340</v>
      </c>
      <c r="D28" s="34" t="s">
        <v>2045</v>
      </c>
      <c r="E28" s="34" t="s">
        <v>2046</v>
      </c>
      <c r="F28" s="33" t="s">
        <v>323</v>
      </c>
      <c r="G28" s="40"/>
      <c r="H28" s="35" t="s">
        <v>215</v>
      </c>
      <c r="I28" s="35" t="s">
        <v>215</v>
      </c>
      <c r="J28" s="35" t="s">
        <v>215</v>
      </c>
      <c r="K28" s="35" t="s">
        <v>215</v>
      </c>
      <c r="L28" s="36"/>
      <c r="N28" s="36"/>
      <c r="O28" s="36"/>
    </row>
    <row r="29" spans="1:15" s="35" customFormat="1" ht="25.05" customHeight="1" x14ac:dyDescent="0.4">
      <c r="A29" s="32" t="s">
        <v>1967</v>
      </c>
      <c r="B29" s="34" t="s">
        <v>2047</v>
      </c>
      <c r="C29" s="34" t="s">
        <v>340</v>
      </c>
      <c r="D29" s="34" t="s">
        <v>2048</v>
      </c>
      <c r="E29" s="34" t="s">
        <v>2049</v>
      </c>
      <c r="F29" s="33" t="s">
        <v>297</v>
      </c>
      <c r="G29" s="40"/>
      <c r="H29" s="35" t="s">
        <v>215</v>
      </c>
      <c r="I29" s="35" t="s">
        <v>215</v>
      </c>
      <c r="J29" s="35" t="s">
        <v>215</v>
      </c>
      <c r="K29" s="35" t="s">
        <v>215</v>
      </c>
      <c r="L29" s="36"/>
      <c r="N29" s="36"/>
      <c r="O29" s="36"/>
    </row>
    <row r="30" spans="1:15" s="35" customFormat="1" ht="25.05" customHeight="1" x14ac:dyDescent="0.4">
      <c r="A30" s="32" t="s">
        <v>1967</v>
      </c>
      <c r="B30" s="34" t="s">
        <v>2050</v>
      </c>
      <c r="C30" s="34" t="s">
        <v>340</v>
      </c>
      <c r="D30" s="34" t="s">
        <v>2051</v>
      </c>
      <c r="E30" s="34" t="s">
        <v>2052</v>
      </c>
      <c r="F30" s="33" t="s">
        <v>297</v>
      </c>
      <c r="G30" s="40"/>
      <c r="H30" s="35" t="s">
        <v>215</v>
      </c>
      <c r="I30" s="35" t="s">
        <v>215</v>
      </c>
      <c r="J30" s="35" t="s">
        <v>215</v>
      </c>
      <c r="K30" s="35" t="s">
        <v>215</v>
      </c>
      <c r="L30" s="36"/>
      <c r="N30" s="36"/>
      <c r="O30" s="36"/>
    </row>
    <row r="31" spans="1:15" s="35" customFormat="1" ht="25.05" customHeight="1" x14ac:dyDescent="0.4">
      <c r="A31" s="32" t="s">
        <v>1967</v>
      </c>
      <c r="B31" s="34" t="s">
        <v>418</v>
      </c>
      <c r="C31" s="34" t="s">
        <v>2053</v>
      </c>
      <c r="D31" s="34" t="s">
        <v>2054</v>
      </c>
      <c r="E31" s="34" t="s">
        <v>2055</v>
      </c>
      <c r="F31" s="33" t="s">
        <v>300</v>
      </c>
      <c r="G31" s="40"/>
      <c r="H31" s="35" t="s">
        <v>215</v>
      </c>
      <c r="I31" s="35" t="s">
        <v>215</v>
      </c>
      <c r="J31" s="35" t="s">
        <v>215</v>
      </c>
      <c r="K31" s="35" t="s">
        <v>215</v>
      </c>
      <c r="L31" s="36"/>
      <c r="N31" s="36"/>
      <c r="O31" s="36"/>
    </row>
    <row r="32" spans="1:15" s="35" customFormat="1" ht="25.05" customHeight="1" x14ac:dyDescent="0.4">
      <c r="A32" s="32" t="s">
        <v>1967</v>
      </c>
      <c r="B32" s="34" t="s">
        <v>1446</v>
      </c>
      <c r="C32" s="34" t="s">
        <v>340</v>
      </c>
      <c r="D32" s="34" t="s">
        <v>2056</v>
      </c>
      <c r="E32" s="34" t="s">
        <v>2057</v>
      </c>
      <c r="F32" s="33" t="s">
        <v>323</v>
      </c>
      <c r="G32" s="40"/>
      <c r="H32" s="35" t="s">
        <v>1984</v>
      </c>
      <c r="I32" s="35" t="s">
        <v>1976</v>
      </c>
      <c r="J32" s="35" t="s">
        <v>215</v>
      </c>
      <c r="K32" s="35" t="s">
        <v>215</v>
      </c>
      <c r="L32" s="36"/>
      <c r="N32" s="36">
        <v>5.32</v>
      </c>
      <c r="O32" s="36"/>
    </row>
    <row r="33" spans="1:15" s="35" customFormat="1" ht="25.05" customHeight="1" x14ac:dyDescent="0.4">
      <c r="A33" s="32" t="s">
        <v>1967</v>
      </c>
      <c r="B33" s="34" t="s">
        <v>2058</v>
      </c>
      <c r="C33" s="34" t="s">
        <v>2059</v>
      </c>
      <c r="D33" s="34" t="s">
        <v>2060</v>
      </c>
      <c r="E33" s="34" t="s">
        <v>2061</v>
      </c>
      <c r="F33" s="33" t="s">
        <v>323</v>
      </c>
      <c r="G33" s="40"/>
      <c r="J33" s="35" t="s">
        <v>215</v>
      </c>
      <c r="K33" s="35" t="s">
        <v>215</v>
      </c>
      <c r="L33" s="36"/>
      <c r="N33" s="36">
        <v>7.89</v>
      </c>
      <c r="O33" s="36"/>
    </row>
    <row r="34" spans="1:15" s="35" customFormat="1" ht="25.05" customHeight="1" x14ac:dyDescent="0.4">
      <c r="A34" s="32" t="s">
        <v>1967</v>
      </c>
      <c r="B34" s="34" t="s">
        <v>2062</v>
      </c>
      <c r="C34" s="34" t="s">
        <v>2063</v>
      </c>
      <c r="D34" s="34" t="s">
        <v>2064</v>
      </c>
      <c r="E34" s="34" t="s">
        <v>2065</v>
      </c>
      <c r="F34" s="33" t="s">
        <v>300</v>
      </c>
      <c r="G34" s="40"/>
      <c r="H34" s="35" t="s">
        <v>1975</v>
      </c>
      <c r="I34" s="35" t="s">
        <v>1976</v>
      </c>
      <c r="J34" s="35" t="s">
        <v>215</v>
      </c>
      <c r="K34" s="35" t="s">
        <v>215</v>
      </c>
      <c r="L34" s="36"/>
      <c r="N34" s="36">
        <v>7.4</v>
      </c>
      <c r="O34" s="36"/>
    </row>
    <row r="35" spans="1:15" s="35" customFormat="1" ht="25.05" customHeight="1" x14ac:dyDescent="0.4">
      <c r="A35" s="32" t="s">
        <v>1967</v>
      </c>
      <c r="B35" s="34" t="s">
        <v>2062</v>
      </c>
      <c r="C35" s="34" t="s">
        <v>2066</v>
      </c>
      <c r="D35" s="34" t="s">
        <v>2067</v>
      </c>
      <c r="E35" s="34" t="s">
        <v>2065</v>
      </c>
      <c r="F35" s="33" t="s">
        <v>300</v>
      </c>
      <c r="G35" s="40"/>
      <c r="H35" s="35" t="s">
        <v>1975</v>
      </c>
      <c r="I35" s="35" t="s">
        <v>1976</v>
      </c>
      <c r="J35" s="35" t="s">
        <v>215</v>
      </c>
      <c r="K35" s="35" t="s">
        <v>215</v>
      </c>
      <c r="L35" s="36"/>
      <c r="N35" s="36">
        <v>11.84</v>
      </c>
      <c r="O35" s="36"/>
    </row>
    <row r="36" spans="1:15" s="35" customFormat="1" ht="25.05" customHeight="1" x14ac:dyDescent="0.4">
      <c r="A36" s="32" t="s">
        <v>1967</v>
      </c>
      <c r="B36" s="34" t="s">
        <v>371</v>
      </c>
      <c r="C36" s="34" t="s">
        <v>2068</v>
      </c>
      <c r="D36" s="34" t="s">
        <v>2069</v>
      </c>
      <c r="E36" s="34" t="s">
        <v>2070</v>
      </c>
      <c r="F36" s="33" t="s">
        <v>300</v>
      </c>
      <c r="G36" s="40"/>
      <c r="H36" s="35" t="s">
        <v>2008</v>
      </c>
      <c r="I36" s="35" t="s">
        <v>1976</v>
      </c>
      <c r="J36" s="35" t="s">
        <v>215</v>
      </c>
      <c r="K36" s="35" t="s">
        <v>215</v>
      </c>
      <c r="L36" s="36"/>
      <c r="N36" s="36">
        <v>14.01</v>
      </c>
      <c r="O36" s="36"/>
    </row>
    <row r="37" spans="1:15" s="35" customFormat="1" ht="25.05" customHeight="1" x14ac:dyDescent="0.4">
      <c r="A37" s="32" t="s">
        <v>1967</v>
      </c>
      <c r="B37" s="34" t="s">
        <v>2071</v>
      </c>
      <c r="C37" s="34" t="s">
        <v>364</v>
      </c>
      <c r="D37" s="34" t="s">
        <v>2072</v>
      </c>
      <c r="E37" s="34" t="s">
        <v>2073</v>
      </c>
      <c r="F37" s="33" t="s">
        <v>300</v>
      </c>
      <c r="G37" s="40"/>
      <c r="H37" s="35" t="s">
        <v>1984</v>
      </c>
      <c r="I37" s="35" t="s">
        <v>1976</v>
      </c>
      <c r="J37" s="35" t="s">
        <v>215</v>
      </c>
      <c r="K37" s="35" t="s">
        <v>215</v>
      </c>
      <c r="L37" s="36"/>
      <c r="N37" s="36">
        <v>10.53</v>
      </c>
      <c r="O37" s="36"/>
    </row>
    <row r="38" spans="1:15" s="35" customFormat="1" ht="25.05" customHeight="1" x14ac:dyDescent="0.4">
      <c r="A38" s="32" t="s">
        <v>1967</v>
      </c>
      <c r="B38" s="34" t="s">
        <v>1629</v>
      </c>
      <c r="C38" s="34" t="s">
        <v>342</v>
      </c>
      <c r="D38" s="34" t="s">
        <v>2074</v>
      </c>
      <c r="E38" s="34" t="s">
        <v>2075</v>
      </c>
      <c r="F38" s="33" t="s">
        <v>301</v>
      </c>
      <c r="G38" s="40"/>
      <c r="H38" s="35" t="s">
        <v>215</v>
      </c>
      <c r="I38" s="35" t="s">
        <v>215</v>
      </c>
      <c r="J38" s="35" t="s">
        <v>215</v>
      </c>
      <c r="K38" s="35" t="s">
        <v>215</v>
      </c>
      <c r="L38" s="36"/>
      <c r="N38" s="36">
        <v>12.27</v>
      </c>
      <c r="O38" s="36"/>
    </row>
    <row r="39" spans="1:15" s="35" customFormat="1" ht="25.05" customHeight="1" x14ac:dyDescent="0.4">
      <c r="A39" s="32" t="s">
        <v>1967</v>
      </c>
      <c r="B39" s="34" t="s">
        <v>1629</v>
      </c>
      <c r="C39" s="34" t="s">
        <v>2076</v>
      </c>
      <c r="D39" s="34" t="s">
        <v>2077</v>
      </c>
      <c r="E39" s="34" t="s">
        <v>2078</v>
      </c>
      <c r="F39" s="33" t="s">
        <v>300</v>
      </c>
      <c r="G39" s="40"/>
      <c r="H39" s="35" t="s">
        <v>215</v>
      </c>
      <c r="I39" s="35" t="s">
        <v>215</v>
      </c>
      <c r="J39" s="35" t="s">
        <v>215</v>
      </c>
      <c r="K39" s="35" t="s">
        <v>215</v>
      </c>
      <c r="L39" s="36"/>
      <c r="N39" s="36"/>
      <c r="O39" s="36"/>
    </row>
    <row r="40" spans="1:15" s="35" customFormat="1" ht="25.05" customHeight="1" x14ac:dyDescent="0.4">
      <c r="A40" s="32" t="s">
        <v>2079</v>
      </c>
      <c r="B40" s="34" t="s">
        <v>2080</v>
      </c>
      <c r="C40" s="34" t="s">
        <v>340</v>
      </c>
      <c r="D40" s="34" t="s">
        <v>2081</v>
      </c>
      <c r="E40" s="34" t="s">
        <v>2082</v>
      </c>
      <c r="F40" s="33" t="s">
        <v>300</v>
      </c>
      <c r="G40" s="40"/>
      <c r="H40" s="35" t="s">
        <v>2008</v>
      </c>
      <c r="I40" s="35" t="s">
        <v>1976</v>
      </c>
      <c r="J40" s="35" t="s">
        <v>215</v>
      </c>
      <c r="K40" s="35" t="s">
        <v>215</v>
      </c>
      <c r="L40" s="36"/>
      <c r="N40" s="36">
        <v>12.77</v>
      </c>
      <c r="O40" s="36"/>
    </row>
    <row r="41" spans="1:15" s="35" customFormat="1" ht="25.05" customHeight="1" x14ac:dyDescent="0.4">
      <c r="A41" s="32" t="s">
        <v>2079</v>
      </c>
      <c r="B41" s="34" t="s">
        <v>2083</v>
      </c>
      <c r="C41" s="34" t="s">
        <v>340</v>
      </c>
      <c r="D41" s="34" t="s">
        <v>2084</v>
      </c>
      <c r="E41" s="34" t="s">
        <v>2085</v>
      </c>
      <c r="F41" s="33" t="s">
        <v>323</v>
      </c>
      <c r="G41" s="40"/>
      <c r="J41" s="35" t="s">
        <v>215</v>
      </c>
      <c r="K41" s="35" t="s">
        <v>215</v>
      </c>
      <c r="L41" s="36"/>
      <c r="N41" s="36">
        <v>8.26</v>
      </c>
      <c r="O41" s="36"/>
    </row>
    <row r="42" spans="1:15" s="35" customFormat="1" ht="25.05" customHeight="1" x14ac:dyDescent="0.4">
      <c r="A42" s="32" t="s">
        <v>2079</v>
      </c>
      <c r="B42" s="34" t="s">
        <v>2086</v>
      </c>
      <c r="C42" s="34" t="s">
        <v>340</v>
      </c>
      <c r="D42" s="34" t="s">
        <v>2087</v>
      </c>
      <c r="E42" s="34" t="s">
        <v>2088</v>
      </c>
      <c r="F42" s="33" t="s">
        <v>323</v>
      </c>
      <c r="G42" s="40"/>
      <c r="H42" s="35" t="s">
        <v>2008</v>
      </c>
      <c r="I42" s="35" t="s">
        <v>1976</v>
      </c>
      <c r="J42" s="35" t="s">
        <v>215</v>
      </c>
      <c r="K42" s="35" t="s">
        <v>215</v>
      </c>
      <c r="L42" s="36"/>
      <c r="N42" s="36">
        <v>6.24</v>
      </c>
      <c r="O42" s="36"/>
    </row>
    <row r="43" spans="1:15" s="35" customFormat="1" ht="25.05" customHeight="1" x14ac:dyDescent="0.4">
      <c r="A43" s="32" t="s">
        <v>2079</v>
      </c>
      <c r="B43" s="34" t="s">
        <v>2089</v>
      </c>
      <c r="C43" s="34" t="s">
        <v>340</v>
      </c>
      <c r="D43" s="34" t="s">
        <v>2090</v>
      </c>
      <c r="E43" s="34" t="s">
        <v>2091</v>
      </c>
      <c r="F43" s="33" t="s">
        <v>300</v>
      </c>
      <c r="G43" s="40"/>
      <c r="H43" s="35" t="s">
        <v>1975</v>
      </c>
      <c r="I43" s="35" t="s">
        <v>1976</v>
      </c>
      <c r="J43" s="35" t="s">
        <v>215</v>
      </c>
      <c r="K43" s="35" t="s">
        <v>215</v>
      </c>
      <c r="L43" s="36"/>
      <c r="N43" s="36">
        <v>11.64</v>
      </c>
      <c r="O43" s="36"/>
    </row>
    <row r="44" spans="1:15" s="35" customFormat="1" ht="25.05" customHeight="1" x14ac:dyDescent="0.4">
      <c r="A44" s="32" t="s">
        <v>2079</v>
      </c>
      <c r="B44" s="34" t="s">
        <v>2092</v>
      </c>
      <c r="C44" s="34" t="s">
        <v>340</v>
      </c>
      <c r="D44" s="34" t="s">
        <v>2093</v>
      </c>
      <c r="E44" s="34" t="s">
        <v>2094</v>
      </c>
      <c r="F44" s="33" t="s">
        <v>323</v>
      </c>
      <c r="G44" s="40"/>
      <c r="J44" s="35" t="s">
        <v>215</v>
      </c>
      <c r="K44" s="35" t="s">
        <v>215</v>
      </c>
      <c r="L44" s="36"/>
      <c r="N44" s="36">
        <v>9.41</v>
      </c>
      <c r="O44" s="36"/>
    </row>
    <row r="45" spans="1:15" s="35" customFormat="1" ht="25.05" customHeight="1" x14ac:dyDescent="0.4">
      <c r="A45" s="32" t="s">
        <v>2079</v>
      </c>
      <c r="B45" s="34" t="s">
        <v>2095</v>
      </c>
      <c r="C45" s="34" t="s">
        <v>340</v>
      </c>
      <c r="D45" s="34" t="s">
        <v>2096</v>
      </c>
      <c r="E45" s="34" t="s">
        <v>2097</v>
      </c>
      <c r="F45" s="33" t="s">
        <v>303</v>
      </c>
      <c r="G45" s="40"/>
      <c r="H45" s="35" t="s">
        <v>2008</v>
      </c>
      <c r="I45" s="35" t="s">
        <v>1976</v>
      </c>
      <c r="J45" s="35" t="s">
        <v>215</v>
      </c>
      <c r="K45" s="35" t="s">
        <v>215</v>
      </c>
      <c r="L45" s="36"/>
      <c r="N45" s="36">
        <v>14.59</v>
      </c>
      <c r="O45" s="36"/>
    </row>
    <row r="46" spans="1:15" s="35" customFormat="1" ht="25.05" customHeight="1" x14ac:dyDescent="0.4">
      <c r="A46" s="32" t="s">
        <v>2079</v>
      </c>
      <c r="B46" s="34" t="s">
        <v>2098</v>
      </c>
      <c r="C46" s="34" t="s">
        <v>340</v>
      </c>
      <c r="D46" s="34" t="s">
        <v>2099</v>
      </c>
      <c r="E46" s="34" t="s">
        <v>2100</v>
      </c>
      <c r="F46" s="33" t="s">
        <v>300</v>
      </c>
      <c r="G46" s="40"/>
      <c r="J46" s="35" t="s">
        <v>215</v>
      </c>
      <c r="K46" s="35" t="s">
        <v>215</v>
      </c>
      <c r="L46" s="36"/>
      <c r="N46" s="36">
        <v>6.1</v>
      </c>
      <c r="O46" s="36"/>
    </row>
    <row r="47" spans="1:15" s="35" customFormat="1" ht="25.05" customHeight="1" x14ac:dyDescent="0.4">
      <c r="A47" s="32" t="s">
        <v>2079</v>
      </c>
      <c r="B47" s="34" t="s">
        <v>2101</v>
      </c>
      <c r="C47" s="34" t="s">
        <v>340</v>
      </c>
      <c r="D47" s="34" t="s">
        <v>2102</v>
      </c>
      <c r="E47" s="34" t="s">
        <v>2103</v>
      </c>
      <c r="F47" s="33" t="s">
        <v>298</v>
      </c>
      <c r="G47" s="40"/>
      <c r="H47" s="35" t="s">
        <v>1980</v>
      </c>
      <c r="I47" s="35" t="s">
        <v>2104</v>
      </c>
      <c r="J47" s="35" t="s">
        <v>215</v>
      </c>
      <c r="K47" s="35" t="s">
        <v>215</v>
      </c>
      <c r="L47" s="36"/>
      <c r="N47" s="36">
        <v>4.97</v>
      </c>
      <c r="O47" s="36"/>
    </row>
    <row r="48" spans="1:15" s="35" customFormat="1" ht="25.05" customHeight="1" x14ac:dyDescent="0.4">
      <c r="A48" s="32" t="s">
        <v>2079</v>
      </c>
      <c r="B48" s="34" t="s">
        <v>2105</v>
      </c>
      <c r="C48" s="34" t="s">
        <v>340</v>
      </c>
      <c r="D48" s="34" t="s">
        <v>2106</v>
      </c>
      <c r="E48" s="34" t="s">
        <v>2103</v>
      </c>
      <c r="F48" s="33" t="s">
        <v>298</v>
      </c>
      <c r="G48" s="40"/>
      <c r="H48" s="35" t="s">
        <v>1980</v>
      </c>
      <c r="I48" s="35" t="s">
        <v>2104</v>
      </c>
      <c r="J48" s="35" t="s">
        <v>215</v>
      </c>
      <c r="K48" s="35" t="s">
        <v>215</v>
      </c>
      <c r="L48" s="36"/>
      <c r="N48" s="36">
        <v>5.18</v>
      </c>
      <c r="O48" s="36"/>
    </row>
    <row r="49" spans="1:15" s="35" customFormat="1" ht="25.05" customHeight="1" x14ac:dyDescent="0.4">
      <c r="A49" s="32" t="s">
        <v>2079</v>
      </c>
      <c r="B49" s="34" t="s">
        <v>2107</v>
      </c>
      <c r="C49" s="34" t="s">
        <v>340</v>
      </c>
      <c r="D49" s="34" t="s">
        <v>2108</v>
      </c>
      <c r="E49" s="34" t="s">
        <v>2109</v>
      </c>
      <c r="F49" s="33" t="s">
        <v>297</v>
      </c>
      <c r="G49" s="40"/>
      <c r="H49" s="35" t="s">
        <v>1984</v>
      </c>
      <c r="I49" s="35" t="s">
        <v>1976</v>
      </c>
      <c r="J49" s="35" t="s">
        <v>215</v>
      </c>
      <c r="K49" s="35" t="s">
        <v>215</v>
      </c>
      <c r="L49" s="36"/>
      <c r="N49" s="36">
        <v>10.050000000000001</v>
      </c>
      <c r="O49" s="36"/>
    </row>
    <row r="50" spans="1:15" s="35" customFormat="1" ht="25.05" customHeight="1" x14ac:dyDescent="0.4">
      <c r="A50" s="32" t="s">
        <v>2079</v>
      </c>
      <c r="B50" s="34" t="s">
        <v>2110</v>
      </c>
      <c r="C50" s="34" t="s">
        <v>340</v>
      </c>
      <c r="D50" s="34" t="s">
        <v>2111</v>
      </c>
      <c r="E50" s="34" t="s">
        <v>2112</v>
      </c>
      <c r="F50" s="33" t="s">
        <v>323</v>
      </c>
      <c r="G50" s="40"/>
      <c r="H50" s="35" t="s">
        <v>1984</v>
      </c>
      <c r="I50" s="35" t="s">
        <v>1976</v>
      </c>
      <c r="J50" s="35" t="s">
        <v>215</v>
      </c>
      <c r="K50" s="35" t="s">
        <v>215</v>
      </c>
      <c r="L50" s="36"/>
      <c r="N50" s="36">
        <v>11.11</v>
      </c>
      <c r="O50" s="36"/>
    </row>
    <row r="51" spans="1:15" s="35" customFormat="1" ht="25.05" customHeight="1" x14ac:dyDescent="0.4">
      <c r="A51" s="32" t="s">
        <v>2079</v>
      </c>
      <c r="B51" s="34" t="s">
        <v>2113</v>
      </c>
      <c r="C51" s="34" t="s">
        <v>340</v>
      </c>
      <c r="D51" s="34" t="s">
        <v>2114</v>
      </c>
      <c r="E51" s="34" t="s">
        <v>2115</v>
      </c>
      <c r="F51" s="33" t="s">
        <v>323</v>
      </c>
      <c r="G51" s="40"/>
      <c r="J51" s="35" t="s">
        <v>215</v>
      </c>
      <c r="K51" s="35" t="s">
        <v>215</v>
      </c>
      <c r="L51" s="36"/>
      <c r="N51" s="36">
        <v>11.62</v>
      </c>
      <c r="O51" s="36"/>
    </row>
    <row r="52" spans="1:15" s="35" customFormat="1" ht="25.05" customHeight="1" x14ac:dyDescent="0.4">
      <c r="A52" s="32" t="s">
        <v>2079</v>
      </c>
      <c r="B52" s="34" t="s">
        <v>2116</v>
      </c>
      <c r="C52" s="34" t="s">
        <v>340</v>
      </c>
      <c r="D52" s="34" t="s">
        <v>2117</v>
      </c>
      <c r="E52" s="34" t="s">
        <v>2118</v>
      </c>
      <c r="F52" s="33" t="s">
        <v>300</v>
      </c>
      <c r="G52" s="40"/>
      <c r="H52" s="35" t="s">
        <v>2008</v>
      </c>
      <c r="I52" s="35" t="s">
        <v>1976</v>
      </c>
      <c r="J52" s="35" t="s">
        <v>215</v>
      </c>
      <c r="K52" s="35" t="s">
        <v>215</v>
      </c>
      <c r="L52" s="36"/>
      <c r="N52" s="36">
        <v>11.55</v>
      </c>
      <c r="O52" s="36"/>
    </row>
    <row r="53" spans="1:15" s="35" customFormat="1" ht="25.05" customHeight="1" x14ac:dyDescent="0.4">
      <c r="A53" s="32" t="s">
        <v>2079</v>
      </c>
      <c r="B53" s="34" t="s">
        <v>2119</v>
      </c>
      <c r="C53" s="34" t="s">
        <v>340</v>
      </c>
      <c r="D53" s="34" t="s">
        <v>2120</v>
      </c>
      <c r="E53" s="34" t="s">
        <v>2121</v>
      </c>
      <c r="F53" s="33" t="s">
        <v>323</v>
      </c>
      <c r="G53" s="40"/>
      <c r="H53" s="35" t="s">
        <v>1980</v>
      </c>
      <c r="I53" s="35" t="s">
        <v>1976</v>
      </c>
      <c r="J53" s="35" t="s">
        <v>215</v>
      </c>
      <c r="K53" s="35" t="s">
        <v>215</v>
      </c>
      <c r="L53" s="36"/>
      <c r="N53" s="36">
        <v>8.92</v>
      </c>
      <c r="O53" s="36"/>
    </row>
    <row r="54" spans="1:15" s="35" customFormat="1" ht="25.05" customHeight="1" x14ac:dyDescent="0.4">
      <c r="A54" s="32" t="s">
        <v>2079</v>
      </c>
      <c r="B54" s="34" t="s">
        <v>2122</v>
      </c>
      <c r="C54" s="34" t="s">
        <v>340</v>
      </c>
      <c r="D54" s="34" t="s">
        <v>2123</v>
      </c>
      <c r="E54" s="34" t="s">
        <v>2124</v>
      </c>
      <c r="F54" s="33" t="s">
        <v>300</v>
      </c>
      <c r="G54" s="40"/>
      <c r="H54" s="35" t="s">
        <v>1975</v>
      </c>
      <c r="I54" s="35" t="s">
        <v>1976</v>
      </c>
      <c r="J54" s="35" t="s">
        <v>215</v>
      </c>
      <c r="K54" s="35" t="s">
        <v>215</v>
      </c>
      <c r="L54" s="36"/>
      <c r="N54" s="36">
        <v>9.77</v>
      </c>
      <c r="O54" s="36"/>
    </row>
    <row r="55" spans="1:15" s="35" customFormat="1" ht="25.05" customHeight="1" x14ac:dyDescent="0.4">
      <c r="A55" s="32" t="s">
        <v>2079</v>
      </c>
      <c r="B55" s="34" t="s">
        <v>2125</v>
      </c>
      <c r="C55" s="34" t="s">
        <v>340</v>
      </c>
      <c r="D55" s="34" t="s">
        <v>2126</v>
      </c>
      <c r="E55" s="34" t="s">
        <v>2127</v>
      </c>
      <c r="F55" s="33" t="s">
        <v>300</v>
      </c>
      <c r="G55" s="40"/>
      <c r="H55" s="35" t="s">
        <v>1975</v>
      </c>
      <c r="I55" s="35" t="s">
        <v>1981</v>
      </c>
      <c r="J55" s="35" t="s">
        <v>215</v>
      </c>
      <c r="K55" s="35" t="s">
        <v>215</v>
      </c>
      <c r="L55" s="36"/>
      <c r="N55" s="36">
        <v>16.21</v>
      </c>
      <c r="O55" s="36"/>
    </row>
    <row r="56" spans="1:15" s="35" customFormat="1" ht="25.05" customHeight="1" x14ac:dyDescent="0.4">
      <c r="A56" s="32" t="s">
        <v>2079</v>
      </c>
      <c r="B56" s="34" t="s">
        <v>2128</v>
      </c>
      <c r="C56" s="34" t="s">
        <v>340</v>
      </c>
      <c r="D56" s="34" t="s">
        <v>2129</v>
      </c>
      <c r="E56" s="34" t="s">
        <v>2130</v>
      </c>
      <c r="F56" s="33" t="s">
        <v>302</v>
      </c>
      <c r="G56" s="40"/>
      <c r="H56" s="35" t="s">
        <v>1975</v>
      </c>
      <c r="I56" s="35" t="s">
        <v>1976</v>
      </c>
      <c r="J56" s="35" t="s">
        <v>215</v>
      </c>
      <c r="K56" s="35" t="s">
        <v>215</v>
      </c>
      <c r="L56" s="36"/>
      <c r="N56" s="36">
        <v>8.23</v>
      </c>
      <c r="O56" s="36"/>
    </row>
    <row r="57" spans="1:15" s="35" customFormat="1" ht="25.05" customHeight="1" x14ac:dyDescent="0.4">
      <c r="A57" s="32" t="s">
        <v>2079</v>
      </c>
      <c r="B57" s="34" t="s">
        <v>537</v>
      </c>
      <c r="C57" s="34" t="s">
        <v>347</v>
      </c>
      <c r="D57" s="34" t="s">
        <v>2131</v>
      </c>
      <c r="E57" s="34" t="s">
        <v>2132</v>
      </c>
      <c r="F57" s="33" t="s">
        <v>303</v>
      </c>
      <c r="G57" s="40"/>
      <c r="H57" s="35" t="s">
        <v>2008</v>
      </c>
      <c r="I57" s="35" t="s">
        <v>1976</v>
      </c>
      <c r="J57" s="35" t="s">
        <v>215</v>
      </c>
      <c r="K57" s="35" t="s">
        <v>215</v>
      </c>
      <c r="L57" s="36"/>
      <c r="N57" s="36">
        <v>8.2200000000000006</v>
      </c>
      <c r="O57" s="36"/>
    </row>
    <row r="58" spans="1:15" s="35" customFormat="1" ht="25.05" customHeight="1" x14ac:dyDescent="0.4">
      <c r="A58" s="32" t="s">
        <v>2079</v>
      </c>
      <c r="B58" s="34" t="s">
        <v>537</v>
      </c>
      <c r="C58" s="34" t="s">
        <v>2076</v>
      </c>
      <c r="D58" s="34" t="s">
        <v>2133</v>
      </c>
      <c r="E58" s="34" t="s">
        <v>2134</v>
      </c>
      <c r="F58" s="33" t="s">
        <v>303</v>
      </c>
      <c r="G58" s="40"/>
      <c r="H58" s="35" t="s">
        <v>215</v>
      </c>
      <c r="I58" s="35" t="s">
        <v>215</v>
      </c>
      <c r="J58" s="35" t="s">
        <v>215</v>
      </c>
      <c r="K58" s="35" t="s">
        <v>215</v>
      </c>
      <c r="L58" s="36"/>
      <c r="N58" s="36"/>
      <c r="O58" s="36"/>
    </row>
    <row r="59" spans="1:15" s="35" customFormat="1" ht="25.05" customHeight="1" x14ac:dyDescent="0.4">
      <c r="A59" s="32" t="s">
        <v>2079</v>
      </c>
      <c r="B59" s="34" t="s">
        <v>537</v>
      </c>
      <c r="C59" s="34" t="s">
        <v>2135</v>
      </c>
      <c r="D59" s="34" t="s">
        <v>2136</v>
      </c>
      <c r="E59" s="34" t="s">
        <v>2137</v>
      </c>
      <c r="F59" s="33" t="s">
        <v>323</v>
      </c>
      <c r="G59" s="40"/>
      <c r="H59" s="35" t="s">
        <v>215</v>
      </c>
      <c r="I59" s="35" t="s">
        <v>215</v>
      </c>
      <c r="J59" s="35" t="s">
        <v>215</v>
      </c>
      <c r="K59" s="35" t="s">
        <v>215</v>
      </c>
      <c r="L59" s="36"/>
      <c r="N59" s="36"/>
      <c r="O59" s="36"/>
    </row>
    <row r="60" spans="1:15" s="35" customFormat="1" ht="25.05" customHeight="1" x14ac:dyDescent="0.4">
      <c r="A60" s="32" t="s">
        <v>2079</v>
      </c>
      <c r="B60" s="34" t="s">
        <v>2138</v>
      </c>
      <c r="C60" s="34" t="s">
        <v>340</v>
      </c>
      <c r="D60" s="34" t="s">
        <v>2139</v>
      </c>
      <c r="E60" s="34" t="s">
        <v>2140</v>
      </c>
      <c r="F60" s="33" t="s">
        <v>300</v>
      </c>
      <c r="G60" s="40"/>
      <c r="H60" s="35" t="s">
        <v>2141</v>
      </c>
      <c r="I60" s="35" t="s">
        <v>1976</v>
      </c>
      <c r="J60" s="35" t="s">
        <v>215</v>
      </c>
      <c r="K60" s="35" t="s">
        <v>215</v>
      </c>
      <c r="L60" s="36"/>
      <c r="N60" s="36">
        <v>7.91</v>
      </c>
      <c r="O60" s="36"/>
    </row>
    <row r="61" spans="1:15" s="35" customFormat="1" ht="25.05" customHeight="1" x14ac:dyDescent="0.4">
      <c r="A61" s="32" t="s">
        <v>2079</v>
      </c>
      <c r="B61" s="34" t="s">
        <v>2142</v>
      </c>
      <c r="C61" s="34" t="s">
        <v>340</v>
      </c>
      <c r="D61" s="34" t="s">
        <v>2143</v>
      </c>
      <c r="E61" s="34" t="s">
        <v>2144</v>
      </c>
      <c r="F61" s="33" t="s">
        <v>300</v>
      </c>
      <c r="G61" s="40"/>
      <c r="H61" s="35" t="s">
        <v>1980</v>
      </c>
      <c r="I61" s="35" t="s">
        <v>1976</v>
      </c>
      <c r="J61" s="35" t="s">
        <v>215</v>
      </c>
      <c r="K61" s="35" t="s">
        <v>215</v>
      </c>
      <c r="L61" s="36"/>
      <c r="N61" s="36">
        <v>6.27</v>
      </c>
      <c r="O61" s="36"/>
    </row>
    <row r="62" spans="1:15" s="35" customFormat="1" ht="25.05" customHeight="1" x14ac:dyDescent="0.4">
      <c r="A62" s="32" t="s">
        <v>2079</v>
      </c>
      <c r="B62" s="34" t="s">
        <v>2038</v>
      </c>
      <c r="C62" s="34" t="s">
        <v>368</v>
      </c>
      <c r="D62" s="34" t="s">
        <v>2145</v>
      </c>
      <c r="E62" s="34" t="s">
        <v>2146</v>
      </c>
      <c r="F62" s="33" t="s">
        <v>298</v>
      </c>
      <c r="G62" s="40"/>
      <c r="H62" s="35" t="s">
        <v>1984</v>
      </c>
      <c r="I62" s="35" t="s">
        <v>1976</v>
      </c>
      <c r="J62" s="35" t="s">
        <v>215</v>
      </c>
      <c r="K62" s="35" t="s">
        <v>215</v>
      </c>
      <c r="L62" s="36"/>
      <c r="N62" s="36">
        <v>4.95</v>
      </c>
      <c r="O62" s="36"/>
    </row>
    <row r="63" spans="1:15" s="35" customFormat="1" ht="25.05" customHeight="1" x14ac:dyDescent="0.4">
      <c r="A63" s="32" t="s">
        <v>2079</v>
      </c>
      <c r="B63" s="34" t="s">
        <v>2147</v>
      </c>
      <c r="C63" s="34" t="s">
        <v>340</v>
      </c>
      <c r="D63" s="34" t="s">
        <v>2148</v>
      </c>
      <c r="E63" s="34" t="s">
        <v>2149</v>
      </c>
      <c r="F63" s="33" t="s">
        <v>300</v>
      </c>
      <c r="G63" s="40"/>
      <c r="H63" s="35" t="s">
        <v>1984</v>
      </c>
      <c r="I63" s="35" t="s">
        <v>1976</v>
      </c>
      <c r="J63" s="35" t="s">
        <v>215</v>
      </c>
      <c r="K63" s="35" t="s">
        <v>215</v>
      </c>
      <c r="L63" s="36"/>
      <c r="N63" s="36">
        <v>11.99</v>
      </c>
      <c r="O63" s="36"/>
    </row>
    <row r="64" spans="1:15" s="35" customFormat="1" ht="25.05" customHeight="1" x14ac:dyDescent="0.4">
      <c r="A64" s="32" t="s">
        <v>2079</v>
      </c>
      <c r="B64" s="34" t="s">
        <v>2150</v>
      </c>
      <c r="C64" s="34" t="s">
        <v>340</v>
      </c>
      <c r="D64" s="34" t="s">
        <v>2151</v>
      </c>
      <c r="E64" s="34" t="s">
        <v>2152</v>
      </c>
      <c r="F64" s="33" t="s">
        <v>323</v>
      </c>
      <c r="G64" s="40"/>
      <c r="H64" s="35" t="s">
        <v>215</v>
      </c>
      <c r="I64" s="35" t="s">
        <v>215</v>
      </c>
      <c r="J64" s="35" t="s">
        <v>215</v>
      </c>
      <c r="K64" s="35" t="s">
        <v>215</v>
      </c>
      <c r="L64" s="36"/>
      <c r="N64" s="36"/>
      <c r="O64" s="36"/>
    </row>
    <row r="65" spans="1:15" s="35" customFormat="1" ht="25.05" customHeight="1" x14ac:dyDescent="0.4">
      <c r="A65" s="32" t="s">
        <v>2079</v>
      </c>
      <c r="B65" s="34" t="s">
        <v>1446</v>
      </c>
      <c r="C65" s="34" t="s">
        <v>360</v>
      </c>
      <c r="D65" s="34" t="s">
        <v>2153</v>
      </c>
      <c r="E65" s="34" t="s">
        <v>2154</v>
      </c>
      <c r="F65" s="33" t="s">
        <v>303</v>
      </c>
      <c r="G65" s="40"/>
      <c r="H65" s="35" t="s">
        <v>1984</v>
      </c>
      <c r="I65" s="35" t="s">
        <v>1976</v>
      </c>
      <c r="J65" s="35" t="s">
        <v>215</v>
      </c>
      <c r="K65" s="35" t="s">
        <v>215</v>
      </c>
      <c r="L65" s="36"/>
      <c r="N65" s="36">
        <v>6.81</v>
      </c>
      <c r="O65" s="36"/>
    </row>
    <row r="66" spans="1:15" s="35" customFormat="1" ht="25.05" customHeight="1" x14ac:dyDescent="0.4">
      <c r="A66" s="32" t="s">
        <v>2079</v>
      </c>
      <c r="B66" s="34" t="s">
        <v>1446</v>
      </c>
      <c r="C66" s="34" t="s">
        <v>347</v>
      </c>
      <c r="D66" s="34" t="s">
        <v>2155</v>
      </c>
      <c r="E66" s="34" t="s">
        <v>2156</v>
      </c>
      <c r="F66" s="33" t="s">
        <v>303</v>
      </c>
      <c r="G66" s="40"/>
      <c r="H66" s="35" t="s">
        <v>1984</v>
      </c>
      <c r="I66" s="35" t="s">
        <v>1976</v>
      </c>
      <c r="J66" s="35" t="s">
        <v>215</v>
      </c>
      <c r="K66" s="35" t="s">
        <v>215</v>
      </c>
      <c r="L66" s="36"/>
      <c r="N66" s="36">
        <v>20.399999999999999</v>
      </c>
      <c r="O66" s="36"/>
    </row>
    <row r="67" spans="1:15" s="35" customFormat="1" ht="25.05" customHeight="1" x14ac:dyDescent="0.4">
      <c r="A67" s="32" t="s">
        <v>2079</v>
      </c>
      <c r="B67" s="34" t="s">
        <v>2157</v>
      </c>
      <c r="C67" s="34" t="s">
        <v>2158</v>
      </c>
      <c r="D67" s="34" t="s">
        <v>2159</v>
      </c>
      <c r="E67" s="34" t="s">
        <v>2160</v>
      </c>
      <c r="F67" s="33" t="s">
        <v>298</v>
      </c>
      <c r="G67" s="40"/>
      <c r="H67" s="35" t="s">
        <v>215</v>
      </c>
      <c r="I67" s="35" t="s">
        <v>215</v>
      </c>
      <c r="J67" s="35" t="s">
        <v>215</v>
      </c>
      <c r="K67" s="35" t="s">
        <v>215</v>
      </c>
      <c r="L67" s="36"/>
      <c r="N67" s="36"/>
      <c r="O67" s="36"/>
    </row>
    <row r="68" spans="1:15" s="35" customFormat="1" ht="25.05" customHeight="1" x14ac:dyDescent="0.4">
      <c r="A68" s="32" t="s">
        <v>2079</v>
      </c>
      <c r="B68" s="34" t="s">
        <v>371</v>
      </c>
      <c r="C68" s="34" t="s">
        <v>2161</v>
      </c>
      <c r="D68" s="34" t="s">
        <v>2162</v>
      </c>
      <c r="E68" s="34" t="s">
        <v>2163</v>
      </c>
      <c r="F68" s="33" t="s">
        <v>300</v>
      </c>
      <c r="G68" s="40"/>
      <c r="H68" s="35" t="s">
        <v>2164</v>
      </c>
      <c r="I68" s="35" t="s">
        <v>1976</v>
      </c>
      <c r="J68" s="35" t="s">
        <v>215</v>
      </c>
      <c r="K68" s="35" t="s">
        <v>215</v>
      </c>
      <c r="L68" s="36"/>
      <c r="N68" s="36">
        <v>11.69</v>
      </c>
      <c r="O68" s="36"/>
    </row>
    <row r="69" spans="1:15" s="35" customFormat="1" ht="25.05" customHeight="1" x14ac:dyDescent="0.4">
      <c r="A69" s="32" t="s">
        <v>2079</v>
      </c>
      <c r="B69" s="34" t="s">
        <v>1629</v>
      </c>
      <c r="C69" s="34" t="s">
        <v>368</v>
      </c>
      <c r="D69" s="34" t="s">
        <v>2165</v>
      </c>
      <c r="E69" s="34" t="s">
        <v>2166</v>
      </c>
      <c r="F69" s="33" t="s">
        <v>299</v>
      </c>
      <c r="G69" s="40"/>
      <c r="H69" s="35" t="s">
        <v>1975</v>
      </c>
      <c r="I69" s="35" t="s">
        <v>1976</v>
      </c>
      <c r="J69" s="35" t="s">
        <v>215</v>
      </c>
      <c r="K69" s="35" t="s">
        <v>215</v>
      </c>
      <c r="L69" s="36"/>
      <c r="N69" s="36">
        <v>52.28</v>
      </c>
      <c r="O69" s="36"/>
    </row>
    <row r="70" spans="1:15" s="35" customFormat="1" ht="25.05" customHeight="1" x14ac:dyDescent="0.4">
      <c r="A70" s="32" t="s">
        <v>2167</v>
      </c>
      <c r="B70" s="34" t="s">
        <v>2168</v>
      </c>
      <c r="C70" s="34" t="s">
        <v>340</v>
      </c>
      <c r="D70" s="34" t="s">
        <v>2169</v>
      </c>
      <c r="E70" s="34" t="s">
        <v>2170</v>
      </c>
      <c r="F70" s="33" t="s">
        <v>300</v>
      </c>
      <c r="G70" s="40"/>
      <c r="H70" s="35" t="s">
        <v>2008</v>
      </c>
      <c r="I70" s="35" t="s">
        <v>1976</v>
      </c>
      <c r="J70" s="35" t="s">
        <v>215</v>
      </c>
      <c r="K70" s="35" t="s">
        <v>215</v>
      </c>
      <c r="L70" s="36"/>
      <c r="N70" s="36">
        <v>11.31</v>
      </c>
      <c r="O70" s="36"/>
    </row>
    <row r="71" spans="1:15" s="35" customFormat="1" ht="25.05" customHeight="1" x14ac:dyDescent="0.4">
      <c r="A71" s="32" t="s">
        <v>2167</v>
      </c>
      <c r="B71" s="34" t="s">
        <v>2171</v>
      </c>
      <c r="C71" s="34" t="s">
        <v>340</v>
      </c>
      <c r="D71" s="34" t="s">
        <v>2172</v>
      </c>
      <c r="E71" s="34" t="s">
        <v>2173</v>
      </c>
      <c r="F71" s="33" t="s">
        <v>297</v>
      </c>
      <c r="G71" s="40"/>
      <c r="H71" s="35" t="s">
        <v>215</v>
      </c>
      <c r="I71" s="35" t="s">
        <v>215</v>
      </c>
      <c r="J71" s="35" t="s">
        <v>215</v>
      </c>
      <c r="K71" s="35" t="s">
        <v>215</v>
      </c>
      <c r="L71" s="36"/>
      <c r="N71" s="36"/>
      <c r="O71" s="36"/>
    </row>
    <row r="72" spans="1:15" s="35" customFormat="1" ht="25.05" customHeight="1" x14ac:dyDescent="0.4">
      <c r="A72" s="32" t="s">
        <v>2167</v>
      </c>
      <c r="B72" s="34" t="s">
        <v>2174</v>
      </c>
      <c r="C72" s="34" t="s">
        <v>340</v>
      </c>
      <c r="D72" s="34" t="s">
        <v>2175</v>
      </c>
      <c r="E72" s="34" t="s">
        <v>2176</v>
      </c>
      <c r="F72" s="33" t="s">
        <v>303</v>
      </c>
      <c r="G72" s="40"/>
      <c r="H72" s="35" t="s">
        <v>1980</v>
      </c>
      <c r="I72" s="35" t="s">
        <v>1976</v>
      </c>
      <c r="J72" s="35" t="s">
        <v>215</v>
      </c>
      <c r="K72" s="35" t="s">
        <v>215</v>
      </c>
      <c r="L72" s="36"/>
      <c r="N72" s="36">
        <v>14.48</v>
      </c>
      <c r="O72" s="36"/>
    </row>
    <row r="73" spans="1:15" s="35" customFormat="1" ht="25.05" customHeight="1" x14ac:dyDescent="0.4">
      <c r="A73" s="32" t="s">
        <v>2167</v>
      </c>
      <c r="B73" s="34" t="s">
        <v>2177</v>
      </c>
      <c r="C73" s="34" t="s">
        <v>340</v>
      </c>
      <c r="D73" s="34" t="s">
        <v>2178</v>
      </c>
      <c r="E73" s="34" t="s">
        <v>2179</v>
      </c>
      <c r="F73" s="33" t="s">
        <v>300</v>
      </c>
      <c r="G73" s="40"/>
      <c r="J73" s="35" t="s">
        <v>215</v>
      </c>
      <c r="K73" s="35" t="s">
        <v>215</v>
      </c>
      <c r="L73" s="36"/>
      <c r="N73" s="36">
        <v>5.27</v>
      </c>
      <c r="O73" s="36"/>
    </row>
    <row r="74" spans="1:15" s="35" customFormat="1" ht="25.05" customHeight="1" x14ac:dyDescent="0.4">
      <c r="A74" s="32" t="s">
        <v>2167</v>
      </c>
      <c r="B74" s="34" t="s">
        <v>2180</v>
      </c>
      <c r="C74" s="34" t="s">
        <v>340</v>
      </c>
      <c r="D74" s="34" t="s">
        <v>2181</v>
      </c>
      <c r="E74" s="34" t="s">
        <v>2182</v>
      </c>
      <c r="F74" s="33" t="s">
        <v>323</v>
      </c>
      <c r="G74" s="40"/>
      <c r="H74" s="35" t="s">
        <v>1975</v>
      </c>
      <c r="I74" s="35" t="s">
        <v>1976</v>
      </c>
      <c r="J74" s="35" t="s">
        <v>215</v>
      </c>
      <c r="K74" s="35" t="s">
        <v>215</v>
      </c>
      <c r="L74" s="36"/>
      <c r="N74" s="36">
        <v>14.68</v>
      </c>
      <c r="O74" s="36"/>
    </row>
    <row r="75" spans="1:15" s="35" customFormat="1" ht="25.05" customHeight="1" x14ac:dyDescent="0.4">
      <c r="A75" s="32" t="s">
        <v>2167</v>
      </c>
      <c r="B75" s="34" t="s">
        <v>2183</v>
      </c>
      <c r="C75" s="34" t="s">
        <v>340</v>
      </c>
      <c r="D75" s="34" t="s">
        <v>2184</v>
      </c>
      <c r="E75" s="34" t="s">
        <v>2185</v>
      </c>
      <c r="F75" s="33" t="s">
        <v>300</v>
      </c>
      <c r="G75" s="40"/>
      <c r="H75" s="35" t="s">
        <v>1975</v>
      </c>
      <c r="I75" s="35" t="s">
        <v>1976</v>
      </c>
      <c r="J75" s="35" t="s">
        <v>215</v>
      </c>
      <c r="K75" s="35" t="s">
        <v>215</v>
      </c>
      <c r="L75" s="36"/>
      <c r="N75" s="36">
        <v>8.2799999999999994</v>
      </c>
      <c r="O75" s="36"/>
    </row>
    <row r="76" spans="1:15" s="35" customFormat="1" ht="25.05" customHeight="1" x14ac:dyDescent="0.4">
      <c r="A76" s="32" t="s">
        <v>2167</v>
      </c>
      <c r="B76" s="34" t="s">
        <v>2186</v>
      </c>
      <c r="C76" s="34" t="s">
        <v>340</v>
      </c>
      <c r="D76" s="34" t="s">
        <v>2187</v>
      </c>
      <c r="E76" s="34" t="s">
        <v>2188</v>
      </c>
      <c r="F76" s="33" t="s">
        <v>300</v>
      </c>
      <c r="G76" s="40"/>
      <c r="H76" s="35" t="s">
        <v>2189</v>
      </c>
      <c r="I76" s="35" t="s">
        <v>1976</v>
      </c>
      <c r="J76" s="35" t="s">
        <v>215</v>
      </c>
      <c r="K76" s="35" t="s">
        <v>215</v>
      </c>
      <c r="L76" s="36"/>
      <c r="N76" s="36">
        <v>10.23</v>
      </c>
      <c r="O76" s="36"/>
    </row>
    <row r="77" spans="1:15" s="35" customFormat="1" ht="25.05" customHeight="1" x14ac:dyDescent="0.4">
      <c r="A77" s="32" t="s">
        <v>2167</v>
      </c>
      <c r="B77" s="34" t="s">
        <v>2190</v>
      </c>
      <c r="C77" s="34" t="s">
        <v>340</v>
      </c>
      <c r="D77" s="34" t="s">
        <v>2191</v>
      </c>
      <c r="E77" s="34" t="s">
        <v>2192</v>
      </c>
      <c r="F77" s="33" t="s">
        <v>297</v>
      </c>
      <c r="G77" s="40"/>
      <c r="J77" s="35" t="s">
        <v>215</v>
      </c>
      <c r="K77" s="35" t="s">
        <v>215</v>
      </c>
      <c r="L77" s="36"/>
      <c r="N77" s="36">
        <v>6.07</v>
      </c>
      <c r="O77" s="36"/>
    </row>
    <row r="78" spans="1:15" s="35" customFormat="1" ht="25.05" customHeight="1" x14ac:dyDescent="0.4">
      <c r="A78" s="32" t="s">
        <v>2167</v>
      </c>
      <c r="B78" s="34" t="s">
        <v>2193</v>
      </c>
      <c r="C78" s="34" t="s">
        <v>340</v>
      </c>
      <c r="D78" s="34" t="s">
        <v>2194</v>
      </c>
      <c r="E78" s="34" t="s">
        <v>2195</v>
      </c>
      <c r="F78" s="33" t="s">
        <v>299</v>
      </c>
      <c r="G78" s="40"/>
      <c r="H78" s="35" t="s">
        <v>1980</v>
      </c>
      <c r="I78" s="35" t="s">
        <v>1976</v>
      </c>
      <c r="J78" s="35" t="s">
        <v>215</v>
      </c>
      <c r="K78" s="35" t="s">
        <v>215</v>
      </c>
      <c r="L78" s="36"/>
      <c r="N78" s="36">
        <v>7.72</v>
      </c>
      <c r="O78" s="36"/>
    </row>
    <row r="79" spans="1:15" s="35" customFormat="1" ht="25.05" customHeight="1" x14ac:dyDescent="0.4">
      <c r="A79" s="32" t="s">
        <v>2167</v>
      </c>
      <c r="B79" s="34" t="s">
        <v>2196</v>
      </c>
      <c r="C79" s="34" t="s">
        <v>340</v>
      </c>
      <c r="D79" s="34" t="s">
        <v>2197</v>
      </c>
      <c r="E79" s="34" t="s">
        <v>2198</v>
      </c>
      <c r="F79" s="33" t="s">
        <v>299</v>
      </c>
      <c r="G79" s="40"/>
      <c r="H79" s="35" t="s">
        <v>2008</v>
      </c>
      <c r="I79" s="35" t="s">
        <v>1976</v>
      </c>
      <c r="J79" s="35" t="s">
        <v>215</v>
      </c>
      <c r="K79" s="35" t="s">
        <v>215</v>
      </c>
      <c r="L79" s="36"/>
      <c r="N79" s="36">
        <v>18.64</v>
      </c>
      <c r="O79" s="36"/>
    </row>
    <row r="80" spans="1:15" s="35" customFormat="1" ht="25.05" customHeight="1" x14ac:dyDescent="0.4">
      <c r="A80" s="32" t="s">
        <v>2167</v>
      </c>
      <c r="B80" s="34" t="s">
        <v>2199</v>
      </c>
      <c r="C80" s="34" t="s">
        <v>340</v>
      </c>
      <c r="D80" s="34" t="s">
        <v>2200</v>
      </c>
      <c r="E80" s="34" t="s">
        <v>2201</v>
      </c>
      <c r="F80" s="33" t="s">
        <v>300</v>
      </c>
      <c r="G80" s="40"/>
      <c r="H80" s="35" t="s">
        <v>2008</v>
      </c>
      <c r="I80" s="35" t="s">
        <v>1976</v>
      </c>
      <c r="J80" s="35" t="s">
        <v>215</v>
      </c>
      <c r="K80" s="35" t="s">
        <v>215</v>
      </c>
      <c r="L80" s="36"/>
      <c r="N80" s="36">
        <v>22.33</v>
      </c>
      <c r="O80" s="36"/>
    </row>
    <row r="81" spans="1:15" s="35" customFormat="1" ht="25.05" customHeight="1" x14ac:dyDescent="0.4">
      <c r="A81" s="32" t="s">
        <v>2167</v>
      </c>
      <c r="B81" s="34" t="s">
        <v>2202</v>
      </c>
      <c r="C81" s="34" t="s">
        <v>340</v>
      </c>
      <c r="D81" s="34" t="s">
        <v>2203</v>
      </c>
      <c r="E81" s="34" t="s">
        <v>2204</v>
      </c>
      <c r="F81" s="33" t="s">
        <v>300</v>
      </c>
      <c r="G81" s="40"/>
      <c r="H81" s="35" t="s">
        <v>2205</v>
      </c>
      <c r="I81" s="35" t="s">
        <v>1976</v>
      </c>
      <c r="J81" s="35" t="s">
        <v>215</v>
      </c>
      <c r="K81" s="35" t="s">
        <v>215</v>
      </c>
      <c r="L81" s="36"/>
      <c r="N81" s="36">
        <v>16.73</v>
      </c>
      <c r="O81" s="36"/>
    </row>
    <row r="82" spans="1:15" s="35" customFormat="1" ht="25.05" customHeight="1" x14ac:dyDescent="0.4">
      <c r="A82" s="32" t="s">
        <v>2167</v>
      </c>
      <c r="B82" s="34" t="s">
        <v>2206</v>
      </c>
      <c r="C82" s="34" t="s">
        <v>340</v>
      </c>
      <c r="D82" s="34" t="s">
        <v>2207</v>
      </c>
      <c r="E82" s="34" t="s">
        <v>2208</v>
      </c>
      <c r="F82" s="33" t="s">
        <v>298</v>
      </c>
      <c r="G82" s="40"/>
      <c r="H82" s="35" t="s">
        <v>1975</v>
      </c>
      <c r="I82" s="35" t="s">
        <v>1976</v>
      </c>
      <c r="J82" s="35" t="s">
        <v>215</v>
      </c>
      <c r="K82" s="35" t="s">
        <v>215</v>
      </c>
      <c r="L82" s="36"/>
      <c r="N82" s="36">
        <v>1.9</v>
      </c>
      <c r="O82" s="36"/>
    </row>
    <row r="83" spans="1:15" s="35" customFormat="1" ht="25.05" customHeight="1" x14ac:dyDescent="0.4">
      <c r="A83" s="32" t="s">
        <v>2167</v>
      </c>
      <c r="B83" s="34" t="s">
        <v>2209</v>
      </c>
      <c r="C83" s="34" t="s">
        <v>340</v>
      </c>
      <c r="D83" s="34" t="s">
        <v>2210</v>
      </c>
      <c r="E83" s="34" t="s">
        <v>2211</v>
      </c>
      <c r="F83" s="33" t="s">
        <v>300</v>
      </c>
      <c r="G83" s="40"/>
      <c r="H83" s="35" t="s">
        <v>2008</v>
      </c>
      <c r="I83" s="35" t="s">
        <v>1976</v>
      </c>
      <c r="J83" s="35" t="s">
        <v>215</v>
      </c>
      <c r="K83" s="35" t="s">
        <v>215</v>
      </c>
      <c r="L83" s="36"/>
      <c r="N83" s="36">
        <v>16.57</v>
      </c>
      <c r="O83" s="36"/>
    </row>
    <row r="84" spans="1:15" s="35" customFormat="1" ht="25.05" customHeight="1" x14ac:dyDescent="0.4">
      <c r="A84" s="32" t="s">
        <v>2167</v>
      </c>
      <c r="B84" s="34" t="s">
        <v>537</v>
      </c>
      <c r="C84" s="34" t="s">
        <v>360</v>
      </c>
      <c r="D84" s="34" t="s">
        <v>2212</v>
      </c>
      <c r="E84" s="34" t="s">
        <v>2213</v>
      </c>
      <c r="F84" s="33" t="s">
        <v>323</v>
      </c>
      <c r="G84" s="40"/>
      <c r="H84" s="35" t="s">
        <v>1980</v>
      </c>
      <c r="I84" s="35" t="s">
        <v>1976</v>
      </c>
      <c r="J84" s="35" t="s">
        <v>215</v>
      </c>
      <c r="K84" s="35" t="s">
        <v>215</v>
      </c>
      <c r="L84" s="36"/>
      <c r="N84" s="36">
        <v>6.16</v>
      </c>
      <c r="O84" s="36"/>
    </row>
    <row r="85" spans="1:15" s="35" customFormat="1" ht="25.05" customHeight="1" x14ac:dyDescent="0.4">
      <c r="A85" s="32" t="s">
        <v>2167</v>
      </c>
      <c r="B85" s="34" t="s">
        <v>2214</v>
      </c>
      <c r="C85" s="34" t="s">
        <v>340</v>
      </c>
      <c r="D85" s="34" t="s">
        <v>2215</v>
      </c>
      <c r="E85" s="34" t="s">
        <v>2216</v>
      </c>
      <c r="F85" s="33" t="s">
        <v>303</v>
      </c>
      <c r="G85" s="40"/>
      <c r="J85" s="35" t="s">
        <v>215</v>
      </c>
      <c r="K85" s="35" t="s">
        <v>215</v>
      </c>
      <c r="L85" s="36"/>
      <c r="N85" s="36">
        <v>12.16</v>
      </c>
      <c r="O85" s="36"/>
    </row>
    <row r="86" spans="1:15" s="35" customFormat="1" ht="25.05" customHeight="1" x14ac:dyDescent="0.4">
      <c r="A86" s="32" t="s">
        <v>2167</v>
      </c>
      <c r="B86" s="34" t="s">
        <v>2217</v>
      </c>
      <c r="C86" s="34" t="s">
        <v>340</v>
      </c>
      <c r="D86" s="34" t="s">
        <v>2218</v>
      </c>
      <c r="E86" s="34" t="s">
        <v>2219</v>
      </c>
      <c r="F86" s="33" t="s">
        <v>323</v>
      </c>
      <c r="G86" s="40"/>
      <c r="J86" s="35" t="s">
        <v>215</v>
      </c>
      <c r="K86" s="35" t="s">
        <v>215</v>
      </c>
      <c r="L86" s="36"/>
      <c r="N86" s="36">
        <v>22.42</v>
      </c>
      <c r="O86" s="36"/>
    </row>
    <row r="87" spans="1:15" s="35" customFormat="1" ht="25.05" customHeight="1" x14ac:dyDescent="0.4">
      <c r="A87" s="32" t="s">
        <v>2167</v>
      </c>
      <c r="B87" s="34" t="s">
        <v>2220</v>
      </c>
      <c r="C87" s="34" t="s">
        <v>340</v>
      </c>
      <c r="D87" s="34" t="s">
        <v>2221</v>
      </c>
      <c r="E87" s="34" t="s">
        <v>2222</v>
      </c>
      <c r="F87" s="33" t="s">
        <v>302</v>
      </c>
      <c r="G87" s="40"/>
      <c r="H87" s="35" t="s">
        <v>2008</v>
      </c>
      <c r="I87" s="35" t="s">
        <v>1976</v>
      </c>
      <c r="J87" s="35" t="s">
        <v>215</v>
      </c>
      <c r="K87" s="35" t="s">
        <v>215</v>
      </c>
      <c r="L87" s="36"/>
      <c r="N87" s="36">
        <v>3.28</v>
      </c>
      <c r="O87" s="36"/>
    </row>
    <row r="88" spans="1:15" s="35" customFormat="1" ht="25.05" customHeight="1" x14ac:dyDescent="0.4">
      <c r="A88" s="32" t="s">
        <v>2167</v>
      </c>
      <c r="B88" s="34" t="s">
        <v>2038</v>
      </c>
      <c r="C88" s="34" t="s">
        <v>349</v>
      </c>
      <c r="D88" s="34" t="s">
        <v>2223</v>
      </c>
      <c r="E88" s="34" t="s">
        <v>2224</v>
      </c>
      <c r="F88" s="33" t="s">
        <v>298</v>
      </c>
      <c r="G88" s="40"/>
      <c r="H88" s="35" t="s">
        <v>1984</v>
      </c>
      <c r="I88" s="35" t="s">
        <v>1976</v>
      </c>
      <c r="J88" s="35" t="s">
        <v>215</v>
      </c>
      <c r="K88" s="35" t="s">
        <v>215</v>
      </c>
      <c r="L88" s="36"/>
      <c r="N88" s="36">
        <v>5.22</v>
      </c>
      <c r="O88" s="36"/>
    </row>
    <row r="89" spans="1:15" s="35" customFormat="1" ht="25.05" customHeight="1" x14ac:dyDescent="0.4">
      <c r="A89" s="32" t="s">
        <v>2167</v>
      </c>
      <c r="B89" s="34" t="s">
        <v>2225</v>
      </c>
      <c r="C89" s="34" t="s">
        <v>340</v>
      </c>
      <c r="D89" s="34" t="s">
        <v>2226</v>
      </c>
      <c r="E89" s="34" t="s">
        <v>2227</v>
      </c>
      <c r="F89" s="33" t="s">
        <v>300</v>
      </c>
      <c r="G89" s="40"/>
      <c r="H89" s="35" t="s">
        <v>2205</v>
      </c>
      <c r="I89" s="35" t="s">
        <v>1976</v>
      </c>
      <c r="J89" s="35" t="s">
        <v>215</v>
      </c>
      <c r="K89" s="35" t="s">
        <v>215</v>
      </c>
      <c r="L89" s="36"/>
      <c r="N89" s="36">
        <v>9.0399999999999991</v>
      </c>
      <c r="O89" s="36"/>
    </row>
    <row r="90" spans="1:15" s="35" customFormat="1" ht="25.05" customHeight="1" x14ac:dyDescent="0.4">
      <c r="A90" s="32" t="s">
        <v>2167</v>
      </c>
      <c r="B90" s="34" t="s">
        <v>2228</v>
      </c>
      <c r="C90" s="34" t="s">
        <v>340</v>
      </c>
      <c r="D90" s="34" t="s">
        <v>2229</v>
      </c>
      <c r="E90" s="34" t="s">
        <v>2230</v>
      </c>
      <c r="F90" s="33" t="s">
        <v>303</v>
      </c>
      <c r="G90" s="40"/>
      <c r="H90" s="35" t="s">
        <v>1994</v>
      </c>
      <c r="I90" s="35" t="s">
        <v>1976</v>
      </c>
      <c r="J90" s="35" t="s">
        <v>215</v>
      </c>
      <c r="K90" s="35" t="s">
        <v>215</v>
      </c>
      <c r="L90" s="36"/>
      <c r="N90" s="36">
        <v>4.9400000000000004</v>
      </c>
      <c r="O90" s="36"/>
    </row>
    <row r="91" spans="1:15" s="35" customFormat="1" ht="25.05" customHeight="1" x14ac:dyDescent="0.4">
      <c r="A91" s="32" t="s">
        <v>2167</v>
      </c>
      <c r="B91" s="34" t="s">
        <v>2231</v>
      </c>
      <c r="C91" s="34" t="s">
        <v>340</v>
      </c>
      <c r="D91" s="34" t="s">
        <v>2232</v>
      </c>
      <c r="E91" s="34" t="s">
        <v>2233</v>
      </c>
      <c r="F91" s="33" t="s">
        <v>323</v>
      </c>
      <c r="G91" s="40"/>
      <c r="H91" s="35" t="s">
        <v>2008</v>
      </c>
      <c r="I91" s="35" t="s">
        <v>1976</v>
      </c>
      <c r="J91" s="35" t="s">
        <v>215</v>
      </c>
      <c r="K91" s="35" t="s">
        <v>215</v>
      </c>
      <c r="L91" s="36"/>
      <c r="N91" s="36">
        <v>5.87</v>
      </c>
      <c r="O91" s="36"/>
    </row>
    <row r="92" spans="1:15" s="35" customFormat="1" ht="25.05" customHeight="1" x14ac:dyDescent="0.4">
      <c r="A92" s="32" t="s">
        <v>2167</v>
      </c>
      <c r="B92" s="34" t="s">
        <v>2234</v>
      </c>
      <c r="C92" s="34" t="s">
        <v>340</v>
      </c>
      <c r="D92" s="34" t="s">
        <v>2235</v>
      </c>
      <c r="E92" s="34" t="s">
        <v>2236</v>
      </c>
      <c r="F92" s="33" t="s">
        <v>300</v>
      </c>
      <c r="G92" s="40"/>
      <c r="H92" s="35" t="s">
        <v>2008</v>
      </c>
      <c r="I92" s="35" t="s">
        <v>1976</v>
      </c>
      <c r="J92" s="35" t="s">
        <v>215</v>
      </c>
      <c r="K92" s="35" t="s">
        <v>215</v>
      </c>
      <c r="L92" s="36"/>
      <c r="N92" s="36">
        <v>8</v>
      </c>
      <c r="O92" s="36"/>
    </row>
    <row r="93" spans="1:15" s="35" customFormat="1" ht="25.05" customHeight="1" x14ac:dyDescent="0.4">
      <c r="A93" s="32" t="s">
        <v>2167</v>
      </c>
      <c r="B93" s="34" t="s">
        <v>1435</v>
      </c>
      <c r="C93" s="34" t="s">
        <v>340</v>
      </c>
      <c r="D93" s="34" t="s">
        <v>870</v>
      </c>
      <c r="E93" s="34" t="s">
        <v>2237</v>
      </c>
      <c r="F93" s="33" t="s">
        <v>298</v>
      </c>
      <c r="G93" s="40"/>
      <c r="H93" s="35" t="s">
        <v>215</v>
      </c>
      <c r="I93" s="35" t="s">
        <v>215</v>
      </c>
      <c r="J93" s="35" t="s">
        <v>215</v>
      </c>
      <c r="K93" s="35" t="s">
        <v>215</v>
      </c>
      <c r="L93" s="36"/>
      <c r="N93" s="36">
        <v>8.18</v>
      </c>
      <c r="O93" s="36"/>
    </row>
    <row r="94" spans="1:15" s="35" customFormat="1" ht="25.05" customHeight="1" x14ac:dyDescent="0.4">
      <c r="A94" s="32" t="s">
        <v>2167</v>
      </c>
      <c r="B94" s="34" t="s">
        <v>2238</v>
      </c>
      <c r="C94" s="34" t="s">
        <v>340</v>
      </c>
      <c r="D94" s="34" t="s">
        <v>2239</v>
      </c>
      <c r="E94" s="34" t="s">
        <v>2240</v>
      </c>
      <c r="F94" s="33" t="s">
        <v>300</v>
      </c>
      <c r="G94" s="40"/>
      <c r="H94" s="35" t="s">
        <v>215</v>
      </c>
      <c r="I94" s="35" t="s">
        <v>215</v>
      </c>
      <c r="J94" s="35" t="s">
        <v>215</v>
      </c>
      <c r="K94" s="35" t="s">
        <v>215</v>
      </c>
      <c r="L94" s="36"/>
      <c r="N94" s="36"/>
      <c r="O94" s="36"/>
    </row>
    <row r="95" spans="1:15" s="35" customFormat="1" ht="25.05" customHeight="1" x14ac:dyDescent="0.4">
      <c r="A95" s="32" t="s">
        <v>2167</v>
      </c>
      <c r="B95" s="34" t="s">
        <v>418</v>
      </c>
      <c r="C95" s="34" t="s">
        <v>2241</v>
      </c>
      <c r="D95" s="34" t="s">
        <v>2242</v>
      </c>
      <c r="E95" s="34" t="s">
        <v>2243</v>
      </c>
      <c r="F95" s="33" t="s">
        <v>300</v>
      </c>
      <c r="G95" s="40"/>
      <c r="H95" s="35" t="s">
        <v>1975</v>
      </c>
      <c r="I95" s="35" t="s">
        <v>1976</v>
      </c>
      <c r="J95" s="35" t="s">
        <v>215</v>
      </c>
      <c r="K95" s="35" t="s">
        <v>215</v>
      </c>
      <c r="L95" s="36"/>
      <c r="N95" s="36">
        <v>17.079999999999998</v>
      </c>
      <c r="O95" s="36"/>
    </row>
    <row r="96" spans="1:15" s="35" customFormat="1" ht="25.05" customHeight="1" x14ac:dyDescent="0.4">
      <c r="A96" s="32" t="s">
        <v>2167</v>
      </c>
      <c r="B96" s="34" t="s">
        <v>418</v>
      </c>
      <c r="C96" s="34" t="s">
        <v>2244</v>
      </c>
      <c r="D96" s="34" t="s">
        <v>2245</v>
      </c>
      <c r="E96" s="34" t="s">
        <v>2246</v>
      </c>
      <c r="F96" s="33" t="s">
        <v>300</v>
      </c>
      <c r="G96" s="40"/>
      <c r="H96" s="35" t="s">
        <v>215</v>
      </c>
      <c r="I96" s="35" t="s">
        <v>215</v>
      </c>
      <c r="J96" s="35" t="s">
        <v>215</v>
      </c>
      <c r="K96" s="35" t="s">
        <v>215</v>
      </c>
      <c r="L96" s="36"/>
      <c r="N96" s="36"/>
      <c r="O96" s="36"/>
    </row>
    <row r="97" spans="1:15" s="35" customFormat="1" ht="25.05" customHeight="1" x14ac:dyDescent="0.4">
      <c r="A97" s="32" t="s">
        <v>2167</v>
      </c>
      <c r="B97" s="34" t="s">
        <v>373</v>
      </c>
      <c r="C97" s="34" t="s">
        <v>2247</v>
      </c>
      <c r="D97" s="34" t="s">
        <v>2248</v>
      </c>
      <c r="E97" s="34" t="s">
        <v>2249</v>
      </c>
      <c r="F97" s="33" t="s">
        <v>300</v>
      </c>
      <c r="G97" s="40"/>
      <c r="H97" s="35" t="s">
        <v>1980</v>
      </c>
      <c r="I97" s="35" t="s">
        <v>1976</v>
      </c>
      <c r="J97" s="35" t="s">
        <v>215</v>
      </c>
      <c r="K97" s="35" t="s">
        <v>215</v>
      </c>
      <c r="L97" s="36"/>
      <c r="N97" s="36">
        <v>35.99</v>
      </c>
      <c r="O97" s="36"/>
    </row>
    <row r="98" spans="1:15" s="35" customFormat="1" ht="25.05" customHeight="1" x14ac:dyDescent="0.4">
      <c r="A98" s="32" t="s">
        <v>2167</v>
      </c>
      <c r="B98" s="34" t="s">
        <v>369</v>
      </c>
      <c r="C98" s="34" t="s">
        <v>2247</v>
      </c>
      <c r="D98" s="34" t="s">
        <v>2250</v>
      </c>
      <c r="E98" s="34" t="s">
        <v>2249</v>
      </c>
      <c r="F98" s="33" t="s">
        <v>300</v>
      </c>
      <c r="G98" s="40"/>
      <c r="J98" s="35" t="s">
        <v>215</v>
      </c>
      <c r="K98" s="35" t="s">
        <v>215</v>
      </c>
      <c r="L98" s="36"/>
      <c r="N98" s="36"/>
      <c r="O98" s="36"/>
    </row>
    <row r="99" spans="1:15" s="35" customFormat="1" ht="25.05" customHeight="1" x14ac:dyDescent="0.4">
      <c r="A99" s="32" t="s">
        <v>2251</v>
      </c>
      <c r="B99" s="34" t="s">
        <v>2252</v>
      </c>
      <c r="C99" s="34" t="s">
        <v>340</v>
      </c>
      <c r="D99" s="34" t="s">
        <v>2253</v>
      </c>
      <c r="E99" s="34" t="s">
        <v>2254</v>
      </c>
      <c r="F99" s="33" t="s">
        <v>300</v>
      </c>
      <c r="G99" s="40"/>
      <c r="J99" s="35" t="s">
        <v>215</v>
      </c>
      <c r="K99" s="35" t="s">
        <v>215</v>
      </c>
      <c r="L99" s="36"/>
      <c r="N99" s="36">
        <v>7.21</v>
      </c>
      <c r="O99" s="36"/>
    </row>
    <row r="100" spans="1:15" s="35" customFormat="1" ht="25.05" customHeight="1" x14ac:dyDescent="0.4">
      <c r="A100" s="32" t="s">
        <v>2251</v>
      </c>
      <c r="B100" s="34" t="s">
        <v>2255</v>
      </c>
      <c r="C100" s="34" t="s">
        <v>340</v>
      </c>
      <c r="D100" s="34" t="s">
        <v>2256</v>
      </c>
      <c r="E100" s="34" t="s">
        <v>2257</v>
      </c>
      <c r="F100" s="33" t="s">
        <v>298</v>
      </c>
      <c r="G100" s="40"/>
      <c r="J100" s="35" t="s">
        <v>215</v>
      </c>
      <c r="K100" s="35" t="s">
        <v>215</v>
      </c>
      <c r="L100" s="36"/>
      <c r="N100" s="36">
        <v>0.18</v>
      </c>
      <c r="O100" s="36"/>
    </row>
    <row r="101" spans="1:15" s="35" customFormat="1" ht="25.05" customHeight="1" x14ac:dyDescent="0.4">
      <c r="A101" s="32" t="s">
        <v>2251</v>
      </c>
      <c r="B101" s="34" t="s">
        <v>2258</v>
      </c>
      <c r="C101" s="34" t="s">
        <v>340</v>
      </c>
      <c r="D101" s="34" t="s">
        <v>2259</v>
      </c>
      <c r="E101" s="34" t="s">
        <v>2260</v>
      </c>
      <c r="F101" s="33" t="s">
        <v>303</v>
      </c>
      <c r="G101" s="40"/>
      <c r="J101" s="35" t="s">
        <v>215</v>
      </c>
      <c r="K101" s="35" t="s">
        <v>215</v>
      </c>
      <c r="L101" s="36"/>
      <c r="N101" s="36">
        <v>10.95</v>
      </c>
      <c r="O101" s="36"/>
    </row>
    <row r="102" spans="1:15" s="35" customFormat="1" ht="25.05" customHeight="1" x14ac:dyDescent="0.4">
      <c r="A102" s="32" t="s">
        <v>2251</v>
      </c>
      <c r="B102" s="34" t="s">
        <v>2261</v>
      </c>
      <c r="C102" s="34" t="s">
        <v>340</v>
      </c>
      <c r="D102" s="34" t="s">
        <v>2262</v>
      </c>
      <c r="E102" s="34" t="s">
        <v>2263</v>
      </c>
      <c r="F102" s="33" t="s">
        <v>300</v>
      </c>
      <c r="G102" s="40"/>
      <c r="J102" s="35" t="s">
        <v>215</v>
      </c>
      <c r="K102" s="35" t="s">
        <v>215</v>
      </c>
      <c r="L102" s="36"/>
      <c r="N102" s="36">
        <v>15.37</v>
      </c>
      <c r="O102" s="36"/>
    </row>
    <row r="103" spans="1:15" s="35" customFormat="1" ht="25.05" customHeight="1" x14ac:dyDescent="0.4">
      <c r="A103" s="32" t="s">
        <v>2251</v>
      </c>
      <c r="B103" s="34" t="s">
        <v>2264</v>
      </c>
      <c r="C103" s="34" t="s">
        <v>340</v>
      </c>
      <c r="D103" s="34" t="s">
        <v>2265</v>
      </c>
      <c r="E103" s="34" t="s">
        <v>2266</v>
      </c>
      <c r="F103" s="33" t="s">
        <v>300</v>
      </c>
      <c r="G103" s="40"/>
      <c r="H103" s="35" t="s">
        <v>2008</v>
      </c>
      <c r="I103" s="35" t="s">
        <v>1976</v>
      </c>
      <c r="J103" s="35" t="s">
        <v>215</v>
      </c>
      <c r="K103" s="35" t="s">
        <v>215</v>
      </c>
      <c r="L103" s="36"/>
      <c r="N103" s="36">
        <v>1.5</v>
      </c>
      <c r="O103" s="36"/>
    </row>
    <row r="104" spans="1:15" s="35" customFormat="1" ht="25.05" customHeight="1" x14ac:dyDescent="0.4">
      <c r="A104" s="32" t="s">
        <v>2251</v>
      </c>
      <c r="B104" s="34" t="s">
        <v>2089</v>
      </c>
      <c r="C104" s="34" t="s">
        <v>346</v>
      </c>
      <c r="D104" s="34" t="s">
        <v>2267</v>
      </c>
      <c r="E104" s="34" t="s">
        <v>2268</v>
      </c>
      <c r="F104" s="33" t="s">
        <v>300</v>
      </c>
      <c r="G104" s="40"/>
      <c r="H104" s="35" t="s">
        <v>2008</v>
      </c>
      <c r="I104" s="35" t="s">
        <v>1976</v>
      </c>
      <c r="J104" s="35" t="s">
        <v>215</v>
      </c>
      <c r="K104" s="35" t="s">
        <v>215</v>
      </c>
      <c r="L104" s="36"/>
      <c r="N104" s="36">
        <v>5.86</v>
      </c>
      <c r="O104" s="36"/>
    </row>
    <row r="105" spans="1:15" s="35" customFormat="1" ht="25.05" customHeight="1" x14ac:dyDescent="0.4">
      <c r="A105" s="32" t="s">
        <v>2251</v>
      </c>
      <c r="B105" s="34" t="s">
        <v>2269</v>
      </c>
      <c r="C105" s="34" t="s">
        <v>340</v>
      </c>
      <c r="D105" s="34" t="s">
        <v>2270</v>
      </c>
      <c r="E105" s="34" t="s">
        <v>2271</v>
      </c>
      <c r="F105" s="33" t="s">
        <v>323</v>
      </c>
      <c r="G105" s="40"/>
      <c r="J105" s="35" t="s">
        <v>215</v>
      </c>
      <c r="K105" s="35" t="s">
        <v>215</v>
      </c>
      <c r="L105" s="36"/>
      <c r="N105" s="36">
        <v>8.76</v>
      </c>
      <c r="O105" s="36"/>
    </row>
    <row r="106" spans="1:15" s="35" customFormat="1" ht="25.05" customHeight="1" x14ac:dyDescent="0.4">
      <c r="A106" s="32" t="s">
        <v>2251</v>
      </c>
      <c r="B106" s="34" t="s">
        <v>2272</v>
      </c>
      <c r="C106" s="34" t="s">
        <v>340</v>
      </c>
      <c r="D106" s="34" t="s">
        <v>2273</v>
      </c>
      <c r="E106" s="34" t="s">
        <v>2274</v>
      </c>
      <c r="F106" s="33" t="s">
        <v>323</v>
      </c>
      <c r="G106" s="40"/>
      <c r="H106" s="35" t="s">
        <v>2008</v>
      </c>
      <c r="I106" s="35" t="s">
        <v>1976</v>
      </c>
      <c r="J106" s="35" t="s">
        <v>215</v>
      </c>
      <c r="K106" s="35" t="s">
        <v>215</v>
      </c>
      <c r="L106" s="36"/>
      <c r="N106" s="36">
        <v>12.56</v>
      </c>
      <c r="O106" s="36"/>
    </row>
    <row r="107" spans="1:15" s="35" customFormat="1" ht="25.05" customHeight="1" x14ac:dyDescent="0.4">
      <c r="A107" s="32" t="s">
        <v>2251</v>
      </c>
      <c r="B107" s="34" t="s">
        <v>2275</v>
      </c>
      <c r="C107" s="34" t="s">
        <v>340</v>
      </c>
      <c r="D107" s="34" t="s">
        <v>2276</v>
      </c>
      <c r="E107" s="34" t="s">
        <v>2277</v>
      </c>
      <c r="F107" s="33" t="s">
        <v>303</v>
      </c>
      <c r="G107" s="40"/>
      <c r="H107" s="35" t="s">
        <v>1984</v>
      </c>
      <c r="I107" s="35" t="s">
        <v>1976</v>
      </c>
      <c r="J107" s="35" t="s">
        <v>215</v>
      </c>
      <c r="K107" s="35" t="s">
        <v>215</v>
      </c>
      <c r="L107" s="36"/>
      <c r="N107" s="36">
        <v>2.77</v>
      </c>
      <c r="O107" s="36"/>
    </row>
    <row r="108" spans="1:15" s="35" customFormat="1" ht="25.05" customHeight="1" x14ac:dyDescent="0.4">
      <c r="A108" s="32" t="s">
        <v>2251</v>
      </c>
      <c r="B108" s="34" t="s">
        <v>2278</v>
      </c>
      <c r="C108" s="34" t="s">
        <v>340</v>
      </c>
      <c r="D108" s="34" t="s">
        <v>2279</v>
      </c>
      <c r="E108" s="34" t="s">
        <v>2280</v>
      </c>
      <c r="F108" s="33" t="s">
        <v>300</v>
      </c>
      <c r="G108" s="40"/>
      <c r="H108" s="35" t="s">
        <v>2008</v>
      </c>
      <c r="I108" s="35" t="s">
        <v>1976</v>
      </c>
      <c r="J108" s="35" t="s">
        <v>215</v>
      </c>
      <c r="K108" s="35" t="s">
        <v>215</v>
      </c>
      <c r="L108" s="36"/>
      <c r="N108" s="36">
        <v>16.3</v>
      </c>
      <c r="O108" s="36"/>
    </row>
    <row r="109" spans="1:15" s="35" customFormat="1" ht="25.05" customHeight="1" x14ac:dyDescent="0.4">
      <c r="A109" s="32" t="s">
        <v>2251</v>
      </c>
      <c r="B109" s="34" t="s">
        <v>2281</v>
      </c>
      <c r="C109" s="34" t="s">
        <v>340</v>
      </c>
      <c r="D109" s="34" t="s">
        <v>2282</v>
      </c>
      <c r="E109" s="34" t="s">
        <v>2283</v>
      </c>
      <c r="F109" s="33" t="s">
        <v>303</v>
      </c>
      <c r="G109" s="40"/>
      <c r="H109" s="35" t="s">
        <v>1980</v>
      </c>
      <c r="I109" s="35" t="s">
        <v>2205</v>
      </c>
      <c r="J109" s="35" t="s">
        <v>215</v>
      </c>
      <c r="K109" s="35" t="s">
        <v>215</v>
      </c>
      <c r="L109" s="36"/>
      <c r="N109" s="36">
        <v>7.38</v>
      </c>
      <c r="O109" s="36"/>
    </row>
    <row r="110" spans="1:15" s="35" customFormat="1" ht="25.05" customHeight="1" x14ac:dyDescent="0.4">
      <c r="A110" s="32" t="s">
        <v>2251</v>
      </c>
      <c r="B110" s="34" t="s">
        <v>2284</v>
      </c>
      <c r="C110" s="34" t="s">
        <v>340</v>
      </c>
      <c r="D110" s="34" t="s">
        <v>2285</v>
      </c>
      <c r="E110" s="34" t="s">
        <v>2286</v>
      </c>
      <c r="F110" s="33" t="s">
        <v>299</v>
      </c>
      <c r="G110" s="40"/>
      <c r="H110" s="35" t="s">
        <v>2008</v>
      </c>
      <c r="I110" s="35" t="s">
        <v>1976</v>
      </c>
      <c r="J110" s="35" t="s">
        <v>215</v>
      </c>
      <c r="K110" s="35" t="s">
        <v>215</v>
      </c>
      <c r="L110" s="36"/>
      <c r="N110" s="36">
        <v>13</v>
      </c>
      <c r="O110" s="36"/>
    </row>
    <row r="111" spans="1:15" s="35" customFormat="1" ht="25.05" customHeight="1" x14ac:dyDescent="0.4">
      <c r="A111" s="32" t="s">
        <v>2251</v>
      </c>
      <c r="B111" s="34" t="s">
        <v>2287</v>
      </c>
      <c r="C111" s="34" t="s">
        <v>340</v>
      </c>
      <c r="D111" s="34" t="s">
        <v>2288</v>
      </c>
      <c r="E111" s="34" t="s">
        <v>2289</v>
      </c>
      <c r="F111" s="33" t="s">
        <v>302</v>
      </c>
      <c r="G111" s="40"/>
      <c r="H111" s="35" t="s">
        <v>1980</v>
      </c>
      <c r="I111" s="35" t="s">
        <v>1976</v>
      </c>
      <c r="J111" s="35" t="s">
        <v>215</v>
      </c>
      <c r="K111" s="35" t="s">
        <v>215</v>
      </c>
      <c r="L111" s="36"/>
      <c r="N111" s="36">
        <v>4.47</v>
      </c>
      <c r="O111" s="36"/>
    </row>
    <row r="112" spans="1:15" s="35" customFormat="1" ht="25.05" customHeight="1" x14ac:dyDescent="0.4">
      <c r="A112" s="32" t="s">
        <v>2251</v>
      </c>
      <c r="B112" s="34" t="s">
        <v>2290</v>
      </c>
      <c r="C112" s="34" t="s">
        <v>340</v>
      </c>
      <c r="D112" s="34" t="s">
        <v>2291</v>
      </c>
      <c r="E112" s="34" t="s">
        <v>2292</v>
      </c>
      <c r="F112" s="33" t="s">
        <v>303</v>
      </c>
      <c r="G112" s="40"/>
      <c r="H112" s="35" t="s">
        <v>2008</v>
      </c>
      <c r="I112" s="35" t="s">
        <v>1976</v>
      </c>
      <c r="J112" s="35" t="s">
        <v>215</v>
      </c>
      <c r="K112" s="35" t="s">
        <v>215</v>
      </c>
      <c r="L112" s="36"/>
      <c r="N112" s="36">
        <v>25.71</v>
      </c>
      <c r="O112" s="36"/>
    </row>
    <row r="113" spans="1:15" s="35" customFormat="1" ht="25.05" customHeight="1" x14ac:dyDescent="0.4">
      <c r="A113" s="32" t="s">
        <v>2251</v>
      </c>
      <c r="B113" s="34" t="s">
        <v>2293</v>
      </c>
      <c r="C113" s="34" t="s">
        <v>340</v>
      </c>
      <c r="D113" s="34" t="s">
        <v>2294</v>
      </c>
      <c r="E113" s="34" t="s">
        <v>2295</v>
      </c>
      <c r="F113" s="33" t="s">
        <v>300</v>
      </c>
      <c r="G113" s="40"/>
      <c r="H113" s="35" t="s">
        <v>2008</v>
      </c>
      <c r="I113" s="35" t="s">
        <v>1976</v>
      </c>
      <c r="J113" s="35" t="s">
        <v>215</v>
      </c>
      <c r="K113" s="35" t="s">
        <v>215</v>
      </c>
      <c r="L113" s="36"/>
      <c r="N113" s="36"/>
      <c r="O113" s="36"/>
    </row>
    <row r="114" spans="1:15" s="35" customFormat="1" ht="25.05" customHeight="1" x14ac:dyDescent="0.4">
      <c r="A114" s="32" t="s">
        <v>2251</v>
      </c>
      <c r="B114" s="34" t="s">
        <v>537</v>
      </c>
      <c r="C114" s="34" t="s">
        <v>342</v>
      </c>
      <c r="D114" s="34" t="s">
        <v>2296</v>
      </c>
      <c r="E114" s="34" t="s">
        <v>2297</v>
      </c>
      <c r="F114" s="33" t="s">
        <v>323</v>
      </c>
      <c r="G114" s="40"/>
      <c r="H114" s="35" t="s">
        <v>1980</v>
      </c>
      <c r="I114" s="35" t="s">
        <v>1976</v>
      </c>
      <c r="J114" s="35" t="s">
        <v>215</v>
      </c>
      <c r="K114" s="35" t="s">
        <v>215</v>
      </c>
      <c r="L114" s="36"/>
      <c r="N114" s="36">
        <v>10.73</v>
      </c>
      <c r="O114" s="36"/>
    </row>
    <row r="115" spans="1:15" s="35" customFormat="1" ht="25.05" customHeight="1" x14ac:dyDescent="0.4">
      <c r="A115" s="32" t="s">
        <v>2251</v>
      </c>
      <c r="B115" s="34" t="s">
        <v>2298</v>
      </c>
      <c r="C115" s="34" t="s">
        <v>340</v>
      </c>
      <c r="D115" s="34" t="s">
        <v>2299</v>
      </c>
      <c r="E115" s="34" t="s">
        <v>2300</v>
      </c>
      <c r="F115" s="33" t="s">
        <v>298</v>
      </c>
      <c r="G115" s="40"/>
      <c r="H115" s="35" t="s">
        <v>2008</v>
      </c>
      <c r="I115" s="35" t="s">
        <v>1976</v>
      </c>
      <c r="J115" s="35" t="s">
        <v>215</v>
      </c>
      <c r="K115" s="35" t="s">
        <v>215</v>
      </c>
      <c r="L115" s="36"/>
      <c r="N115" s="36">
        <v>5.67</v>
      </c>
      <c r="O115" s="36"/>
    </row>
    <row r="116" spans="1:15" s="35" customFormat="1" ht="25.05" customHeight="1" x14ac:dyDescent="0.4">
      <c r="A116" s="32" t="s">
        <v>2251</v>
      </c>
      <c r="B116" s="34" t="s">
        <v>2301</v>
      </c>
      <c r="C116" s="34" t="s">
        <v>340</v>
      </c>
      <c r="D116" s="34" t="s">
        <v>2302</v>
      </c>
      <c r="E116" s="34" t="s">
        <v>2303</v>
      </c>
      <c r="F116" s="33" t="s">
        <v>323</v>
      </c>
      <c r="G116" s="40"/>
      <c r="H116" s="35" t="s">
        <v>2008</v>
      </c>
      <c r="I116" s="35" t="s">
        <v>1976</v>
      </c>
      <c r="J116" s="35" t="s">
        <v>215</v>
      </c>
      <c r="K116" s="35" t="s">
        <v>215</v>
      </c>
      <c r="L116" s="36"/>
      <c r="N116" s="36">
        <v>14.13</v>
      </c>
      <c r="O116" s="36"/>
    </row>
    <row r="117" spans="1:15" s="35" customFormat="1" ht="25.05" customHeight="1" x14ac:dyDescent="0.4">
      <c r="A117" s="32" t="s">
        <v>2251</v>
      </c>
      <c r="B117" s="34" t="s">
        <v>2304</v>
      </c>
      <c r="C117" s="34" t="s">
        <v>340</v>
      </c>
      <c r="D117" s="34" t="s">
        <v>2305</v>
      </c>
      <c r="E117" s="34" t="s">
        <v>2306</v>
      </c>
      <c r="F117" s="33" t="s">
        <v>302</v>
      </c>
      <c r="G117" s="40"/>
      <c r="J117" s="35" t="s">
        <v>215</v>
      </c>
      <c r="K117" s="35" t="s">
        <v>215</v>
      </c>
      <c r="L117" s="36"/>
      <c r="N117" s="36">
        <v>8.92</v>
      </c>
      <c r="O117" s="36"/>
    </row>
    <row r="118" spans="1:15" s="35" customFormat="1" ht="25.05" customHeight="1" x14ac:dyDescent="0.4">
      <c r="A118" s="32" t="s">
        <v>2251</v>
      </c>
      <c r="B118" s="34" t="s">
        <v>2307</v>
      </c>
      <c r="C118" s="34" t="s">
        <v>346</v>
      </c>
      <c r="D118" s="34" t="s">
        <v>2308</v>
      </c>
      <c r="E118" s="34" t="s">
        <v>2309</v>
      </c>
      <c r="F118" s="33" t="s">
        <v>300</v>
      </c>
      <c r="G118" s="40"/>
      <c r="H118" s="35" t="s">
        <v>215</v>
      </c>
      <c r="I118" s="35" t="s">
        <v>215</v>
      </c>
      <c r="J118" s="35" t="s">
        <v>215</v>
      </c>
      <c r="K118" s="35" t="s">
        <v>215</v>
      </c>
      <c r="L118" s="36"/>
      <c r="N118" s="36"/>
      <c r="O118" s="36"/>
    </row>
    <row r="119" spans="1:15" s="35" customFormat="1" ht="25.05" customHeight="1" x14ac:dyDescent="0.4">
      <c r="A119" s="32" t="s">
        <v>2251</v>
      </c>
      <c r="B119" s="34" t="s">
        <v>2310</v>
      </c>
      <c r="C119" s="34" t="s">
        <v>340</v>
      </c>
      <c r="D119" s="34" t="s">
        <v>2311</v>
      </c>
      <c r="E119" s="34" t="s">
        <v>2312</v>
      </c>
      <c r="F119" s="33" t="s">
        <v>323</v>
      </c>
      <c r="G119" s="40"/>
      <c r="H119" s="35" t="s">
        <v>2008</v>
      </c>
      <c r="I119" s="35" t="s">
        <v>1976</v>
      </c>
      <c r="J119" s="35" t="s">
        <v>215</v>
      </c>
      <c r="K119" s="35" t="s">
        <v>215</v>
      </c>
      <c r="L119" s="36"/>
      <c r="N119" s="36">
        <v>6.59</v>
      </c>
      <c r="O119" s="36"/>
    </row>
    <row r="120" spans="1:15" s="35" customFormat="1" ht="25.05" customHeight="1" x14ac:dyDescent="0.4">
      <c r="A120" s="32" t="s">
        <v>2251</v>
      </c>
      <c r="B120" s="34" t="s">
        <v>2313</v>
      </c>
      <c r="C120" s="34" t="s">
        <v>340</v>
      </c>
      <c r="D120" s="34" t="s">
        <v>2314</v>
      </c>
      <c r="E120" s="34" t="s">
        <v>2315</v>
      </c>
      <c r="F120" s="33" t="s">
        <v>300</v>
      </c>
      <c r="G120" s="40"/>
      <c r="H120" s="35" t="s">
        <v>1975</v>
      </c>
      <c r="I120" s="35" t="s">
        <v>1976</v>
      </c>
      <c r="J120" s="35" t="s">
        <v>215</v>
      </c>
      <c r="K120" s="35" t="s">
        <v>215</v>
      </c>
      <c r="L120" s="36"/>
      <c r="N120" s="36">
        <v>6.05</v>
      </c>
      <c r="O120" s="36"/>
    </row>
    <row r="121" spans="1:15" s="35" customFormat="1" ht="25.05" customHeight="1" x14ac:dyDescent="0.4">
      <c r="A121" s="32" t="s">
        <v>2251</v>
      </c>
      <c r="B121" s="34" t="s">
        <v>2316</v>
      </c>
      <c r="C121" s="34" t="s">
        <v>340</v>
      </c>
      <c r="D121" s="34" t="s">
        <v>2317</v>
      </c>
      <c r="E121" s="34" t="s">
        <v>2318</v>
      </c>
      <c r="F121" s="33" t="s">
        <v>303</v>
      </c>
      <c r="G121" s="40"/>
      <c r="H121" s="35" t="s">
        <v>1975</v>
      </c>
      <c r="I121" s="35" t="s">
        <v>1976</v>
      </c>
      <c r="J121" s="35" t="s">
        <v>215</v>
      </c>
      <c r="K121" s="35" t="s">
        <v>215</v>
      </c>
      <c r="L121" s="36"/>
      <c r="N121" s="36">
        <v>6.3</v>
      </c>
      <c r="O121" s="36"/>
    </row>
    <row r="122" spans="1:15" s="35" customFormat="1" ht="25.05" customHeight="1" x14ac:dyDescent="0.4">
      <c r="A122" s="32" t="s">
        <v>2251</v>
      </c>
      <c r="B122" s="34" t="s">
        <v>2319</v>
      </c>
      <c r="C122" s="34" t="s">
        <v>340</v>
      </c>
      <c r="D122" s="34" t="s">
        <v>2320</v>
      </c>
      <c r="E122" s="34" t="s">
        <v>2321</v>
      </c>
      <c r="F122" s="33" t="s">
        <v>300</v>
      </c>
      <c r="G122" s="40"/>
      <c r="H122" s="35" t="s">
        <v>215</v>
      </c>
      <c r="I122" s="35" t="s">
        <v>215</v>
      </c>
      <c r="J122" s="35" t="s">
        <v>215</v>
      </c>
      <c r="K122" s="35" t="s">
        <v>215</v>
      </c>
      <c r="L122" s="36"/>
      <c r="N122" s="36"/>
      <c r="O122" s="36"/>
    </row>
    <row r="123" spans="1:15" s="35" customFormat="1" ht="25.05" customHeight="1" x14ac:dyDescent="0.4">
      <c r="A123" s="32" t="s">
        <v>2251</v>
      </c>
      <c r="B123" s="34" t="s">
        <v>2322</v>
      </c>
      <c r="C123" s="34" t="s">
        <v>340</v>
      </c>
      <c r="D123" s="34" t="s">
        <v>2323</v>
      </c>
      <c r="E123" s="34" t="s">
        <v>2324</v>
      </c>
      <c r="F123" s="33" t="s">
        <v>298</v>
      </c>
      <c r="G123" s="40"/>
      <c r="H123" s="35" t="s">
        <v>215</v>
      </c>
      <c r="I123" s="35" t="s">
        <v>215</v>
      </c>
      <c r="J123" s="35" t="s">
        <v>215</v>
      </c>
      <c r="K123" s="35" t="s">
        <v>215</v>
      </c>
      <c r="L123" s="36"/>
      <c r="N123" s="36"/>
      <c r="O123" s="36"/>
    </row>
    <row r="124" spans="1:15" s="35" customFormat="1" ht="25.05" customHeight="1" x14ac:dyDescent="0.4">
      <c r="A124" s="32" t="s">
        <v>2251</v>
      </c>
      <c r="B124" s="34" t="s">
        <v>418</v>
      </c>
      <c r="C124" s="34" t="s">
        <v>2325</v>
      </c>
      <c r="D124" s="34" t="s">
        <v>2326</v>
      </c>
      <c r="E124" s="34" t="s">
        <v>2327</v>
      </c>
      <c r="F124" s="33" t="s">
        <v>300</v>
      </c>
      <c r="G124" s="40"/>
      <c r="H124" s="35" t="s">
        <v>1975</v>
      </c>
      <c r="I124" s="35" t="s">
        <v>1976</v>
      </c>
      <c r="J124" s="35" t="s">
        <v>215</v>
      </c>
      <c r="K124" s="35" t="s">
        <v>215</v>
      </c>
      <c r="L124" s="36"/>
      <c r="N124" s="36">
        <v>20.49</v>
      </c>
      <c r="O124" s="36"/>
    </row>
    <row r="125" spans="1:15" s="35" customFormat="1" ht="25.05" customHeight="1" x14ac:dyDescent="0.4">
      <c r="A125" s="32" t="s">
        <v>2251</v>
      </c>
      <c r="B125" s="34" t="s">
        <v>418</v>
      </c>
      <c r="C125" s="34" t="s">
        <v>2328</v>
      </c>
      <c r="D125" s="34" t="s">
        <v>2329</v>
      </c>
      <c r="E125" s="34" t="s">
        <v>2330</v>
      </c>
      <c r="F125" s="33" t="s">
        <v>300</v>
      </c>
      <c r="G125" s="40"/>
      <c r="H125" s="35" t="s">
        <v>215</v>
      </c>
      <c r="I125" s="35" t="s">
        <v>215</v>
      </c>
      <c r="J125" s="35" t="s">
        <v>215</v>
      </c>
      <c r="K125" s="35" t="s">
        <v>215</v>
      </c>
      <c r="L125" s="36"/>
      <c r="N125" s="36"/>
      <c r="O125" s="36"/>
    </row>
    <row r="126" spans="1:15" s="35" customFormat="1" ht="25.05" customHeight="1" x14ac:dyDescent="0.4">
      <c r="A126" s="32" t="s">
        <v>2251</v>
      </c>
      <c r="B126" s="34" t="s">
        <v>1446</v>
      </c>
      <c r="C126" s="34" t="s">
        <v>346</v>
      </c>
      <c r="D126" s="34" t="s">
        <v>2331</v>
      </c>
      <c r="E126" s="34" t="s">
        <v>2332</v>
      </c>
      <c r="F126" s="33" t="s">
        <v>303</v>
      </c>
      <c r="G126" s="40"/>
      <c r="H126" s="35" t="s">
        <v>1984</v>
      </c>
      <c r="I126" s="35" t="s">
        <v>1976</v>
      </c>
      <c r="J126" s="35" t="s">
        <v>215</v>
      </c>
      <c r="K126" s="35" t="s">
        <v>215</v>
      </c>
      <c r="L126" s="36"/>
      <c r="N126" s="36">
        <v>10.89</v>
      </c>
      <c r="O126" s="36"/>
    </row>
    <row r="127" spans="1:15" s="35" customFormat="1" ht="25.05" customHeight="1" x14ac:dyDescent="0.4">
      <c r="A127" s="32" t="s">
        <v>2251</v>
      </c>
      <c r="B127" s="34" t="s">
        <v>1449</v>
      </c>
      <c r="C127" s="34" t="s">
        <v>363</v>
      </c>
      <c r="D127" s="34" t="s">
        <v>2333</v>
      </c>
      <c r="E127" s="34" t="s">
        <v>2334</v>
      </c>
      <c r="F127" s="33" t="s">
        <v>303</v>
      </c>
      <c r="G127" s="40"/>
      <c r="H127" s="35" t="s">
        <v>2008</v>
      </c>
      <c r="I127" s="35" t="s">
        <v>1976</v>
      </c>
      <c r="J127" s="35" t="s">
        <v>215</v>
      </c>
      <c r="K127" s="35" t="s">
        <v>215</v>
      </c>
      <c r="L127" s="36"/>
      <c r="N127" s="36">
        <v>2.76</v>
      </c>
      <c r="O127" s="36"/>
    </row>
    <row r="128" spans="1:15" s="35" customFormat="1" ht="25.05" customHeight="1" x14ac:dyDescent="0.4">
      <c r="A128" s="32" t="s">
        <v>2251</v>
      </c>
      <c r="B128" s="34" t="s">
        <v>544</v>
      </c>
      <c r="C128" s="34" t="s">
        <v>340</v>
      </c>
      <c r="D128" s="34" t="s">
        <v>2335</v>
      </c>
      <c r="E128" s="34" t="s">
        <v>2336</v>
      </c>
      <c r="F128" s="33" t="s">
        <v>300</v>
      </c>
      <c r="G128" s="40"/>
      <c r="H128" s="35" t="s">
        <v>2008</v>
      </c>
      <c r="I128" s="35" t="s">
        <v>1976</v>
      </c>
      <c r="J128" s="35" t="s">
        <v>215</v>
      </c>
      <c r="K128" s="35" t="s">
        <v>215</v>
      </c>
      <c r="L128" s="36"/>
      <c r="N128" s="36">
        <v>23.05</v>
      </c>
      <c r="O128" s="36"/>
    </row>
    <row r="129" spans="1:15" s="35" customFormat="1" ht="25.05" customHeight="1" x14ac:dyDescent="0.4">
      <c r="A129" s="32" t="s">
        <v>2251</v>
      </c>
      <c r="B129" s="34" t="s">
        <v>2337</v>
      </c>
      <c r="C129" s="34" t="s">
        <v>340</v>
      </c>
      <c r="D129" s="34" t="s">
        <v>2338</v>
      </c>
      <c r="E129" s="34" t="s">
        <v>2339</v>
      </c>
      <c r="F129" s="33" t="s">
        <v>298</v>
      </c>
      <c r="G129" s="40"/>
      <c r="H129" s="35" t="s">
        <v>1975</v>
      </c>
      <c r="I129" s="35" t="s">
        <v>1976</v>
      </c>
      <c r="J129" s="35" t="s">
        <v>215</v>
      </c>
      <c r="K129" s="35" t="s">
        <v>215</v>
      </c>
      <c r="L129" s="36"/>
      <c r="N129" s="36">
        <v>17.899999999999999</v>
      </c>
      <c r="O129" s="36"/>
    </row>
    <row r="130" spans="1:15" s="35" customFormat="1" ht="25.05" customHeight="1" x14ac:dyDescent="0.4">
      <c r="A130" s="32" t="s">
        <v>2340</v>
      </c>
      <c r="B130" s="34" t="s">
        <v>2341</v>
      </c>
      <c r="C130" s="34" t="s">
        <v>340</v>
      </c>
      <c r="D130" s="34" t="s">
        <v>2342</v>
      </c>
      <c r="E130" s="34" t="s">
        <v>2343</v>
      </c>
      <c r="F130" s="33" t="s">
        <v>302</v>
      </c>
      <c r="G130" s="40"/>
      <c r="H130" s="35" t="s">
        <v>2008</v>
      </c>
      <c r="I130" s="35" t="s">
        <v>1976</v>
      </c>
      <c r="J130" s="35" t="s">
        <v>215</v>
      </c>
      <c r="K130" s="35" t="s">
        <v>215</v>
      </c>
      <c r="L130" s="36"/>
      <c r="N130" s="36">
        <v>8.25</v>
      </c>
      <c r="O130" s="36"/>
    </row>
    <row r="131" spans="1:15" s="35" customFormat="1" ht="25.05" customHeight="1" x14ac:dyDescent="0.4">
      <c r="A131" s="32" t="s">
        <v>2340</v>
      </c>
      <c r="B131" s="34" t="s">
        <v>2344</v>
      </c>
      <c r="C131" s="34" t="s">
        <v>340</v>
      </c>
      <c r="D131" s="34" t="s">
        <v>2345</v>
      </c>
      <c r="E131" s="34" t="s">
        <v>2346</v>
      </c>
      <c r="F131" s="33" t="s">
        <v>302</v>
      </c>
      <c r="G131" s="40"/>
      <c r="H131" s="35" t="s">
        <v>1980</v>
      </c>
      <c r="I131" s="35" t="s">
        <v>1976</v>
      </c>
      <c r="J131" s="35" t="s">
        <v>215</v>
      </c>
      <c r="K131" s="35" t="s">
        <v>215</v>
      </c>
      <c r="L131" s="36"/>
      <c r="N131" s="36">
        <v>0.13</v>
      </c>
      <c r="O131" s="36"/>
    </row>
    <row r="132" spans="1:15" s="35" customFormat="1" ht="25.05" customHeight="1" x14ac:dyDescent="0.4">
      <c r="A132" s="32" t="s">
        <v>2340</v>
      </c>
      <c r="B132" s="34" t="s">
        <v>2347</v>
      </c>
      <c r="C132" s="34" t="s">
        <v>340</v>
      </c>
      <c r="D132" s="34" t="s">
        <v>2348</v>
      </c>
      <c r="E132" s="34" t="s">
        <v>2349</v>
      </c>
      <c r="F132" s="33" t="s">
        <v>303</v>
      </c>
      <c r="G132" s="40" t="s">
        <v>2350</v>
      </c>
      <c r="H132" s="35" t="s">
        <v>1984</v>
      </c>
      <c r="I132" s="35" t="s">
        <v>1976</v>
      </c>
      <c r="J132" s="35" t="s">
        <v>215</v>
      </c>
      <c r="K132" s="35" t="s">
        <v>215</v>
      </c>
      <c r="L132" s="36"/>
      <c r="N132" s="36"/>
      <c r="O132" s="36"/>
    </row>
    <row r="133" spans="1:15" s="35" customFormat="1" ht="25.05" customHeight="1" x14ac:dyDescent="0.4">
      <c r="A133" s="32" t="s">
        <v>2340</v>
      </c>
      <c r="B133" s="34" t="s">
        <v>2351</v>
      </c>
      <c r="C133" s="34" t="s">
        <v>340</v>
      </c>
      <c r="D133" s="34" t="s">
        <v>2352</v>
      </c>
      <c r="E133" s="34" t="s">
        <v>2353</v>
      </c>
      <c r="F133" s="33" t="s">
        <v>302</v>
      </c>
      <c r="G133" s="40"/>
      <c r="H133" s="35" t="s">
        <v>2008</v>
      </c>
      <c r="I133" s="35" t="s">
        <v>1976</v>
      </c>
      <c r="J133" s="35" t="s">
        <v>215</v>
      </c>
      <c r="K133" s="35" t="s">
        <v>215</v>
      </c>
      <c r="L133" s="36"/>
      <c r="N133" s="36">
        <v>3.37</v>
      </c>
      <c r="O133" s="36"/>
    </row>
    <row r="134" spans="1:15" s="35" customFormat="1" ht="25.05" customHeight="1" x14ac:dyDescent="0.4">
      <c r="A134" s="32" t="s">
        <v>2340</v>
      </c>
      <c r="B134" s="34" t="s">
        <v>1985</v>
      </c>
      <c r="C134" s="34" t="s">
        <v>340</v>
      </c>
      <c r="D134" s="34" t="s">
        <v>1986</v>
      </c>
      <c r="E134" s="34" t="s">
        <v>2354</v>
      </c>
      <c r="F134" s="33" t="s">
        <v>323</v>
      </c>
      <c r="G134" s="40"/>
      <c r="H134" s="35" t="s">
        <v>1984</v>
      </c>
      <c r="I134" s="35" t="s">
        <v>1976</v>
      </c>
      <c r="J134" s="35" t="s">
        <v>215</v>
      </c>
      <c r="K134" s="35" t="s">
        <v>215</v>
      </c>
      <c r="L134" s="36"/>
      <c r="N134" s="36">
        <v>5.98</v>
      </c>
      <c r="O134" s="36"/>
    </row>
    <row r="135" spans="1:15" s="35" customFormat="1" ht="25.05" customHeight="1" x14ac:dyDescent="0.4">
      <c r="A135" s="32" t="s">
        <v>2340</v>
      </c>
      <c r="B135" s="34" t="s">
        <v>2355</v>
      </c>
      <c r="C135" s="34" t="s">
        <v>340</v>
      </c>
      <c r="D135" s="34" t="s">
        <v>2356</v>
      </c>
      <c r="E135" s="34" t="s">
        <v>2357</v>
      </c>
      <c r="F135" s="33" t="s">
        <v>323</v>
      </c>
      <c r="G135" s="40"/>
      <c r="J135" s="35" t="s">
        <v>215</v>
      </c>
      <c r="K135" s="35" t="s">
        <v>215</v>
      </c>
      <c r="L135" s="36"/>
      <c r="N135" s="36">
        <v>20.77</v>
      </c>
      <c r="O135" s="36"/>
    </row>
    <row r="136" spans="1:15" s="35" customFormat="1" ht="25.05" customHeight="1" x14ac:dyDescent="0.4">
      <c r="A136" s="32" t="s">
        <v>2340</v>
      </c>
      <c r="B136" s="34" t="s">
        <v>2358</v>
      </c>
      <c r="C136" s="34" t="s">
        <v>340</v>
      </c>
      <c r="D136" s="34" t="s">
        <v>2359</v>
      </c>
      <c r="E136" s="34" t="s">
        <v>2360</v>
      </c>
      <c r="F136" s="33" t="s">
        <v>298</v>
      </c>
      <c r="G136" s="40"/>
      <c r="H136" s="35" t="s">
        <v>2008</v>
      </c>
      <c r="I136" s="35" t="s">
        <v>1976</v>
      </c>
      <c r="J136" s="35" t="s">
        <v>215</v>
      </c>
      <c r="K136" s="35" t="s">
        <v>215</v>
      </c>
      <c r="L136" s="36"/>
      <c r="N136" s="36">
        <v>3.12</v>
      </c>
      <c r="O136" s="36"/>
    </row>
    <row r="137" spans="1:15" s="35" customFormat="1" ht="25.05" customHeight="1" x14ac:dyDescent="0.4">
      <c r="A137" s="32" t="s">
        <v>2340</v>
      </c>
      <c r="B137" s="34" t="s">
        <v>2361</v>
      </c>
      <c r="C137" s="34" t="s">
        <v>340</v>
      </c>
      <c r="D137" s="34" t="s">
        <v>2362</v>
      </c>
      <c r="E137" s="34" t="s">
        <v>2363</v>
      </c>
      <c r="F137" s="33" t="s">
        <v>303</v>
      </c>
      <c r="G137" s="40"/>
      <c r="H137" s="35" t="s">
        <v>2008</v>
      </c>
      <c r="I137" s="35" t="s">
        <v>1976</v>
      </c>
      <c r="J137" s="35" t="s">
        <v>215</v>
      </c>
      <c r="K137" s="35" t="s">
        <v>215</v>
      </c>
      <c r="L137" s="36"/>
      <c r="N137" s="36">
        <v>5.0999999999999996</v>
      </c>
      <c r="O137" s="36"/>
    </row>
    <row r="138" spans="1:15" s="35" customFormat="1" ht="25.05" customHeight="1" x14ac:dyDescent="0.4">
      <c r="A138" s="32" t="s">
        <v>2340</v>
      </c>
      <c r="B138" s="34" t="s">
        <v>2364</v>
      </c>
      <c r="C138" s="34" t="s">
        <v>340</v>
      </c>
      <c r="D138" s="34" t="s">
        <v>2365</v>
      </c>
      <c r="E138" s="34" t="s">
        <v>2366</v>
      </c>
      <c r="F138" s="33" t="s">
        <v>298</v>
      </c>
      <c r="G138" s="40"/>
      <c r="H138" s="35" t="s">
        <v>1984</v>
      </c>
      <c r="I138" s="35" t="s">
        <v>1976</v>
      </c>
      <c r="J138" s="35" t="s">
        <v>215</v>
      </c>
      <c r="K138" s="35" t="s">
        <v>215</v>
      </c>
      <c r="L138" s="36"/>
      <c r="N138" s="36">
        <v>3.53</v>
      </c>
      <c r="O138" s="36"/>
    </row>
    <row r="139" spans="1:15" s="35" customFormat="1" ht="25.05" customHeight="1" x14ac:dyDescent="0.4">
      <c r="A139" s="32" t="s">
        <v>2340</v>
      </c>
      <c r="B139" s="34" t="s">
        <v>2367</v>
      </c>
      <c r="C139" s="34" t="s">
        <v>340</v>
      </c>
      <c r="D139" s="34" t="s">
        <v>2368</v>
      </c>
      <c r="E139" s="34" t="s">
        <v>2369</v>
      </c>
      <c r="F139" s="33" t="s">
        <v>300</v>
      </c>
      <c r="G139" s="40"/>
      <c r="H139" s="35" t="s">
        <v>2008</v>
      </c>
      <c r="I139" s="35" t="s">
        <v>1976</v>
      </c>
      <c r="J139" s="35" t="s">
        <v>215</v>
      </c>
      <c r="K139" s="35" t="s">
        <v>215</v>
      </c>
      <c r="L139" s="36"/>
      <c r="N139" s="36">
        <v>35.89</v>
      </c>
      <c r="O139" s="36"/>
    </row>
    <row r="140" spans="1:15" s="35" customFormat="1" ht="25.05" customHeight="1" x14ac:dyDescent="0.4">
      <c r="A140" s="32" t="s">
        <v>2340</v>
      </c>
      <c r="B140" s="34" t="s">
        <v>2367</v>
      </c>
      <c r="C140" s="34" t="s">
        <v>346</v>
      </c>
      <c r="D140" s="34" t="s">
        <v>2370</v>
      </c>
      <c r="E140" s="34" t="s">
        <v>2371</v>
      </c>
      <c r="F140" s="33" t="s">
        <v>300</v>
      </c>
      <c r="G140" s="40"/>
      <c r="H140" s="35" t="s">
        <v>2008</v>
      </c>
      <c r="I140" s="35" t="s">
        <v>1976</v>
      </c>
      <c r="J140" s="35" t="s">
        <v>215</v>
      </c>
      <c r="K140" s="35" t="s">
        <v>215</v>
      </c>
      <c r="L140" s="36"/>
      <c r="N140" s="36">
        <v>1.07</v>
      </c>
      <c r="O140" s="36"/>
    </row>
    <row r="141" spans="1:15" s="35" customFormat="1" ht="25.05" customHeight="1" x14ac:dyDescent="0.4">
      <c r="A141" s="32" t="s">
        <v>2340</v>
      </c>
      <c r="B141" s="34" t="s">
        <v>2372</v>
      </c>
      <c r="C141" s="34" t="s">
        <v>340</v>
      </c>
      <c r="D141" s="34" t="s">
        <v>2373</v>
      </c>
      <c r="E141" s="34" t="s">
        <v>2374</v>
      </c>
      <c r="F141" s="33" t="s">
        <v>300</v>
      </c>
      <c r="G141" s="40"/>
      <c r="H141" s="35" t="s">
        <v>1975</v>
      </c>
      <c r="I141" s="35" t="s">
        <v>1976</v>
      </c>
      <c r="J141" s="35" t="s">
        <v>215</v>
      </c>
      <c r="K141" s="35" t="s">
        <v>215</v>
      </c>
      <c r="L141" s="36"/>
      <c r="N141" s="36">
        <v>169.52</v>
      </c>
      <c r="O141" s="36"/>
    </row>
    <row r="142" spans="1:15" s="35" customFormat="1" ht="25.05" customHeight="1" x14ac:dyDescent="0.4">
      <c r="A142" s="32" t="s">
        <v>2340</v>
      </c>
      <c r="B142" s="34" t="s">
        <v>2375</v>
      </c>
      <c r="C142" s="34" t="s">
        <v>340</v>
      </c>
      <c r="D142" s="34" t="s">
        <v>2376</v>
      </c>
      <c r="E142" s="34" t="s">
        <v>2377</v>
      </c>
      <c r="F142" s="33" t="s">
        <v>300</v>
      </c>
      <c r="G142" s="40" t="s">
        <v>2378</v>
      </c>
      <c r="H142" s="35" t="s">
        <v>1980</v>
      </c>
      <c r="I142" s="35" t="s">
        <v>1976</v>
      </c>
      <c r="J142" s="35" t="s">
        <v>215</v>
      </c>
      <c r="K142" s="35" t="s">
        <v>215</v>
      </c>
      <c r="L142" s="36"/>
      <c r="N142" s="36">
        <v>13.59</v>
      </c>
      <c r="O142" s="36"/>
    </row>
    <row r="143" spans="1:15" s="35" customFormat="1" ht="25.05" customHeight="1" x14ac:dyDescent="0.4">
      <c r="A143" s="32" t="s">
        <v>2340</v>
      </c>
      <c r="B143" s="34" t="s">
        <v>2379</v>
      </c>
      <c r="C143" s="34" t="s">
        <v>340</v>
      </c>
      <c r="D143" s="34" t="s">
        <v>2380</v>
      </c>
      <c r="E143" s="34" t="s">
        <v>2381</v>
      </c>
      <c r="F143" s="33" t="s">
        <v>297</v>
      </c>
      <c r="G143" s="40"/>
      <c r="H143" s="35" t="s">
        <v>2008</v>
      </c>
      <c r="I143" s="35" t="s">
        <v>1981</v>
      </c>
      <c r="J143" s="35" t="s">
        <v>215</v>
      </c>
      <c r="K143" s="35" t="s">
        <v>215</v>
      </c>
      <c r="L143" s="36"/>
      <c r="N143" s="36">
        <v>3.95</v>
      </c>
      <c r="O143" s="36"/>
    </row>
    <row r="144" spans="1:15" s="35" customFormat="1" ht="25.05" customHeight="1" x14ac:dyDescent="0.4">
      <c r="A144" s="32" t="s">
        <v>2340</v>
      </c>
      <c r="B144" s="34" t="s">
        <v>1353</v>
      </c>
      <c r="C144" s="34" t="s">
        <v>360</v>
      </c>
      <c r="D144" s="34" t="s">
        <v>2382</v>
      </c>
      <c r="E144" s="34" t="s">
        <v>2383</v>
      </c>
      <c r="F144" s="33" t="s">
        <v>300</v>
      </c>
      <c r="G144" s="40"/>
      <c r="H144" s="35" t="s">
        <v>215</v>
      </c>
      <c r="I144" s="35" t="s">
        <v>215</v>
      </c>
      <c r="J144" s="35" t="s">
        <v>215</v>
      </c>
      <c r="K144" s="35" t="s">
        <v>215</v>
      </c>
      <c r="L144" s="36"/>
      <c r="N144" s="36"/>
      <c r="O144" s="36"/>
    </row>
    <row r="145" spans="1:15" s="35" customFormat="1" ht="25.05" customHeight="1" x14ac:dyDescent="0.4">
      <c r="A145" s="32" t="s">
        <v>2340</v>
      </c>
      <c r="B145" s="34" t="s">
        <v>2384</v>
      </c>
      <c r="C145" s="34" t="s">
        <v>340</v>
      </c>
      <c r="D145" s="34" t="s">
        <v>2385</v>
      </c>
      <c r="E145" s="34" t="s">
        <v>2386</v>
      </c>
      <c r="F145" s="33" t="s">
        <v>300</v>
      </c>
      <c r="G145" s="40" t="s">
        <v>2387</v>
      </c>
      <c r="H145" s="35" t="s">
        <v>1980</v>
      </c>
      <c r="I145" s="35" t="s">
        <v>1976</v>
      </c>
      <c r="J145" s="35" t="s">
        <v>215</v>
      </c>
      <c r="K145" s="35" t="s">
        <v>215</v>
      </c>
      <c r="L145" s="36"/>
      <c r="N145" s="36">
        <v>15.24</v>
      </c>
      <c r="O145" s="36"/>
    </row>
    <row r="146" spans="1:15" s="35" customFormat="1" ht="25.05" customHeight="1" x14ac:dyDescent="0.4">
      <c r="A146" s="32" t="s">
        <v>2340</v>
      </c>
      <c r="B146" s="34" t="s">
        <v>2388</v>
      </c>
      <c r="C146" s="34" t="s">
        <v>340</v>
      </c>
      <c r="D146" s="34" t="s">
        <v>2389</v>
      </c>
      <c r="E146" s="34" t="s">
        <v>2390</v>
      </c>
      <c r="F146" s="33" t="s">
        <v>300</v>
      </c>
      <c r="G146" s="40"/>
      <c r="H146" s="35" t="s">
        <v>215</v>
      </c>
      <c r="I146" s="35" t="s">
        <v>215</v>
      </c>
      <c r="J146" s="35" t="s">
        <v>215</v>
      </c>
      <c r="K146" s="35" t="s">
        <v>215</v>
      </c>
      <c r="L146" s="36"/>
      <c r="N146" s="36"/>
      <c r="O146" s="36"/>
    </row>
    <row r="147" spans="1:15" s="35" customFormat="1" ht="25.05" customHeight="1" x14ac:dyDescent="0.4">
      <c r="A147" s="32" t="s">
        <v>2340</v>
      </c>
      <c r="B147" s="34" t="s">
        <v>2391</v>
      </c>
      <c r="C147" s="34" t="s">
        <v>340</v>
      </c>
      <c r="D147" s="34" t="s">
        <v>2392</v>
      </c>
      <c r="E147" s="34" t="s">
        <v>2393</v>
      </c>
      <c r="F147" s="33" t="s">
        <v>299</v>
      </c>
      <c r="G147" s="40"/>
      <c r="H147" s="35" t="s">
        <v>215</v>
      </c>
      <c r="I147" s="35" t="s">
        <v>215</v>
      </c>
      <c r="J147" s="35" t="s">
        <v>215</v>
      </c>
      <c r="K147" s="35" t="s">
        <v>215</v>
      </c>
      <c r="L147" s="36"/>
      <c r="N147" s="36"/>
      <c r="O147" s="36"/>
    </row>
    <row r="148" spans="1:15" s="35" customFormat="1" ht="25.05" customHeight="1" x14ac:dyDescent="0.4">
      <c r="A148" s="32" t="s">
        <v>2340</v>
      </c>
      <c r="B148" s="34" t="s">
        <v>2394</v>
      </c>
      <c r="C148" s="34" t="s">
        <v>340</v>
      </c>
      <c r="D148" s="34" t="s">
        <v>2395</v>
      </c>
      <c r="E148" s="34" t="s">
        <v>2396</v>
      </c>
      <c r="F148" s="33" t="s">
        <v>297</v>
      </c>
      <c r="G148" s="40"/>
      <c r="H148" s="35" t="s">
        <v>215</v>
      </c>
      <c r="I148" s="35" t="s">
        <v>215</v>
      </c>
      <c r="J148" s="35" t="s">
        <v>215</v>
      </c>
      <c r="K148" s="35" t="s">
        <v>215</v>
      </c>
      <c r="L148" s="36"/>
      <c r="N148" s="36"/>
      <c r="O148" s="36"/>
    </row>
    <row r="149" spans="1:15" s="35" customFormat="1" ht="25.05" customHeight="1" x14ac:dyDescent="0.4">
      <c r="A149" s="32" t="s">
        <v>2340</v>
      </c>
      <c r="B149" s="34" t="s">
        <v>2157</v>
      </c>
      <c r="C149" s="34" t="s">
        <v>368</v>
      </c>
      <c r="D149" s="34" t="s">
        <v>2397</v>
      </c>
      <c r="E149" s="34" t="s">
        <v>2398</v>
      </c>
      <c r="F149" s="33" t="s">
        <v>297</v>
      </c>
      <c r="G149" s="40"/>
      <c r="H149" s="35" t="s">
        <v>2008</v>
      </c>
      <c r="I149" s="35" t="s">
        <v>1976</v>
      </c>
      <c r="J149" s="35" t="s">
        <v>215</v>
      </c>
      <c r="K149" s="35" t="s">
        <v>215</v>
      </c>
      <c r="L149" s="36"/>
      <c r="N149" s="36">
        <v>9.8699999999999992</v>
      </c>
      <c r="O149" s="36"/>
    </row>
    <row r="150" spans="1:15" s="35" customFormat="1" ht="25.05" customHeight="1" x14ac:dyDescent="0.4">
      <c r="A150" s="32" t="s">
        <v>2340</v>
      </c>
      <c r="B150" s="34" t="s">
        <v>2062</v>
      </c>
      <c r="C150" s="34" t="s">
        <v>2399</v>
      </c>
      <c r="D150" s="34" t="s">
        <v>2400</v>
      </c>
      <c r="E150" s="34" t="s">
        <v>2401</v>
      </c>
      <c r="F150" s="33" t="s">
        <v>300</v>
      </c>
      <c r="G150" s="40"/>
      <c r="H150" s="35" t="s">
        <v>2008</v>
      </c>
      <c r="I150" s="35" t="s">
        <v>1976</v>
      </c>
      <c r="J150" s="35" t="s">
        <v>215</v>
      </c>
      <c r="K150" s="35" t="s">
        <v>215</v>
      </c>
      <c r="L150" s="36"/>
      <c r="N150" s="36">
        <v>17.2</v>
      </c>
      <c r="O150" s="36"/>
    </row>
    <row r="151" spans="1:15" s="35" customFormat="1" ht="25.05" customHeight="1" x14ac:dyDescent="0.4">
      <c r="A151" s="32" t="s">
        <v>2340</v>
      </c>
      <c r="B151" s="34" t="s">
        <v>1629</v>
      </c>
      <c r="C151" s="34" t="s">
        <v>342</v>
      </c>
      <c r="D151" s="34" t="s">
        <v>2074</v>
      </c>
      <c r="E151" s="34" t="s">
        <v>2075</v>
      </c>
      <c r="F151" s="33" t="s">
        <v>301</v>
      </c>
      <c r="G151" s="40"/>
      <c r="H151" s="35" t="s">
        <v>215</v>
      </c>
      <c r="I151" s="35" t="s">
        <v>215</v>
      </c>
      <c r="J151" s="35" t="s">
        <v>215</v>
      </c>
      <c r="K151" s="35" t="s">
        <v>215</v>
      </c>
      <c r="L151" s="36"/>
      <c r="N151" s="36">
        <v>12.27</v>
      </c>
      <c r="O151" s="36"/>
    </row>
    <row r="152" spans="1:15" s="35" customFormat="1" ht="25.05" customHeight="1" x14ac:dyDescent="0.4">
      <c r="A152" s="32" t="s">
        <v>664</v>
      </c>
      <c r="B152" s="34" t="s">
        <v>1334</v>
      </c>
      <c r="C152" s="34" t="s">
        <v>340</v>
      </c>
      <c r="D152" s="34" t="s">
        <v>1236</v>
      </c>
      <c r="E152" s="34" t="s">
        <v>1335</v>
      </c>
      <c r="F152" s="33" t="s">
        <v>303</v>
      </c>
      <c r="G152" s="40"/>
      <c r="H152" s="35" t="s">
        <v>215</v>
      </c>
      <c r="I152" s="35" t="s">
        <v>215</v>
      </c>
      <c r="J152" s="35" t="s">
        <v>215</v>
      </c>
      <c r="K152" s="35" t="s">
        <v>215</v>
      </c>
      <c r="L152" s="36"/>
      <c r="N152" s="36"/>
      <c r="O152" s="36"/>
    </row>
    <row r="153" spans="1:15" s="35" customFormat="1" ht="25.05" customHeight="1" x14ac:dyDescent="0.4">
      <c r="A153" s="32" t="s">
        <v>664</v>
      </c>
      <c r="B153" s="34" t="s">
        <v>1336</v>
      </c>
      <c r="C153" s="34" t="s">
        <v>340</v>
      </c>
      <c r="D153" s="34" t="s">
        <v>1271</v>
      </c>
      <c r="E153" s="34" t="s">
        <v>1337</v>
      </c>
      <c r="F153" s="33" t="s">
        <v>300</v>
      </c>
      <c r="G153" s="40"/>
      <c r="J153" s="35" t="s">
        <v>215</v>
      </c>
      <c r="K153" s="35" t="s">
        <v>215</v>
      </c>
      <c r="L153" s="36"/>
      <c r="N153" s="36">
        <v>18.57</v>
      </c>
      <c r="O153" s="36"/>
    </row>
    <row r="154" spans="1:15" s="35" customFormat="1" ht="25.05" customHeight="1" x14ac:dyDescent="0.4">
      <c r="A154" s="32" t="s">
        <v>664</v>
      </c>
      <c r="B154" s="34" t="s">
        <v>1338</v>
      </c>
      <c r="C154" s="34" t="s">
        <v>340</v>
      </c>
      <c r="D154" s="34" t="s">
        <v>1276</v>
      </c>
      <c r="E154" s="34" t="s">
        <v>1339</v>
      </c>
      <c r="F154" s="33" t="s">
        <v>300</v>
      </c>
      <c r="G154" s="40" t="s">
        <v>1164</v>
      </c>
      <c r="J154" s="35" t="s">
        <v>215</v>
      </c>
      <c r="K154" s="35" t="s">
        <v>215</v>
      </c>
      <c r="L154" s="36"/>
      <c r="N154" s="36"/>
      <c r="O154" s="36"/>
    </row>
    <row r="155" spans="1:15" s="35" customFormat="1" ht="25.05" customHeight="1" x14ac:dyDescent="0.4">
      <c r="A155" s="32" t="s">
        <v>664</v>
      </c>
      <c r="B155" s="34" t="s">
        <v>1340</v>
      </c>
      <c r="C155" s="34" t="s">
        <v>340</v>
      </c>
      <c r="D155" s="34" t="s">
        <v>860</v>
      </c>
      <c r="E155" s="34" t="s">
        <v>1341</v>
      </c>
      <c r="F155" s="33" t="s">
        <v>302</v>
      </c>
      <c r="G155" s="40"/>
      <c r="J155" s="35" t="s">
        <v>215</v>
      </c>
      <c r="K155" s="35" t="s">
        <v>215</v>
      </c>
      <c r="L155" s="36"/>
      <c r="N155" s="36">
        <v>3.53</v>
      </c>
      <c r="O155" s="36"/>
    </row>
    <row r="156" spans="1:15" s="35" customFormat="1" ht="25.05" customHeight="1" x14ac:dyDescent="0.4">
      <c r="A156" s="32" t="s">
        <v>664</v>
      </c>
      <c r="B156" s="34" t="s">
        <v>537</v>
      </c>
      <c r="C156" s="34" t="s">
        <v>532</v>
      </c>
      <c r="D156" s="34" t="s">
        <v>1259</v>
      </c>
      <c r="E156" s="34" t="s">
        <v>1342</v>
      </c>
      <c r="F156" s="33" t="s">
        <v>323</v>
      </c>
      <c r="G156" s="40"/>
      <c r="H156" s="35" t="s">
        <v>215</v>
      </c>
      <c r="I156" s="35" t="s">
        <v>215</v>
      </c>
      <c r="J156" s="35" t="s">
        <v>215</v>
      </c>
      <c r="K156" s="35" t="s">
        <v>215</v>
      </c>
      <c r="L156" s="36"/>
      <c r="N156" s="36"/>
      <c r="O156" s="36"/>
    </row>
    <row r="157" spans="1:15" s="35" customFormat="1" ht="25.05" customHeight="1" x14ac:dyDescent="0.4">
      <c r="A157" s="32" t="s">
        <v>664</v>
      </c>
      <c r="B157" s="34" t="s">
        <v>1343</v>
      </c>
      <c r="C157" s="34" t="s">
        <v>340</v>
      </c>
      <c r="D157" s="34" t="s">
        <v>1311</v>
      </c>
      <c r="E157" s="34" t="s">
        <v>1344</v>
      </c>
      <c r="F157" s="33" t="s">
        <v>297</v>
      </c>
      <c r="G157" s="40"/>
      <c r="J157" s="35" t="s">
        <v>215</v>
      </c>
      <c r="K157" s="35" t="s">
        <v>215</v>
      </c>
      <c r="L157" s="36"/>
      <c r="N157" s="36">
        <v>0.13</v>
      </c>
      <c r="O157" s="36"/>
    </row>
    <row r="158" spans="1:15" s="35" customFormat="1" ht="25.05" customHeight="1" x14ac:dyDescent="0.4">
      <c r="A158" s="32" t="s">
        <v>664</v>
      </c>
      <c r="B158" s="34" t="s">
        <v>1345</v>
      </c>
      <c r="C158" s="34" t="s">
        <v>340</v>
      </c>
      <c r="D158" s="34" t="s">
        <v>859</v>
      </c>
      <c r="E158" s="34" t="s">
        <v>1346</v>
      </c>
      <c r="F158" s="33" t="s">
        <v>323</v>
      </c>
      <c r="G158" s="40"/>
      <c r="J158" s="35" t="s">
        <v>215</v>
      </c>
      <c r="K158" s="35" t="s">
        <v>215</v>
      </c>
      <c r="L158" s="36"/>
      <c r="N158" s="36">
        <v>14.2</v>
      </c>
      <c r="O158" s="36"/>
    </row>
    <row r="159" spans="1:15" s="35" customFormat="1" ht="25.05" customHeight="1" x14ac:dyDescent="0.4">
      <c r="A159" s="32" t="s">
        <v>664</v>
      </c>
      <c r="B159" s="34" t="s">
        <v>1347</v>
      </c>
      <c r="C159" s="34" t="s">
        <v>340</v>
      </c>
      <c r="D159" s="34" t="s">
        <v>1157</v>
      </c>
      <c r="E159" s="34" t="s">
        <v>1348</v>
      </c>
      <c r="F159" s="33" t="s">
        <v>300</v>
      </c>
      <c r="G159" s="40" t="s">
        <v>1160</v>
      </c>
      <c r="J159" s="35" t="s">
        <v>215</v>
      </c>
      <c r="K159" s="35" t="s">
        <v>215</v>
      </c>
      <c r="L159" s="36"/>
      <c r="N159" s="36">
        <v>2.25</v>
      </c>
      <c r="O159" s="36"/>
    </row>
    <row r="160" spans="1:15" s="35" customFormat="1" ht="25.05" customHeight="1" x14ac:dyDescent="0.4">
      <c r="A160" s="32" t="s">
        <v>664</v>
      </c>
      <c r="B160" s="34" t="s">
        <v>1349</v>
      </c>
      <c r="C160" s="34" t="s">
        <v>342</v>
      </c>
      <c r="D160" s="34" t="s">
        <v>1213</v>
      </c>
      <c r="E160" s="34" t="s">
        <v>1350</v>
      </c>
      <c r="F160" s="33" t="s">
        <v>323</v>
      </c>
      <c r="G160" s="40"/>
      <c r="J160" s="35" t="s">
        <v>215</v>
      </c>
      <c r="K160" s="35" t="s">
        <v>215</v>
      </c>
      <c r="L160" s="36"/>
      <c r="N160" s="36">
        <v>3.22</v>
      </c>
      <c r="O160" s="36"/>
    </row>
    <row r="161" spans="1:15" s="35" customFormat="1" ht="25.05" customHeight="1" x14ac:dyDescent="0.4">
      <c r="A161" s="32" t="s">
        <v>664</v>
      </c>
      <c r="B161" s="34" t="s">
        <v>1351</v>
      </c>
      <c r="C161" s="34" t="s">
        <v>340</v>
      </c>
      <c r="D161" s="34" t="s">
        <v>1173</v>
      </c>
      <c r="E161" s="34" t="s">
        <v>1352</v>
      </c>
      <c r="F161" s="33" t="s">
        <v>323</v>
      </c>
      <c r="G161" s="40"/>
      <c r="J161" s="35" t="s">
        <v>215</v>
      </c>
      <c r="K161" s="35" t="s">
        <v>215</v>
      </c>
      <c r="L161" s="36"/>
      <c r="N161" s="36">
        <v>4.58</v>
      </c>
      <c r="O161" s="36"/>
    </row>
    <row r="162" spans="1:15" s="35" customFormat="1" ht="25.05" customHeight="1" x14ac:dyDescent="0.4">
      <c r="A162" s="32" t="s">
        <v>664</v>
      </c>
      <c r="B162" s="34" t="s">
        <v>1353</v>
      </c>
      <c r="C162" s="34" t="s">
        <v>347</v>
      </c>
      <c r="D162" s="34" t="s">
        <v>665</v>
      </c>
      <c r="E162" s="34" t="s">
        <v>1354</v>
      </c>
      <c r="F162" s="33" t="s">
        <v>300</v>
      </c>
      <c r="G162" s="40" t="s">
        <v>1258</v>
      </c>
      <c r="H162" s="35" t="s">
        <v>215</v>
      </c>
      <c r="I162" s="35" t="s">
        <v>215</v>
      </c>
      <c r="J162" s="35" t="s">
        <v>215</v>
      </c>
      <c r="K162" s="35" t="s">
        <v>215</v>
      </c>
      <c r="L162" s="36"/>
      <c r="N162" s="36"/>
      <c r="O162" s="36"/>
    </row>
    <row r="163" spans="1:15" s="35" customFormat="1" ht="25.05" customHeight="1" x14ac:dyDescent="0.4">
      <c r="A163" s="32" t="s">
        <v>664</v>
      </c>
      <c r="B163" s="34" t="s">
        <v>1355</v>
      </c>
      <c r="C163" s="34" t="s">
        <v>340</v>
      </c>
      <c r="D163" s="34" t="s">
        <v>519</v>
      </c>
      <c r="E163" s="34" t="s">
        <v>1356</v>
      </c>
      <c r="F163" s="33" t="s">
        <v>302</v>
      </c>
      <c r="G163" s="40"/>
      <c r="J163" s="35" t="s">
        <v>215</v>
      </c>
      <c r="K163" s="35" t="s">
        <v>215</v>
      </c>
      <c r="L163" s="36"/>
      <c r="N163" s="36">
        <v>4.4000000000000004</v>
      </c>
      <c r="O163" s="36"/>
    </row>
    <row r="164" spans="1:15" s="35" customFormat="1" ht="25.05" customHeight="1" x14ac:dyDescent="0.4">
      <c r="A164" s="32" t="s">
        <v>664</v>
      </c>
      <c r="B164" s="34" t="s">
        <v>1357</v>
      </c>
      <c r="C164" s="34" t="s">
        <v>340</v>
      </c>
      <c r="D164" s="34" t="s">
        <v>675</v>
      </c>
      <c r="E164" s="34" t="s">
        <v>1358</v>
      </c>
      <c r="F164" s="33" t="s">
        <v>300</v>
      </c>
      <c r="G164" s="40"/>
      <c r="J164" s="35" t="s">
        <v>215</v>
      </c>
      <c r="K164" s="35" t="s">
        <v>215</v>
      </c>
      <c r="L164" s="36"/>
      <c r="N164" s="36">
        <v>4.4800000000000004</v>
      </c>
      <c r="O164" s="36"/>
    </row>
    <row r="165" spans="1:15" s="35" customFormat="1" ht="25.05" customHeight="1" x14ac:dyDescent="0.4">
      <c r="A165" s="32" t="s">
        <v>664</v>
      </c>
      <c r="B165" s="34" t="s">
        <v>1359</v>
      </c>
      <c r="C165" s="34" t="s">
        <v>340</v>
      </c>
      <c r="D165" s="34" t="s">
        <v>1210</v>
      </c>
      <c r="E165" s="34" t="s">
        <v>1360</v>
      </c>
      <c r="F165" s="33" t="s">
        <v>303</v>
      </c>
      <c r="G165" s="40"/>
      <c r="J165" s="35" t="s">
        <v>215</v>
      </c>
      <c r="K165" s="35" t="s">
        <v>215</v>
      </c>
      <c r="L165" s="36"/>
      <c r="N165" s="36">
        <v>9.8000000000000007</v>
      </c>
      <c r="O165" s="36"/>
    </row>
    <row r="166" spans="1:15" s="35" customFormat="1" ht="25.05" customHeight="1" x14ac:dyDescent="0.4">
      <c r="A166" s="32" t="s">
        <v>664</v>
      </c>
      <c r="B166" s="34" t="s">
        <v>1361</v>
      </c>
      <c r="C166" s="34" t="s">
        <v>340</v>
      </c>
      <c r="D166" s="34" t="s">
        <v>685</v>
      </c>
      <c r="E166" s="34" t="s">
        <v>1362</v>
      </c>
      <c r="F166" s="33" t="s">
        <v>303</v>
      </c>
      <c r="G166" s="40"/>
      <c r="J166" s="35" t="s">
        <v>215</v>
      </c>
      <c r="K166" s="35" t="s">
        <v>215</v>
      </c>
      <c r="L166" s="36"/>
      <c r="N166" s="36">
        <v>4.6399999999999997</v>
      </c>
      <c r="O166" s="36"/>
    </row>
    <row r="167" spans="1:15" s="35" customFormat="1" ht="25.05" customHeight="1" x14ac:dyDescent="0.4">
      <c r="A167" s="32" t="s">
        <v>664</v>
      </c>
      <c r="B167" s="34" t="s">
        <v>1363</v>
      </c>
      <c r="C167" s="34" t="s">
        <v>340</v>
      </c>
      <c r="D167" s="34" t="s">
        <v>861</v>
      </c>
      <c r="E167" s="34" t="s">
        <v>1364</v>
      </c>
      <c r="F167" s="33" t="s">
        <v>298</v>
      </c>
      <c r="G167" s="40"/>
      <c r="H167" s="35" t="s">
        <v>215</v>
      </c>
      <c r="I167" s="35" t="s">
        <v>215</v>
      </c>
      <c r="J167" s="35" t="s">
        <v>215</v>
      </c>
      <c r="K167" s="35" t="s">
        <v>215</v>
      </c>
      <c r="L167" s="36"/>
      <c r="N167" s="36"/>
      <c r="O167" s="36"/>
    </row>
    <row r="168" spans="1:15" s="35" customFormat="1" ht="25.05" customHeight="1" x14ac:dyDescent="0.4">
      <c r="A168" s="32" t="s">
        <v>664</v>
      </c>
      <c r="B168" s="34" t="s">
        <v>1365</v>
      </c>
      <c r="C168" s="34" t="s">
        <v>340</v>
      </c>
      <c r="D168" s="34" t="s">
        <v>1229</v>
      </c>
      <c r="E168" s="34" t="s">
        <v>1366</v>
      </c>
      <c r="F168" s="33" t="s">
        <v>300</v>
      </c>
      <c r="G168" s="40"/>
      <c r="H168" s="35" t="s">
        <v>215</v>
      </c>
      <c r="I168" s="35" t="s">
        <v>215</v>
      </c>
      <c r="J168" s="35" t="s">
        <v>215</v>
      </c>
      <c r="K168" s="35" t="s">
        <v>215</v>
      </c>
      <c r="L168" s="36"/>
      <c r="N168" s="36"/>
      <c r="O168" s="36"/>
    </row>
    <row r="169" spans="1:15" s="35" customFormat="1" ht="25.05" customHeight="1" x14ac:dyDescent="0.4">
      <c r="A169" s="32" t="s">
        <v>664</v>
      </c>
      <c r="B169" s="34" t="s">
        <v>1367</v>
      </c>
      <c r="C169" s="34" t="s">
        <v>340</v>
      </c>
      <c r="D169" s="34" t="s">
        <v>697</v>
      </c>
      <c r="E169" s="34" t="s">
        <v>1368</v>
      </c>
      <c r="F169" s="33" t="s">
        <v>300</v>
      </c>
      <c r="G169" s="40" t="s">
        <v>1234</v>
      </c>
      <c r="H169" s="35" t="s">
        <v>215</v>
      </c>
      <c r="I169" s="35" t="s">
        <v>215</v>
      </c>
      <c r="J169" s="35" t="s">
        <v>215</v>
      </c>
      <c r="K169" s="35" t="s">
        <v>215</v>
      </c>
      <c r="L169" s="36"/>
      <c r="N169" s="36"/>
      <c r="O169" s="36"/>
    </row>
    <row r="170" spans="1:15" s="35" customFormat="1" ht="25.05" customHeight="1" x14ac:dyDescent="0.4">
      <c r="A170" s="32" t="s">
        <v>664</v>
      </c>
      <c r="B170" s="34" t="s">
        <v>1369</v>
      </c>
      <c r="C170" s="34" t="s">
        <v>340</v>
      </c>
      <c r="D170" s="34" t="s">
        <v>703</v>
      </c>
      <c r="E170" s="34" t="s">
        <v>1370</v>
      </c>
      <c r="F170" s="33" t="s">
        <v>300</v>
      </c>
      <c r="G170" s="40"/>
      <c r="H170" s="35" t="s">
        <v>215</v>
      </c>
      <c r="I170" s="35" t="s">
        <v>215</v>
      </c>
      <c r="J170" s="35" t="s">
        <v>215</v>
      </c>
      <c r="K170" s="35" t="s">
        <v>215</v>
      </c>
      <c r="L170" s="36"/>
      <c r="N170" s="36"/>
      <c r="O170" s="36"/>
    </row>
    <row r="171" spans="1:15" s="35" customFormat="1" ht="25.05" customHeight="1" x14ac:dyDescent="0.4">
      <c r="A171" s="32" t="s">
        <v>664</v>
      </c>
      <c r="B171" s="34" t="s">
        <v>418</v>
      </c>
      <c r="C171" s="34" t="s">
        <v>533</v>
      </c>
      <c r="D171" s="34" t="s">
        <v>707</v>
      </c>
      <c r="E171" s="34" t="s">
        <v>1371</v>
      </c>
      <c r="F171" s="33" t="s">
        <v>300</v>
      </c>
      <c r="G171" s="40"/>
      <c r="J171" s="35" t="s">
        <v>215</v>
      </c>
      <c r="K171" s="35" t="s">
        <v>215</v>
      </c>
      <c r="L171" s="36"/>
      <c r="N171" s="36">
        <v>13.86</v>
      </c>
      <c r="O171" s="36"/>
    </row>
    <row r="172" spans="1:15" s="35" customFormat="1" ht="25.05" customHeight="1" x14ac:dyDescent="0.4">
      <c r="A172" s="33" t="s">
        <v>664</v>
      </c>
      <c r="B172" s="34" t="s">
        <v>418</v>
      </c>
      <c r="C172" s="34" t="s">
        <v>541</v>
      </c>
      <c r="D172" s="34" t="s">
        <v>709</v>
      </c>
      <c r="E172" s="34" t="s">
        <v>1372</v>
      </c>
      <c r="F172" s="33" t="s">
        <v>300</v>
      </c>
      <c r="G172" s="40"/>
      <c r="J172" s="35" t="s">
        <v>215</v>
      </c>
      <c r="K172" s="35" t="s">
        <v>215</v>
      </c>
      <c r="N172" s="36">
        <v>12.05</v>
      </c>
      <c r="O172" s="36"/>
    </row>
    <row r="173" spans="1:15" s="35" customFormat="1" ht="25.05" customHeight="1" x14ac:dyDescent="0.4">
      <c r="A173" s="33" t="s">
        <v>664</v>
      </c>
      <c r="B173" s="34" t="s">
        <v>418</v>
      </c>
      <c r="C173" s="34" t="s">
        <v>531</v>
      </c>
      <c r="D173" s="34" t="s">
        <v>711</v>
      </c>
      <c r="E173" s="34" t="s">
        <v>1373</v>
      </c>
      <c r="F173" s="33" t="s">
        <v>300</v>
      </c>
      <c r="G173" s="40"/>
      <c r="J173" s="35" t="s">
        <v>215</v>
      </c>
      <c r="K173" s="35" t="s">
        <v>215</v>
      </c>
      <c r="N173" s="36">
        <v>18.39</v>
      </c>
      <c r="O173" s="36"/>
    </row>
    <row r="174" spans="1:15" s="35" customFormat="1" ht="25.05" customHeight="1" x14ac:dyDescent="0.4">
      <c r="A174" s="33" t="s">
        <v>664</v>
      </c>
      <c r="B174" s="34" t="s">
        <v>418</v>
      </c>
      <c r="C174" s="34" t="s">
        <v>542</v>
      </c>
      <c r="D174" s="34" t="s">
        <v>719</v>
      </c>
      <c r="E174" s="34" t="s">
        <v>1374</v>
      </c>
      <c r="F174" s="33" t="s">
        <v>300</v>
      </c>
      <c r="G174" s="40"/>
      <c r="J174" s="35" t="s">
        <v>215</v>
      </c>
      <c r="K174" s="35" t="s">
        <v>215</v>
      </c>
      <c r="N174" s="36">
        <v>5.98</v>
      </c>
      <c r="O174" s="36"/>
    </row>
    <row r="175" spans="1:15" s="35" customFormat="1" ht="25.05" customHeight="1" x14ac:dyDescent="0.4">
      <c r="A175" s="33" t="s">
        <v>664</v>
      </c>
      <c r="B175" s="34" t="s">
        <v>418</v>
      </c>
      <c r="C175" s="34" t="s">
        <v>1375</v>
      </c>
      <c r="D175" s="34" t="s">
        <v>727</v>
      </c>
      <c r="E175" s="34" t="s">
        <v>1376</v>
      </c>
      <c r="F175" s="33" t="s">
        <v>300</v>
      </c>
      <c r="G175" s="40"/>
      <c r="H175" s="35" t="s">
        <v>215</v>
      </c>
      <c r="I175" s="35" t="s">
        <v>215</v>
      </c>
      <c r="J175" s="35" t="s">
        <v>215</v>
      </c>
      <c r="K175" s="35" t="s">
        <v>215</v>
      </c>
      <c r="N175" s="36"/>
      <c r="O175" s="36"/>
    </row>
    <row r="176" spans="1:15" s="35" customFormat="1" ht="25.05" customHeight="1" x14ac:dyDescent="0.4">
      <c r="A176" s="33" t="s">
        <v>664</v>
      </c>
      <c r="B176" s="34" t="s">
        <v>418</v>
      </c>
      <c r="C176" s="34" t="s">
        <v>1377</v>
      </c>
      <c r="D176" s="34" t="s">
        <v>612</v>
      </c>
      <c r="E176" s="34" t="s">
        <v>1378</v>
      </c>
      <c r="F176" s="33" t="s">
        <v>300</v>
      </c>
      <c r="G176" s="40" t="s">
        <v>1025</v>
      </c>
      <c r="H176" s="35" t="s">
        <v>215</v>
      </c>
      <c r="I176" s="35" t="s">
        <v>215</v>
      </c>
      <c r="J176" s="35" t="s">
        <v>215</v>
      </c>
      <c r="K176" s="35" t="s">
        <v>215</v>
      </c>
      <c r="N176" s="36"/>
      <c r="O176" s="36"/>
    </row>
    <row r="177" spans="1:15" s="35" customFormat="1" ht="25.05" customHeight="1" x14ac:dyDescent="0.4">
      <c r="A177" s="33" t="s">
        <v>664</v>
      </c>
      <c r="B177" s="34" t="s">
        <v>418</v>
      </c>
      <c r="C177" s="34" t="s">
        <v>1379</v>
      </c>
      <c r="D177" s="34" t="s">
        <v>729</v>
      </c>
      <c r="E177" s="34" t="s">
        <v>1380</v>
      </c>
      <c r="F177" s="33" t="s">
        <v>300</v>
      </c>
      <c r="G177" s="40"/>
      <c r="H177" s="35" t="s">
        <v>215</v>
      </c>
      <c r="I177" s="35" t="s">
        <v>215</v>
      </c>
      <c r="J177" s="35" t="s">
        <v>215</v>
      </c>
      <c r="K177" s="35" t="s">
        <v>215</v>
      </c>
      <c r="N177" s="36"/>
      <c r="O177" s="36"/>
    </row>
    <row r="178" spans="1:15" s="35" customFormat="1" ht="25.05" customHeight="1" x14ac:dyDescent="0.4">
      <c r="A178" s="33" t="s">
        <v>664</v>
      </c>
      <c r="B178" s="34" t="s">
        <v>371</v>
      </c>
      <c r="C178" s="34" t="s">
        <v>393</v>
      </c>
      <c r="D178" s="34" t="s">
        <v>737</v>
      </c>
      <c r="E178" s="34" t="s">
        <v>1381</v>
      </c>
      <c r="F178" s="33" t="s">
        <v>300</v>
      </c>
      <c r="G178" s="40"/>
      <c r="J178" s="35" t="s">
        <v>215</v>
      </c>
      <c r="K178" s="35" t="s">
        <v>215</v>
      </c>
      <c r="N178" s="36">
        <v>37.520000000000003</v>
      </c>
      <c r="O178" s="36"/>
    </row>
    <row r="179" spans="1:15" s="35" customFormat="1" ht="25.05" customHeight="1" x14ac:dyDescent="0.4">
      <c r="A179" s="33" t="s">
        <v>664</v>
      </c>
      <c r="B179" s="34" t="s">
        <v>1382</v>
      </c>
      <c r="C179" s="34" t="s">
        <v>360</v>
      </c>
      <c r="D179" s="34" t="s">
        <v>745</v>
      </c>
      <c r="E179" s="34" t="s">
        <v>1383</v>
      </c>
      <c r="F179" s="33" t="s">
        <v>323</v>
      </c>
      <c r="G179" s="40"/>
      <c r="J179" s="35" t="s">
        <v>215</v>
      </c>
      <c r="K179" s="35" t="s">
        <v>215</v>
      </c>
      <c r="N179" s="36">
        <v>11.17</v>
      </c>
      <c r="O179" s="36"/>
    </row>
    <row r="180" spans="1:15" s="35" customFormat="1" ht="25.05" customHeight="1" x14ac:dyDescent="0.4">
      <c r="A180" s="33" t="s">
        <v>664</v>
      </c>
      <c r="B180" s="34" t="s">
        <v>1384</v>
      </c>
      <c r="C180" s="34" t="s">
        <v>346</v>
      </c>
      <c r="D180" s="34" t="s">
        <v>749</v>
      </c>
      <c r="E180" s="34" t="s">
        <v>1385</v>
      </c>
      <c r="F180" s="33" t="s">
        <v>300</v>
      </c>
      <c r="G180" s="40"/>
      <c r="H180" s="35" t="s">
        <v>215</v>
      </c>
      <c r="I180" s="35" t="s">
        <v>215</v>
      </c>
      <c r="J180" s="35" t="s">
        <v>215</v>
      </c>
      <c r="K180" s="35" t="s">
        <v>215</v>
      </c>
      <c r="N180" s="36"/>
      <c r="O180" s="36"/>
    </row>
    <row r="181" spans="1:15" s="35" customFormat="1" ht="25.05" customHeight="1" x14ac:dyDescent="0.4">
      <c r="A181" s="33" t="s">
        <v>664</v>
      </c>
      <c r="B181" s="34" t="s">
        <v>1384</v>
      </c>
      <c r="C181" s="34" t="s">
        <v>360</v>
      </c>
      <c r="D181" s="34" t="s">
        <v>751</v>
      </c>
      <c r="E181" s="34" t="s">
        <v>1386</v>
      </c>
      <c r="F181" s="33" t="s">
        <v>323</v>
      </c>
      <c r="G181" s="40"/>
      <c r="H181" s="35" t="s">
        <v>215</v>
      </c>
      <c r="I181" s="35" t="s">
        <v>215</v>
      </c>
      <c r="J181" s="35" t="s">
        <v>215</v>
      </c>
      <c r="K181" s="35" t="s">
        <v>215</v>
      </c>
      <c r="N181" s="36"/>
      <c r="O181" s="36"/>
    </row>
    <row r="182" spans="1:15" s="35" customFormat="1" ht="25.05" customHeight="1" x14ac:dyDescent="0.4">
      <c r="A182" s="35" t="s">
        <v>664</v>
      </c>
      <c r="B182" s="35" t="s">
        <v>1384</v>
      </c>
      <c r="C182" s="35" t="s">
        <v>347</v>
      </c>
      <c r="D182" s="35" t="s">
        <v>753</v>
      </c>
      <c r="E182" s="35" t="s">
        <v>1387</v>
      </c>
      <c r="F182" s="35" t="s">
        <v>323</v>
      </c>
      <c r="H182" s="35" t="s">
        <v>215</v>
      </c>
      <c r="I182" s="35" t="s">
        <v>215</v>
      </c>
      <c r="J182" s="35" t="s">
        <v>215</v>
      </c>
      <c r="K182" s="35" t="s">
        <v>215</v>
      </c>
    </row>
    <row r="183" spans="1:15" s="35" customFormat="1" ht="25.05" customHeight="1" x14ac:dyDescent="0.4">
      <c r="A183" s="35" t="s">
        <v>664</v>
      </c>
      <c r="B183" s="35" t="s">
        <v>1388</v>
      </c>
      <c r="C183" s="35" t="s">
        <v>346</v>
      </c>
      <c r="D183" s="35" t="s">
        <v>1331</v>
      </c>
      <c r="E183" s="35" t="s">
        <v>1389</v>
      </c>
      <c r="F183" s="35" t="s">
        <v>323</v>
      </c>
      <c r="J183" s="35" t="s">
        <v>215</v>
      </c>
      <c r="K183" s="35" t="s">
        <v>215</v>
      </c>
      <c r="N183" s="35">
        <v>6.08</v>
      </c>
    </row>
    <row r="184" spans="1:15" s="35" customFormat="1" ht="25.05" customHeight="1" x14ac:dyDescent="0.4">
      <c r="A184" s="35" t="s">
        <v>664</v>
      </c>
      <c r="B184" s="35" t="s">
        <v>1388</v>
      </c>
      <c r="C184" s="35" t="s">
        <v>363</v>
      </c>
      <c r="D184" s="35" t="s">
        <v>1304</v>
      </c>
      <c r="E184" s="35" t="s">
        <v>1390</v>
      </c>
      <c r="F184" s="35" t="s">
        <v>323</v>
      </c>
      <c r="J184" s="35" t="s">
        <v>215</v>
      </c>
      <c r="K184" s="35" t="s">
        <v>215</v>
      </c>
      <c r="N184" s="35">
        <v>1.75</v>
      </c>
    </row>
    <row r="185" spans="1:15" s="35" customFormat="1" ht="25.05" customHeight="1" x14ac:dyDescent="0.4">
      <c r="A185" s="35" t="s">
        <v>630</v>
      </c>
      <c r="B185" s="35" t="s">
        <v>1391</v>
      </c>
      <c r="C185" s="35" t="s">
        <v>340</v>
      </c>
      <c r="D185" s="35" t="s">
        <v>594</v>
      </c>
      <c r="E185" s="35" t="s">
        <v>1392</v>
      </c>
      <c r="F185" s="35" t="s">
        <v>300</v>
      </c>
      <c r="J185" s="35" t="s">
        <v>215</v>
      </c>
      <c r="K185" s="35" t="s">
        <v>215</v>
      </c>
      <c r="N185" s="35">
        <v>5.4</v>
      </c>
    </row>
    <row r="186" spans="1:15" s="35" customFormat="1" ht="25.05" customHeight="1" x14ac:dyDescent="0.4">
      <c r="A186" s="35" t="s">
        <v>630</v>
      </c>
      <c r="B186" s="35" t="s">
        <v>1393</v>
      </c>
      <c r="C186" s="35" t="s">
        <v>340</v>
      </c>
      <c r="D186" s="35" t="s">
        <v>592</v>
      </c>
      <c r="E186" s="35" t="s">
        <v>1394</v>
      </c>
      <c r="F186" s="35" t="s">
        <v>300</v>
      </c>
      <c r="H186" s="35" t="s">
        <v>1975</v>
      </c>
      <c r="I186" s="35" t="s">
        <v>1976</v>
      </c>
      <c r="J186" s="35" t="s">
        <v>215</v>
      </c>
      <c r="K186" s="35" t="s">
        <v>215</v>
      </c>
      <c r="N186" s="35">
        <v>9.85</v>
      </c>
    </row>
    <row r="187" spans="1:15" s="35" customFormat="1" ht="25.05" customHeight="1" x14ac:dyDescent="0.4">
      <c r="A187" s="35" t="s">
        <v>630</v>
      </c>
      <c r="B187" s="35" t="s">
        <v>1395</v>
      </c>
      <c r="C187" s="35" t="s">
        <v>340</v>
      </c>
      <c r="D187" s="35" t="s">
        <v>873</v>
      </c>
      <c r="E187" s="35" t="s">
        <v>1396</v>
      </c>
      <c r="F187" s="35" t="s">
        <v>298</v>
      </c>
      <c r="G187" s="35" t="s">
        <v>1009</v>
      </c>
      <c r="H187" s="35" t="s">
        <v>2008</v>
      </c>
      <c r="I187" s="35" t="s">
        <v>1976</v>
      </c>
      <c r="J187" s="35" t="s">
        <v>215</v>
      </c>
      <c r="K187" s="35" t="s">
        <v>215</v>
      </c>
    </row>
    <row r="188" spans="1:15" s="35" customFormat="1" ht="25.05" customHeight="1" x14ac:dyDescent="0.4">
      <c r="A188" s="35" t="s">
        <v>630</v>
      </c>
      <c r="B188" s="35" t="s">
        <v>1397</v>
      </c>
      <c r="C188" s="35" t="s">
        <v>340</v>
      </c>
      <c r="D188" s="35" t="s">
        <v>618</v>
      </c>
      <c r="E188" s="35" t="s">
        <v>1398</v>
      </c>
      <c r="F188" s="35" t="s">
        <v>300</v>
      </c>
      <c r="J188" s="35" t="s">
        <v>215</v>
      </c>
      <c r="K188" s="35" t="s">
        <v>215</v>
      </c>
      <c r="N188" s="35">
        <v>3.92</v>
      </c>
    </row>
    <row r="189" spans="1:15" s="35" customFormat="1" ht="25.05" customHeight="1" x14ac:dyDescent="0.4">
      <c r="A189" s="35" t="s">
        <v>630</v>
      </c>
      <c r="B189" s="35" t="s">
        <v>1399</v>
      </c>
      <c r="C189" s="35" t="s">
        <v>340</v>
      </c>
      <c r="D189" s="35" t="s">
        <v>867</v>
      </c>
      <c r="E189" s="35" t="s">
        <v>1400</v>
      </c>
      <c r="F189" s="35" t="s">
        <v>323</v>
      </c>
      <c r="J189" s="35" t="s">
        <v>215</v>
      </c>
      <c r="K189" s="35" t="s">
        <v>215</v>
      </c>
      <c r="N189" s="35">
        <v>1.9</v>
      </c>
    </row>
    <row r="190" spans="1:15" s="35" customFormat="1" ht="25.05" customHeight="1" x14ac:dyDescent="0.4">
      <c r="A190" s="35" t="s">
        <v>630</v>
      </c>
      <c r="B190" s="35" t="s">
        <v>1401</v>
      </c>
      <c r="C190" s="35" t="s">
        <v>340</v>
      </c>
      <c r="D190" s="35" t="s">
        <v>622</v>
      </c>
      <c r="E190" s="35" t="s">
        <v>1402</v>
      </c>
      <c r="F190" s="35" t="s">
        <v>300</v>
      </c>
      <c r="J190" s="35" t="s">
        <v>215</v>
      </c>
      <c r="K190" s="35" t="s">
        <v>215</v>
      </c>
      <c r="N190" s="35">
        <v>9.15</v>
      </c>
    </row>
    <row r="191" spans="1:15" s="35" customFormat="1" ht="25.05" customHeight="1" x14ac:dyDescent="0.4">
      <c r="A191" s="35" t="s">
        <v>630</v>
      </c>
      <c r="B191" s="35" t="s">
        <v>1403</v>
      </c>
      <c r="C191" s="35" t="s">
        <v>340</v>
      </c>
      <c r="D191" s="35" t="s">
        <v>872</v>
      </c>
      <c r="E191" s="35" t="s">
        <v>1404</v>
      </c>
      <c r="F191" s="35" t="s">
        <v>303</v>
      </c>
      <c r="J191" s="35" t="s">
        <v>215</v>
      </c>
      <c r="K191" s="35" t="s">
        <v>215</v>
      </c>
      <c r="N191" s="35">
        <v>5.13</v>
      </c>
    </row>
    <row r="192" spans="1:15" s="35" customFormat="1" ht="25.05" customHeight="1" x14ac:dyDescent="0.4">
      <c r="A192" s="35" t="s">
        <v>630</v>
      </c>
      <c r="B192" s="35" t="s">
        <v>1405</v>
      </c>
      <c r="C192" s="35" t="s">
        <v>340</v>
      </c>
      <c r="D192" s="35" t="s">
        <v>624</v>
      </c>
      <c r="E192" s="35" t="s">
        <v>1406</v>
      </c>
      <c r="F192" s="35" t="s">
        <v>300</v>
      </c>
      <c r="J192" s="35" t="s">
        <v>215</v>
      </c>
      <c r="K192" s="35" t="s">
        <v>215</v>
      </c>
      <c r="N192" s="35">
        <v>12.73</v>
      </c>
    </row>
    <row r="193" spans="1:14" s="35" customFormat="1" ht="25.05" customHeight="1" x14ac:dyDescent="0.4">
      <c r="A193" s="35" t="s">
        <v>630</v>
      </c>
      <c r="B193" s="35" t="s">
        <v>1407</v>
      </c>
      <c r="C193" s="35" t="s">
        <v>340</v>
      </c>
      <c r="D193" s="35" t="s">
        <v>626</v>
      </c>
      <c r="E193" s="35" t="s">
        <v>1408</v>
      </c>
      <c r="F193" s="35" t="s">
        <v>300</v>
      </c>
      <c r="J193" s="35" t="s">
        <v>215</v>
      </c>
      <c r="K193" s="35" t="s">
        <v>215</v>
      </c>
      <c r="N193" s="35">
        <v>2.82</v>
      </c>
    </row>
    <row r="194" spans="1:14" s="35" customFormat="1" ht="25.05" customHeight="1" x14ac:dyDescent="0.4">
      <c r="A194" s="35" t="s">
        <v>630</v>
      </c>
      <c r="B194" s="35" t="s">
        <v>1409</v>
      </c>
      <c r="C194" s="35" t="s">
        <v>340</v>
      </c>
      <c r="D194" s="35" t="s">
        <v>648</v>
      </c>
      <c r="E194" s="35" t="s">
        <v>1410</v>
      </c>
      <c r="F194" s="35" t="s">
        <v>298</v>
      </c>
      <c r="J194" s="35" t="s">
        <v>215</v>
      </c>
      <c r="K194" s="35" t="s">
        <v>215</v>
      </c>
      <c r="N194" s="35">
        <v>9.32</v>
      </c>
    </row>
    <row r="195" spans="1:14" s="35" customFormat="1" ht="25.05" customHeight="1" x14ac:dyDescent="0.4">
      <c r="A195" s="35" t="s">
        <v>630</v>
      </c>
      <c r="B195" s="35" t="s">
        <v>1411</v>
      </c>
      <c r="C195" s="35" t="s">
        <v>340</v>
      </c>
      <c r="D195" s="35" t="s">
        <v>652</v>
      </c>
      <c r="E195" s="35" t="s">
        <v>1412</v>
      </c>
      <c r="F195" s="35" t="s">
        <v>303</v>
      </c>
      <c r="J195" s="35" t="s">
        <v>215</v>
      </c>
      <c r="K195" s="35" t="s">
        <v>215</v>
      </c>
      <c r="N195" s="35">
        <v>16.64</v>
      </c>
    </row>
    <row r="196" spans="1:14" s="35" customFormat="1" ht="25.05" customHeight="1" x14ac:dyDescent="0.4">
      <c r="A196" s="35" t="s">
        <v>630</v>
      </c>
      <c r="B196" s="35" t="s">
        <v>1413</v>
      </c>
      <c r="C196" s="35" t="s">
        <v>340</v>
      </c>
      <c r="D196" s="35" t="s">
        <v>755</v>
      </c>
      <c r="E196" s="35" t="s">
        <v>1414</v>
      </c>
      <c r="F196" s="35" t="s">
        <v>300</v>
      </c>
      <c r="J196" s="35" t="s">
        <v>215</v>
      </c>
      <c r="K196" s="35" t="s">
        <v>215</v>
      </c>
      <c r="N196" s="35">
        <v>3.65</v>
      </c>
    </row>
    <row r="197" spans="1:14" s="35" customFormat="1" ht="25.05" customHeight="1" x14ac:dyDescent="0.4">
      <c r="A197" s="35" t="s">
        <v>630</v>
      </c>
      <c r="B197" s="35" t="s">
        <v>1415</v>
      </c>
      <c r="C197" s="35" t="s">
        <v>340</v>
      </c>
      <c r="D197" s="35" t="s">
        <v>596</v>
      </c>
      <c r="E197" s="35" t="s">
        <v>1416</v>
      </c>
      <c r="F197" s="35" t="s">
        <v>300</v>
      </c>
      <c r="H197" s="35" t="s">
        <v>2008</v>
      </c>
      <c r="I197" s="35" t="s">
        <v>1976</v>
      </c>
      <c r="J197" s="35" t="s">
        <v>215</v>
      </c>
      <c r="K197" s="35" t="s">
        <v>215</v>
      </c>
      <c r="N197" s="35">
        <v>7.32</v>
      </c>
    </row>
    <row r="198" spans="1:14" s="35" customFormat="1" ht="25.05" customHeight="1" x14ac:dyDescent="0.4">
      <c r="A198" s="35" t="s">
        <v>630</v>
      </c>
      <c r="B198" s="35" t="s">
        <v>1349</v>
      </c>
      <c r="C198" s="35" t="s">
        <v>360</v>
      </c>
      <c r="D198" s="35" t="s">
        <v>866</v>
      </c>
      <c r="E198" s="35" t="s">
        <v>1417</v>
      </c>
      <c r="F198" s="35" t="s">
        <v>303</v>
      </c>
      <c r="J198" s="35" t="s">
        <v>215</v>
      </c>
      <c r="K198" s="35" t="s">
        <v>215</v>
      </c>
      <c r="N198" s="35">
        <v>10.6</v>
      </c>
    </row>
    <row r="199" spans="1:14" s="35" customFormat="1" ht="25.05" customHeight="1" x14ac:dyDescent="0.4">
      <c r="A199" s="35" t="s">
        <v>630</v>
      </c>
      <c r="B199" s="35" t="s">
        <v>1418</v>
      </c>
      <c r="C199" s="35" t="s">
        <v>340</v>
      </c>
      <c r="D199" s="35" t="s">
        <v>590</v>
      </c>
      <c r="E199" s="35" t="s">
        <v>1419</v>
      </c>
      <c r="F199" s="35" t="s">
        <v>300</v>
      </c>
      <c r="J199" s="35" t="s">
        <v>215</v>
      </c>
      <c r="K199" s="35" t="s">
        <v>215</v>
      </c>
      <c r="N199" s="35">
        <v>9.58</v>
      </c>
    </row>
    <row r="200" spans="1:14" s="35" customFormat="1" ht="25.05" customHeight="1" x14ac:dyDescent="0.4">
      <c r="A200" s="35" t="s">
        <v>630</v>
      </c>
      <c r="B200" s="35" t="s">
        <v>1420</v>
      </c>
      <c r="C200" s="35" t="s">
        <v>340</v>
      </c>
      <c r="D200" s="35" t="s">
        <v>616</v>
      </c>
      <c r="E200" s="35" t="s">
        <v>1421</v>
      </c>
      <c r="F200" s="35" t="s">
        <v>300</v>
      </c>
      <c r="J200" s="35" t="s">
        <v>215</v>
      </c>
      <c r="K200" s="35" t="s">
        <v>215</v>
      </c>
      <c r="N200" s="35">
        <v>6.03</v>
      </c>
    </row>
    <row r="201" spans="1:14" s="35" customFormat="1" ht="25.05" customHeight="1" x14ac:dyDescent="0.4">
      <c r="A201" s="35" t="s">
        <v>630</v>
      </c>
      <c r="B201" s="35" t="s">
        <v>1422</v>
      </c>
      <c r="C201" s="35" t="s">
        <v>340</v>
      </c>
      <c r="D201" s="35" t="s">
        <v>869</v>
      </c>
      <c r="E201" s="35" t="s">
        <v>1423</v>
      </c>
      <c r="F201" s="35" t="s">
        <v>323</v>
      </c>
      <c r="G201" s="35" t="s">
        <v>943</v>
      </c>
      <c r="J201" s="35" t="s">
        <v>215</v>
      </c>
      <c r="K201" s="35" t="s">
        <v>215</v>
      </c>
    </row>
    <row r="202" spans="1:14" s="35" customFormat="1" ht="25.05" customHeight="1" x14ac:dyDescent="0.4">
      <c r="A202" s="35" t="s">
        <v>630</v>
      </c>
      <c r="B202" s="35" t="s">
        <v>1424</v>
      </c>
      <c r="C202" s="35" t="s">
        <v>340</v>
      </c>
      <c r="D202" s="35" t="s">
        <v>756</v>
      </c>
      <c r="E202" s="35" t="s">
        <v>1425</v>
      </c>
      <c r="F202" s="35" t="s">
        <v>300</v>
      </c>
      <c r="J202" s="35" t="s">
        <v>215</v>
      </c>
      <c r="K202" s="35" t="s">
        <v>215</v>
      </c>
      <c r="N202" s="35">
        <v>4.6900000000000004</v>
      </c>
    </row>
    <row r="203" spans="1:14" s="35" customFormat="1" ht="25.05" customHeight="1" x14ac:dyDescent="0.4">
      <c r="A203" s="35" t="s">
        <v>630</v>
      </c>
      <c r="B203" s="35" t="s">
        <v>1424</v>
      </c>
      <c r="C203" s="35" t="s">
        <v>346</v>
      </c>
      <c r="D203" s="35" t="s">
        <v>604</v>
      </c>
      <c r="E203" s="35" t="s">
        <v>1426</v>
      </c>
      <c r="F203" s="35" t="s">
        <v>300</v>
      </c>
      <c r="J203" s="35" t="s">
        <v>215</v>
      </c>
      <c r="K203" s="35" t="s">
        <v>215</v>
      </c>
      <c r="N203" s="35">
        <v>7.16</v>
      </c>
    </row>
    <row r="204" spans="1:14" s="35" customFormat="1" ht="25.05" customHeight="1" x14ac:dyDescent="0.4">
      <c r="A204" s="35" t="s">
        <v>630</v>
      </c>
      <c r="B204" s="35" t="s">
        <v>1427</v>
      </c>
      <c r="C204" s="35" t="s">
        <v>340</v>
      </c>
      <c r="D204" s="35" t="s">
        <v>880</v>
      </c>
      <c r="E204" s="35" t="s">
        <v>1428</v>
      </c>
      <c r="F204" s="35" t="s">
        <v>302</v>
      </c>
      <c r="J204" s="35" t="s">
        <v>215</v>
      </c>
      <c r="K204" s="35" t="s">
        <v>215</v>
      </c>
      <c r="N204" s="35">
        <v>10.029999999999999</v>
      </c>
    </row>
    <row r="205" spans="1:14" s="35" customFormat="1" ht="25.05" customHeight="1" x14ac:dyDescent="0.4">
      <c r="A205" s="35" t="s">
        <v>630</v>
      </c>
      <c r="B205" s="35" t="s">
        <v>1429</v>
      </c>
      <c r="C205" s="35" t="s">
        <v>340</v>
      </c>
      <c r="D205" s="35" t="s">
        <v>681</v>
      </c>
      <c r="E205" s="35" t="s">
        <v>1430</v>
      </c>
      <c r="F205" s="35" t="s">
        <v>302</v>
      </c>
      <c r="J205" s="35" t="s">
        <v>215</v>
      </c>
      <c r="K205" s="35" t="s">
        <v>215</v>
      </c>
      <c r="N205" s="35">
        <v>5.76</v>
      </c>
    </row>
    <row r="206" spans="1:14" s="35" customFormat="1" ht="25.05" customHeight="1" x14ac:dyDescent="0.4">
      <c r="A206" s="35" t="s">
        <v>630</v>
      </c>
      <c r="B206" s="35" t="s">
        <v>1431</v>
      </c>
      <c r="C206" s="35" t="s">
        <v>340</v>
      </c>
      <c r="D206" s="35" t="s">
        <v>687</v>
      </c>
      <c r="E206" s="35" t="s">
        <v>1432</v>
      </c>
      <c r="F206" s="35" t="s">
        <v>303</v>
      </c>
      <c r="J206" s="35" t="s">
        <v>215</v>
      </c>
      <c r="K206" s="35" t="s">
        <v>215</v>
      </c>
      <c r="N206" s="35">
        <v>10.69</v>
      </c>
    </row>
    <row r="207" spans="1:14" s="35" customFormat="1" ht="25.05" customHeight="1" x14ac:dyDescent="0.4">
      <c r="A207" s="35" t="s">
        <v>630</v>
      </c>
      <c r="B207" s="35" t="s">
        <v>1433</v>
      </c>
      <c r="C207" s="35" t="s">
        <v>340</v>
      </c>
      <c r="D207" s="35" t="s">
        <v>879</v>
      </c>
      <c r="E207" s="35" t="s">
        <v>1434</v>
      </c>
      <c r="F207" s="35" t="s">
        <v>298</v>
      </c>
      <c r="H207" s="35" t="s">
        <v>215</v>
      </c>
      <c r="I207" s="35" t="s">
        <v>215</v>
      </c>
      <c r="J207" s="35" t="s">
        <v>215</v>
      </c>
      <c r="K207" s="35" t="s">
        <v>215</v>
      </c>
      <c r="N207" s="35">
        <v>3.17</v>
      </c>
    </row>
    <row r="208" spans="1:14" s="35" customFormat="1" ht="25.05" customHeight="1" x14ac:dyDescent="0.4">
      <c r="A208" s="35" t="s">
        <v>630</v>
      </c>
      <c r="B208" s="35" t="s">
        <v>1435</v>
      </c>
      <c r="C208" s="35" t="s">
        <v>346</v>
      </c>
      <c r="D208" s="35" t="s">
        <v>870</v>
      </c>
      <c r="E208" s="35" t="s">
        <v>1436</v>
      </c>
      <c r="F208" s="35" t="s">
        <v>298</v>
      </c>
      <c r="H208" s="35" t="s">
        <v>215</v>
      </c>
      <c r="I208" s="35" t="s">
        <v>215</v>
      </c>
      <c r="J208" s="35" t="s">
        <v>215</v>
      </c>
      <c r="K208" s="35" t="s">
        <v>215</v>
      </c>
      <c r="N208" s="35">
        <v>7.09</v>
      </c>
    </row>
    <row r="209" spans="1:14" s="35" customFormat="1" ht="25.05" customHeight="1" x14ac:dyDescent="0.4">
      <c r="A209" s="35" t="s">
        <v>630</v>
      </c>
      <c r="B209" s="35" t="s">
        <v>1437</v>
      </c>
      <c r="C209" s="35" t="s">
        <v>340</v>
      </c>
      <c r="D209" s="35" t="s">
        <v>602</v>
      </c>
      <c r="E209" s="35" t="s">
        <v>1438</v>
      </c>
      <c r="F209" s="35" t="s">
        <v>300</v>
      </c>
      <c r="G209" s="35" t="s">
        <v>1009</v>
      </c>
      <c r="H209" s="35" t="s">
        <v>215</v>
      </c>
      <c r="I209" s="35" t="s">
        <v>215</v>
      </c>
      <c r="J209" s="35" t="s">
        <v>215</v>
      </c>
      <c r="K209" s="35" t="s">
        <v>215</v>
      </c>
    </row>
    <row r="210" spans="1:14" s="35" customFormat="1" ht="25.05" customHeight="1" x14ac:dyDescent="0.4">
      <c r="A210" s="35" t="s">
        <v>630</v>
      </c>
      <c r="B210" s="35" t="s">
        <v>1439</v>
      </c>
      <c r="C210" s="35" t="s">
        <v>340</v>
      </c>
      <c r="D210" s="35" t="s">
        <v>614</v>
      </c>
      <c r="E210" s="35" t="s">
        <v>1440</v>
      </c>
      <c r="F210" s="35" t="s">
        <v>300</v>
      </c>
      <c r="H210" s="35" t="s">
        <v>215</v>
      </c>
      <c r="I210" s="35" t="s">
        <v>215</v>
      </c>
      <c r="J210" s="35" t="s">
        <v>215</v>
      </c>
      <c r="K210" s="35" t="s">
        <v>215</v>
      </c>
    </row>
    <row r="211" spans="1:14" s="35" customFormat="1" ht="25.05" customHeight="1" x14ac:dyDescent="0.4">
      <c r="A211" s="35" t="s">
        <v>630</v>
      </c>
      <c r="B211" s="35" t="s">
        <v>1441</v>
      </c>
      <c r="C211" s="35" t="s">
        <v>340</v>
      </c>
      <c r="D211" s="35" t="s">
        <v>864</v>
      </c>
      <c r="E211" s="35" t="s">
        <v>1442</v>
      </c>
      <c r="F211" s="35" t="s">
        <v>299</v>
      </c>
      <c r="H211" s="35" t="s">
        <v>215</v>
      </c>
      <c r="I211" s="35" t="s">
        <v>215</v>
      </c>
      <c r="J211" s="35" t="s">
        <v>215</v>
      </c>
      <c r="K211" s="35" t="s">
        <v>215</v>
      </c>
    </row>
    <row r="212" spans="1:14" s="35" customFormat="1" ht="25.05" customHeight="1" x14ac:dyDescent="0.4">
      <c r="A212" s="35" t="s">
        <v>630</v>
      </c>
      <c r="B212" s="35" t="s">
        <v>418</v>
      </c>
      <c r="C212" s="35" t="s">
        <v>540</v>
      </c>
      <c r="D212" s="35" t="s">
        <v>628</v>
      </c>
      <c r="E212" s="35" t="s">
        <v>1443</v>
      </c>
      <c r="F212" s="35" t="s">
        <v>300</v>
      </c>
      <c r="J212" s="35" t="s">
        <v>215</v>
      </c>
      <c r="K212" s="35" t="s">
        <v>215</v>
      </c>
      <c r="N212" s="35">
        <v>13.18</v>
      </c>
    </row>
    <row r="213" spans="1:14" s="35" customFormat="1" ht="25.05" customHeight="1" x14ac:dyDescent="0.4">
      <c r="A213" s="35" t="s">
        <v>630</v>
      </c>
      <c r="B213" s="35" t="s">
        <v>418</v>
      </c>
      <c r="C213" s="35" t="s">
        <v>1444</v>
      </c>
      <c r="D213" s="35" t="s">
        <v>610</v>
      </c>
      <c r="E213" s="35" t="s">
        <v>1445</v>
      </c>
      <c r="F213" s="35" t="s">
        <v>300</v>
      </c>
      <c r="J213" s="35" t="s">
        <v>215</v>
      </c>
      <c r="K213" s="35" t="s">
        <v>215</v>
      </c>
      <c r="N213" s="35">
        <v>10.53</v>
      </c>
    </row>
    <row r="214" spans="1:14" s="35" customFormat="1" ht="25.05" customHeight="1" x14ac:dyDescent="0.4">
      <c r="A214" s="35" t="s">
        <v>630</v>
      </c>
      <c r="B214" s="35" t="s">
        <v>1446</v>
      </c>
      <c r="C214" s="35" t="s">
        <v>342</v>
      </c>
      <c r="D214" s="35" t="s">
        <v>868</v>
      </c>
      <c r="E214" s="35" t="s">
        <v>1447</v>
      </c>
      <c r="F214" s="35" t="s">
        <v>302</v>
      </c>
      <c r="J214" s="35" t="s">
        <v>215</v>
      </c>
      <c r="K214" s="35" t="s">
        <v>215</v>
      </c>
      <c r="N214" s="35">
        <v>13.17</v>
      </c>
    </row>
    <row r="215" spans="1:14" s="35" customFormat="1" ht="25.05" customHeight="1" x14ac:dyDescent="0.4">
      <c r="A215" s="35" t="s">
        <v>630</v>
      </c>
      <c r="B215" s="35" t="s">
        <v>1446</v>
      </c>
      <c r="C215" s="35" t="s">
        <v>358</v>
      </c>
      <c r="D215" s="35" t="s">
        <v>878</v>
      </c>
      <c r="E215" s="35" t="s">
        <v>1448</v>
      </c>
      <c r="F215" s="35" t="s">
        <v>302</v>
      </c>
      <c r="J215" s="35" t="s">
        <v>215</v>
      </c>
      <c r="K215" s="35" t="s">
        <v>215</v>
      </c>
      <c r="N215" s="35">
        <v>10.92</v>
      </c>
    </row>
    <row r="216" spans="1:14" s="35" customFormat="1" ht="25.05" customHeight="1" x14ac:dyDescent="0.4">
      <c r="A216" s="35" t="s">
        <v>630</v>
      </c>
      <c r="B216" s="35" t="s">
        <v>1449</v>
      </c>
      <c r="C216" s="35" t="s">
        <v>358</v>
      </c>
      <c r="D216" s="35" t="s">
        <v>875</v>
      </c>
      <c r="E216" s="35" t="s">
        <v>1450</v>
      </c>
      <c r="F216" s="35" t="s">
        <v>303</v>
      </c>
      <c r="H216" s="35" t="s">
        <v>2008</v>
      </c>
      <c r="I216" s="35" t="s">
        <v>1976</v>
      </c>
      <c r="J216" s="35" t="s">
        <v>215</v>
      </c>
      <c r="K216" s="35" t="s">
        <v>215</v>
      </c>
      <c r="N216" s="35">
        <v>5.68</v>
      </c>
    </row>
    <row r="217" spans="1:14" s="35" customFormat="1" ht="25.05" customHeight="1" x14ac:dyDescent="0.4">
      <c r="A217" s="35" t="s">
        <v>630</v>
      </c>
      <c r="B217" s="35" t="s">
        <v>373</v>
      </c>
      <c r="C217" s="35" t="s">
        <v>1451</v>
      </c>
      <c r="D217" s="35" t="s">
        <v>620</v>
      </c>
      <c r="E217" s="35" t="s">
        <v>1452</v>
      </c>
      <c r="F217" s="35" t="s">
        <v>300</v>
      </c>
      <c r="J217" s="35" t="s">
        <v>215</v>
      </c>
      <c r="K217" s="35" t="s">
        <v>215</v>
      </c>
      <c r="N217" s="35">
        <v>22.75</v>
      </c>
    </row>
    <row r="218" spans="1:14" s="35" customFormat="1" ht="25.05" customHeight="1" x14ac:dyDescent="0.4">
      <c r="A218" s="35" t="s">
        <v>630</v>
      </c>
      <c r="B218" s="35" t="s">
        <v>1453</v>
      </c>
      <c r="C218" s="35" t="s">
        <v>347</v>
      </c>
      <c r="D218" s="35" t="s">
        <v>863</v>
      </c>
      <c r="E218" s="35" t="s">
        <v>1454</v>
      </c>
      <c r="F218" s="35" t="s">
        <v>323</v>
      </c>
      <c r="J218" s="35" t="s">
        <v>215</v>
      </c>
      <c r="K218" s="35" t="s">
        <v>215</v>
      </c>
      <c r="N218" s="35">
        <v>2.96</v>
      </c>
    </row>
    <row r="219" spans="1:14" s="35" customFormat="1" ht="25.05" customHeight="1" x14ac:dyDescent="0.4">
      <c r="A219" s="35" t="s">
        <v>630</v>
      </c>
      <c r="B219" s="35" t="s">
        <v>1382</v>
      </c>
      <c r="C219" s="35" t="s">
        <v>340</v>
      </c>
      <c r="D219" s="35" t="s">
        <v>741</v>
      </c>
      <c r="E219" s="35" t="s">
        <v>1455</v>
      </c>
      <c r="F219" s="35" t="s">
        <v>323</v>
      </c>
      <c r="J219" s="35" t="s">
        <v>215</v>
      </c>
      <c r="K219" s="35" t="s">
        <v>215</v>
      </c>
      <c r="N219" s="35">
        <v>11.75</v>
      </c>
    </row>
    <row r="220" spans="1:14" s="35" customFormat="1" ht="25.05" customHeight="1" x14ac:dyDescent="0.4">
      <c r="A220" s="35" t="s">
        <v>630</v>
      </c>
      <c r="B220" s="35" t="s">
        <v>1382</v>
      </c>
      <c r="C220" s="35" t="s">
        <v>346</v>
      </c>
      <c r="D220" s="35" t="s">
        <v>743</v>
      </c>
      <c r="E220" s="35" t="s">
        <v>1456</v>
      </c>
      <c r="F220" s="35" t="s">
        <v>323</v>
      </c>
      <c r="J220" s="35" t="s">
        <v>215</v>
      </c>
      <c r="K220" s="35" t="s">
        <v>215</v>
      </c>
      <c r="N220" s="35">
        <v>8.4</v>
      </c>
    </row>
    <row r="221" spans="1:14" s="35" customFormat="1" ht="25.05" customHeight="1" x14ac:dyDescent="0.4">
      <c r="A221" s="35" t="s">
        <v>630</v>
      </c>
      <c r="B221" s="35" t="s">
        <v>369</v>
      </c>
      <c r="C221" s="35" t="s">
        <v>1451</v>
      </c>
      <c r="D221" s="35" t="s">
        <v>754</v>
      </c>
      <c r="E221" s="35" t="s">
        <v>1452</v>
      </c>
      <c r="F221" s="35" t="s">
        <v>300</v>
      </c>
      <c r="J221" s="35" t="s">
        <v>215</v>
      </c>
      <c r="K221" s="35" t="s">
        <v>215</v>
      </c>
      <c r="N221" s="35">
        <v>0.15</v>
      </c>
    </row>
    <row r="222" spans="1:14" s="35" customFormat="1" ht="25.05" customHeight="1" x14ac:dyDescent="0.4">
      <c r="A222" s="35" t="s">
        <v>630</v>
      </c>
      <c r="B222" s="35" t="s">
        <v>1457</v>
      </c>
      <c r="C222" s="35" t="s">
        <v>347</v>
      </c>
      <c r="D222" s="35" t="s">
        <v>881</v>
      </c>
      <c r="E222" s="35" t="s">
        <v>1458</v>
      </c>
      <c r="F222" s="35" t="s">
        <v>299</v>
      </c>
      <c r="H222" s="35" t="s">
        <v>1975</v>
      </c>
      <c r="I222" s="35" t="s">
        <v>1976</v>
      </c>
      <c r="J222" s="35" t="s">
        <v>215</v>
      </c>
      <c r="K222" s="35" t="s">
        <v>215</v>
      </c>
      <c r="N222" s="35">
        <v>0.2</v>
      </c>
    </row>
    <row r="223" spans="1:14" s="35" customFormat="1" ht="25.05" customHeight="1" x14ac:dyDescent="0.4">
      <c r="A223" s="35" t="s">
        <v>630</v>
      </c>
      <c r="B223" s="35" t="s">
        <v>1388</v>
      </c>
      <c r="C223" s="35" t="s">
        <v>340</v>
      </c>
      <c r="D223" s="35" t="s">
        <v>862</v>
      </c>
      <c r="E223" s="35" t="s">
        <v>1459</v>
      </c>
      <c r="F223" s="35" t="s">
        <v>323</v>
      </c>
      <c r="J223" s="35" t="s">
        <v>215</v>
      </c>
      <c r="K223" s="35" t="s">
        <v>215</v>
      </c>
      <c r="N223" s="35">
        <v>7.68</v>
      </c>
    </row>
    <row r="224" spans="1:14" s="35" customFormat="1" ht="25.05" customHeight="1" x14ac:dyDescent="0.4">
      <c r="A224" s="35" t="s">
        <v>629</v>
      </c>
      <c r="B224" s="35" t="s">
        <v>1460</v>
      </c>
      <c r="C224" s="35" t="s">
        <v>340</v>
      </c>
      <c r="D224" s="35" t="s">
        <v>758</v>
      </c>
      <c r="E224" s="35" t="s">
        <v>1461</v>
      </c>
      <c r="F224" s="35" t="s">
        <v>300</v>
      </c>
      <c r="G224" s="35" t="s">
        <v>1042</v>
      </c>
      <c r="J224" s="35" t="s">
        <v>215</v>
      </c>
      <c r="K224" s="35" t="s">
        <v>215</v>
      </c>
    </row>
    <row r="225" spans="1:14" s="35" customFormat="1" ht="25.05" customHeight="1" x14ac:dyDescent="0.4">
      <c r="A225" s="35" t="s">
        <v>629</v>
      </c>
      <c r="B225" s="35" t="s">
        <v>1462</v>
      </c>
      <c r="C225" s="35" t="s">
        <v>340</v>
      </c>
      <c r="D225" s="35" t="s">
        <v>598</v>
      </c>
      <c r="E225" s="35" t="s">
        <v>1463</v>
      </c>
      <c r="F225" s="35" t="s">
        <v>300</v>
      </c>
      <c r="G225" s="35" t="s">
        <v>1045</v>
      </c>
      <c r="J225" s="35" t="s">
        <v>215</v>
      </c>
      <c r="K225" s="35" t="s">
        <v>215</v>
      </c>
    </row>
    <row r="226" spans="1:14" s="35" customFormat="1" ht="25.05" customHeight="1" x14ac:dyDescent="0.4">
      <c r="A226" s="35" t="s">
        <v>629</v>
      </c>
      <c r="B226" s="35" t="s">
        <v>1464</v>
      </c>
      <c r="C226" s="35" t="s">
        <v>340</v>
      </c>
      <c r="D226" s="35" t="s">
        <v>600</v>
      </c>
      <c r="E226" s="35" t="s">
        <v>1465</v>
      </c>
      <c r="F226" s="35" t="s">
        <v>300</v>
      </c>
      <c r="G226" s="35" t="s">
        <v>1048</v>
      </c>
      <c r="J226" s="35" t="s">
        <v>215</v>
      </c>
      <c r="K226" s="35" t="s">
        <v>215</v>
      </c>
    </row>
    <row r="227" spans="1:14" s="35" customFormat="1" ht="25.05" customHeight="1" x14ac:dyDescent="0.4">
      <c r="A227" s="35" t="s">
        <v>629</v>
      </c>
      <c r="B227" s="35" t="s">
        <v>1466</v>
      </c>
      <c r="C227" s="35" t="s">
        <v>340</v>
      </c>
      <c r="D227" s="35" t="s">
        <v>883</v>
      </c>
      <c r="E227" s="35" t="s">
        <v>1467</v>
      </c>
      <c r="F227" s="35" t="s">
        <v>323</v>
      </c>
      <c r="J227" s="35" t="s">
        <v>215</v>
      </c>
      <c r="K227" s="35" t="s">
        <v>215</v>
      </c>
      <c r="N227" s="35">
        <v>1.4</v>
      </c>
    </row>
    <row r="228" spans="1:14" s="35" customFormat="1" ht="25.05" customHeight="1" x14ac:dyDescent="0.4">
      <c r="A228" s="35" t="s">
        <v>629</v>
      </c>
      <c r="B228" s="35" t="s">
        <v>1468</v>
      </c>
      <c r="C228" s="35" t="s">
        <v>340</v>
      </c>
      <c r="D228" s="35" t="s">
        <v>903</v>
      </c>
      <c r="E228" s="35" t="s">
        <v>1469</v>
      </c>
      <c r="F228" s="35" t="s">
        <v>323</v>
      </c>
      <c r="J228" s="35" t="s">
        <v>215</v>
      </c>
      <c r="K228" s="35" t="s">
        <v>215</v>
      </c>
      <c r="N228" s="35">
        <v>7.34</v>
      </c>
    </row>
    <row r="229" spans="1:14" s="35" customFormat="1" ht="25.05" customHeight="1" x14ac:dyDescent="0.4">
      <c r="A229" s="35" t="s">
        <v>629</v>
      </c>
      <c r="B229" s="35" t="s">
        <v>1470</v>
      </c>
      <c r="C229" s="35" t="s">
        <v>340</v>
      </c>
      <c r="D229" s="35" t="s">
        <v>886</v>
      </c>
      <c r="E229" s="35" t="s">
        <v>1471</v>
      </c>
      <c r="F229" s="35" t="s">
        <v>302</v>
      </c>
      <c r="J229" s="35" t="s">
        <v>215</v>
      </c>
      <c r="K229" s="35" t="s">
        <v>215</v>
      </c>
      <c r="N229" s="35">
        <v>2.2799999999999998</v>
      </c>
    </row>
    <row r="230" spans="1:14" s="35" customFormat="1" ht="25.05" customHeight="1" x14ac:dyDescent="0.4">
      <c r="A230" s="35" t="s">
        <v>629</v>
      </c>
      <c r="B230" s="35" t="s">
        <v>1472</v>
      </c>
      <c r="C230" s="35" t="s">
        <v>340</v>
      </c>
      <c r="D230" s="35" t="s">
        <v>887</v>
      </c>
      <c r="E230" s="35" t="s">
        <v>1473</v>
      </c>
      <c r="F230" s="35" t="s">
        <v>323</v>
      </c>
      <c r="J230" s="35" t="s">
        <v>215</v>
      </c>
      <c r="K230" s="35" t="s">
        <v>215</v>
      </c>
      <c r="N230" s="35">
        <v>7.03</v>
      </c>
    </row>
    <row r="231" spans="1:14" s="35" customFormat="1" ht="25.05" customHeight="1" x14ac:dyDescent="0.4">
      <c r="A231" s="35" t="s">
        <v>629</v>
      </c>
      <c r="B231" s="35" t="s">
        <v>1474</v>
      </c>
      <c r="C231" s="35" t="s">
        <v>363</v>
      </c>
      <c r="D231" s="35" t="s">
        <v>639</v>
      </c>
      <c r="E231" s="35" t="s">
        <v>1475</v>
      </c>
      <c r="F231" s="35" t="s">
        <v>300</v>
      </c>
      <c r="G231" s="35" t="s">
        <v>1036</v>
      </c>
      <c r="H231" s="35" t="s">
        <v>215</v>
      </c>
      <c r="I231" s="35" t="s">
        <v>215</v>
      </c>
      <c r="J231" s="35" t="s">
        <v>215</v>
      </c>
      <c r="K231" s="35" t="s">
        <v>215</v>
      </c>
    </row>
    <row r="232" spans="1:14" s="35" customFormat="1" ht="25.05" customHeight="1" x14ac:dyDescent="0.4">
      <c r="A232" s="35" t="s">
        <v>629</v>
      </c>
      <c r="B232" s="35" t="s">
        <v>1476</v>
      </c>
      <c r="C232" s="35" t="s">
        <v>340</v>
      </c>
      <c r="D232" s="35" t="s">
        <v>646</v>
      </c>
      <c r="E232" s="35" t="s">
        <v>1477</v>
      </c>
      <c r="F232" s="35" t="s">
        <v>300</v>
      </c>
      <c r="J232" s="35" t="s">
        <v>215</v>
      </c>
      <c r="K232" s="35" t="s">
        <v>215</v>
      </c>
      <c r="N232" s="35">
        <v>7.6</v>
      </c>
    </row>
    <row r="233" spans="1:14" s="35" customFormat="1" ht="25.05" customHeight="1" x14ac:dyDescent="0.4">
      <c r="A233" s="35" t="s">
        <v>629</v>
      </c>
      <c r="B233" s="35" t="s">
        <v>1478</v>
      </c>
      <c r="C233" s="35" t="s">
        <v>340</v>
      </c>
      <c r="D233" s="35" t="s">
        <v>650</v>
      </c>
      <c r="E233" s="35" t="s">
        <v>1479</v>
      </c>
      <c r="F233" s="35" t="s">
        <v>303</v>
      </c>
      <c r="J233" s="35" t="s">
        <v>215</v>
      </c>
      <c r="K233" s="35" t="s">
        <v>215</v>
      </c>
      <c r="N233" s="35">
        <v>12.43</v>
      </c>
    </row>
    <row r="234" spans="1:14" s="35" customFormat="1" ht="25.05" customHeight="1" x14ac:dyDescent="0.4">
      <c r="A234" s="35" t="s">
        <v>629</v>
      </c>
      <c r="B234" s="35" t="s">
        <v>1480</v>
      </c>
      <c r="C234" s="35" t="s">
        <v>340</v>
      </c>
      <c r="D234" s="35" t="s">
        <v>899</v>
      </c>
      <c r="E234" s="35" t="s">
        <v>1481</v>
      </c>
      <c r="F234" s="35" t="s">
        <v>323</v>
      </c>
      <c r="J234" s="35" t="s">
        <v>215</v>
      </c>
      <c r="K234" s="35" t="s">
        <v>215</v>
      </c>
      <c r="N234" s="35">
        <v>8.0399999999999991</v>
      </c>
    </row>
    <row r="235" spans="1:14" s="35" customFormat="1" ht="25.05" customHeight="1" x14ac:dyDescent="0.4">
      <c r="A235" s="35" t="s">
        <v>629</v>
      </c>
      <c r="B235" s="35" t="s">
        <v>1482</v>
      </c>
      <c r="C235" s="35" t="s">
        <v>340</v>
      </c>
      <c r="D235" s="35" t="s">
        <v>656</v>
      </c>
      <c r="E235" s="35" t="s">
        <v>1483</v>
      </c>
      <c r="F235" s="35" t="s">
        <v>300</v>
      </c>
      <c r="J235" s="35" t="s">
        <v>215</v>
      </c>
      <c r="K235" s="35" t="s">
        <v>215</v>
      </c>
    </row>
    <row r="236" spans="1:14" s="35" customFormat="1" ht="25.05" customHeight="1" x14ac:dyDescent="0.4">
      <c r="A236" s="35" t="s">
        <v>629</v>
      </c>
      <c r="B236" s="35" t="s">
        <v>1484</v>
      </c>
      <c r="C236" s="35" t="s">
        <v>340</v>
      </c>
      <c r="D236" s="35" t="s">
        <v>884</v>
      </c>
      <c r="E236" s="35" t="s">
        <v>1485</v>
      </c>
      <c r="F236" s="35" t="s">
        <v>300</v>
      </c>
      <c r="G236" s="35" t="s">
        <v>921</v>
      </c>
      <c r="J236" s="35" t="s">
        <v>215</v>
      </c>
      <c r="K236" s="35" t="s">
        <v>215</v>
      </c>
    </row>
    <row r="237" spans="1:14" s="35" customFormat="1" ht="25.05" customHeight="1" x14ac:dyDescent="0.4">
      <c r="A237" s="35" t="s">
        <v>629</v>
      </c>
      <c r="B237" s="35" t="s">
        <v>1486</v>
      </c>
      <c r="C237" s="35" t="s">
        <v>340</v>
      </c>
      <c r="D237" s="35" t="s">
        <v>660</v>
      </c>
      <c r="E237" s="35" t="s">
        <v>1487</v>
      </c>
      <c r="F237" s="35" t="s">
        <v>298</v>
      </c>
      <c r="J237" s="35" t="s">
        <v>215</v>
      </c>
      <c r="K237" s="35" t="s">
        <v>215</v>
      </c>
    </row>
    <row r="238" spans="1:14" s="35" customFormat="1" ht="25.05" customHeight="1" x14ac:dyDescent="0.4">
      <c r="A238" s="35" t="s">
        <v>629</v>
      </c>
      <c r="B238" s="35" t="s">
        <v>1349</v>
      </c>
      <c r="C238" s="35" t="s">
        <v>340</v>
      </c>
      <c r="D238" s="35" t="s">
        <v>882</v>
      </c>
      <c r="E238" s="35" t="s">
        <v>1488</v>
      </c>
      <c r="F238" s="35" t="s">
        <v>323</v>
      </c>
      <c r="J238" s="35" t="s">
        <v>215</v>
      </c>
      <c r="K238" s="35" t="s">
        <v>215</v>
      </c>
      <c r="N238" s="35">
        <v>2.0499999999999998</v>
      </c>
    </row>
    <row r="239" spans="1:14" s="35" customFormat="1" ht="25.05" customHeight="1" x14ac:dyDescent="0.4">
      <c r="A239" s="35" t="s">
        <v>629</v>
      </c>
      <c r="B239" s="35" t="s">
        <v>1489</v>
      </c>
      <c r="C239" s="35" t="s">
        <v>340</v>
      </c>
      <c r="D239" s="35" t="s">
        <v>662</v>
      </c>
      <c r="E239" s="35" t="s">
        <v>1490</v>
      </c>
      <c r="F239" s="35" t="s">
        <v>300</v>
      </c>
      <c r="G239" s="35" t="s">
        <v>931</v>
      </c>
      <c r="J239" s="35" t="s">
        <v>215</v>
      </c>
      <c r="K239" s="35" t="s">
        <v>215</v>
      </c>
    </row>
    <row r="240" spans="1:14" s="35" customFormat="1" ht="25.05" customHeight="1" x14ac:dyDescent="0.4">
      <c r="A240" s="35" t="s">
        <v>629</v>
      </c>
      <c r="B240" s="35" t="s">
        <v>1491</v>
      </c>
      <c r="C240" s="35" t="s">
        <v>340</v>
      </c>
      <c r="D240" s="35" t="s">
        <v>896</v>
      </c>
      <c r="E240" s="35" t="s">
        <v>1492</v>
      </c>
      <c r="F240" s="35" t="s">
        <v>300</v>
      </c>
      <c r="J240" s="35" t="s">
        <v>215</v>
      </c>
      <c r="K240" s="35" t="s">
        <v>215</v>
      </c>
      <c r="N240" s="35">
        <v>7.63</v>
      </c>
    </row>
    <row r="241" spans="1:14" s="35" customFormat="1" ht="25.05" customHeight="1" x14ac:dyDescent="0.4">
      <c r="A241" s="35" t="s">
        <v>629</v>
      </c>
      <c r="B241" s="35" t="s">
        <v>1493</v>
      </c>
      <c r="C241" s="35" t="s">
        <v>340</v>
      </c>
      <c r="D241" s="35" t="s">
        <v>606</v>
      </c>
      <c r="E241" s="35" t="s">
        <v>1494</v>
      </c>
      <c r="F241" s="35" t="s">
        <v>300</v>
      </c>
      <c r="J241" s="35" t="s">
        <v>215</v>
      </c>
      <c r="K241" s="35" t="s">
        <v>215</v>
      </c>
      <c r="N241" s="35">
        <v>7.77</v>
      </c>
    </row>
    <row r="242" spans="1:14" s="35" customFormat="1" ht="25.05" customHeight="1" x14ac:dyDescent="0.4">
      <c r="A242" s="35" t="s">
        <v>629</v>
      </c>
      <c r="B242" s="35" t="s">
        <v>1495</v>
      </c>
      <c r="C242" s="35" t="s">
        <v>340</v>
      </c>
      <c r="D242" s="35" t="s">
        <v>900</v>
      </c>
      <c r="E242" s="35" t="s">
        <v>1496</v>
      </c>
      <c r="F242" s="35" t="s">
        <v>323</v>
      </c>
      <c r="G242" s="35" t="s">
        <v>976</v>
      </c>
      <c r="J242" s="35" t="s">
        <v>215</v>
      </c>
      <c r="K242" s="35" t="s">
        <v>215</v>
      </c>
    </row>
    <row r="243" spans="1:14" s="35" customFormat="1" ht="25.05" customHeight="1" x14ac:dyDescent="0.4">
      <c r="A243" s="35" t="s">
        <v>629</v>
      </c>
      <c r="B243" s="35" t="s">
        <v>1497</v>
      </c>
      <c r="C243" s="35" t="s">
        <v>340</v>
      </c>
      <c r="D243" s="35" t="s">
        <v>689</v>
      </c>
      <c r="E243" s="35" t="s">
        <v>1498</v>
      </c>
      <c r="F243" s="35" t="s">
        <v>300</v>
      </c>
      <c r="G243" s="35" t="s">
        <v>995</v>
      </c>
      <c r="H243" s="35" t="s">
        <v>215</v>
      </c>
      <c r="I243" s="35" t="s">
        <v>215</v>
      </c>
      <c r="J243" s="35" t="s">
        <v>215</v>
      </c>
      <c r="K243" s="35" t="s">
        <v>215</v>
      </c>
      <c r="N243" s="35">
        <v>9.3000000000000007</v>
      </c>
    </row>
    <row r="244" spans="1:14" s="35" customFormat="1" ht="25.05" customHeight="1" x14ac:dyDescent="0.4">
      <c r="A244" s="35" t="s">
        <v>629</v>
      </c>
      <c r="B244" s="35" t="s">
        <v>1499</v>
      </c>
      <c r="C244" s="35" t="s">
        <v>340</v>
      </c>
      <c r="D244" s="35" t="s">
        <v>902</v>
      </c>
      <c r="E244" s="35" t="s">
        <v>1500</v>
      </c>
      <c r="F244" s="35" t="s">
        <v>299</v>
      </c>
      <c r="H244" s="35" t="s">
        <v>215</v>
      </c>
      <c r="I244" s="35" t="s">
        <v>215</v>
      </c>
      <c r="J244" s="35" t="s">
        <v>215</v>
      </c>
      <c r="K244" s="35" t="s">
        <v>215</v>
      </c>
      <c r="N244" s="35">
        <v>1.85</v>
      </c>
    </row>
    <row r="245" spans="1:14" s="35" customFormat="1" ht="25.05" customHeight="1" x14ac:dyDescent="0.4">
      <c r="A245" s="35" t="s">
        <v>629</v>
      </c>
      <c r="B245" s="35" t="s">
        <v>1501</v>
      </c>
      <c r="C245" s="35" t="s">
        <v>340</v>
      </c>
      <c r="D245" s="35" t="s">
        <v>691</v>
      </c>
      <c r="E245" s="35" t="s">
        <v>1502</v>
      </c>
      <c r="F245" s="35" t="s">
        <v>300</v>
      </c>
      <c r="G245" s="35" t="s">
        <v>1004</v>
      </c>
      <c r="H245" s="35" t="s">
        <v>215</v>
      </c>
      <c r="I245" s="35" t="s">
        <v>215</v>
      </c>
      <c r="J245" s="35" t="s">
        <v>215</v>
      </c>
      <c r="K245" s="35" t="s">
        <v>215</v>
      </c>
    </row>
    <row r="246" spans="1:14" s="35" customFormat="1" ht="25.05" customHeight="1" x14ac:dyDescent="0.4">
      <c r="A246" s="35" t="s">
        <v>629</v>
      </c>
      <c r="B246" s="35" t="s">
        <v>1503</v>
      </c>
      <c r="C246" s="35" t="s">
        <v>340</v>
      </c>
      <c r="D246" s="35" t="s">
        <v>901</v>
      </c>
      <c r="E246" s="35" t="s">
        <v>1504</v>
      </c>
      <c r="F246" s="35" t="s">
        <v>299</v>
      </c>
      <c r="G246" s="35" t="s">
        <v>1012</v>
      </c>
      <c r="H246" s="35" t="s">
        <v>215</v>
      </c>
      <c r="I246" s="35" t="s">
        <v>215</v>
      </c>
      <c r="J246" s="35" t="s">
        <v>215</v>
      </c>
      <c r="K246" s="35" t="s">
        <v>215</v>
      </c>
    </row>
    <row r="247" spans="1:14" s="35" customFormat="1" ht="25.05" customHeight="1" x14ac:dyDescent="0.4">
      <c r="A247" s="35" t="s">
        <v>629</v>
      </c>
      <c r="B247" s="35" t="s">
        <v>1505</v>
      </c>
      <c r="C247" s="35" t="s">
        <v>340</v>
      </c>
      <c r="D247" s="35" t="s">
        <v>898</v>
      </c>
      <c r="E247" s="35" t="s">
        <v>1506</v>
      </c>
      <c r="F247" s="35" t="s">
        <v>303</v>
      </c>
      <c r="H247" s="35" t="s">
        <v>215</v>
      </c>
      <c r="I247" s="35" t="s">
        <v>215</v>
      </c>
      <c r="J247" s="35" t="s">
        <v>215</v>
      </c>
      <c r="K247" s="35" t="s">
        <v>215</v>
      </c>
    </row>
    <row r="248" spans="1:14" s="35" customFormat="1" ht="25.05" customHeight="1" x14ac:dyDescent="0.4">
      <c r="A248" s="35" t="s">
        <v>629</v>
      </c>
      <c r="B248" s="35" t="s">
        <v>418</v>
      </c>
      <c r="C248" s="35" t="s">
        <v>536</v>
      </c>
      <c r="D248" s="35" t="s">
        <v>713</v>
      </c>
      <c r="E248" s="35" t="s">
        <v>1507</v>
      </c>
      <c r="F248" s="35" t="s">
        <v>300</v>
      </c>
      <c r="J248" s="35" t="s">
        <v>215</v>
      </c>
      <c r="K248" s="35" t="s">
        <v>215</v>
      </c>
      <c r="N248" s="35">
        <v>7.06</v>
      </c>
    </row>
    <row r="249" spans="1:14" s="35" customFormat="1" ht="25.05" customHeight="1" x14ac:dyDescent="0.4">
      <c r="A249" s="35" t="s">
        <v>629</v>
      </c>
      <c r="B249" s="35" t="s">
        <v>418</v>
      </c>
      <c r="C249" s="35" t="s">
        <v>1508</v>
      </c>
      <c r="D249" s="35" t="s">
        <v>608</v>
      </c>
      <c r="E249" s="35" t="s">
        <v>1509</v>
      </c>
      <c r="F249" s="35" t="s">
        <v>300</v>
      </c>
      <c r="H249" s="35" t="s">
        <v>215</v>
      </c>
      <c r="I249" s="35" t="s">
        <v>215</v>
      </c>
      <c r="J249" s="35" t="s">
        <v>215</v>
      </c>
      <c r="K249" s="35" t="s">
        <v>215</v>
      </c>
    </row>
    <row r="250" spans="1:14" s="35" customFormat="1" ht="25.05" customHeight="1" x14ac:dyDescent="0.4">
      <c r="A250" s="35" t="s">
        <v>629</v>
      </c>
      <c r="B250" s="35" t="s">
        <v>418</v>
      </c>
      <c r="C250" s="35" t="s">
        <v>1510</v>
      </c>
      <c r="D250" s="35" t="s">
        <v>731</v>
      </c>
      <c r="E250" s="35" t="s">
        <v>1511</v>
      </c>
      <c r="F250" s="35" t="s">
        <v>300</v>
      </c>
      <c r="H250" s="35" t="s">
        <v>215</v>
      </c>
      <c r="I250" s="35" t="s">
        <v>215</v>
      </c>
      <c r="J250" s="35" t="s">
        <v>215</v>
      </c>
      <c r="K250" s="35" t="s">
        <v>215</v>
      </c>
    </row>
    <row r="251" spans="1:14" s="35" customFormat="1" ht="25.05" customHeight="1" x14ac:dyDescent="0.4">
      <c r="A251" s="35" t="s">
        <v>629</v>
      </c>
      <c r="B251" s="35" t="s">
        <v>1446</v>
      </c>
      <c r="C251" s="35" t="s">
        <v>364</v>
      </c>
      <c r="D251" s="35" t="s">
        <v>889</v>
      </c>
      <c r="E251" s="35" t="s">
        <v>1512</v>
      </c>
      <c r="F251" s="35" t="s">
        <v>302</v>
      </c>
      <c r="J251" s="35" t="s">
        <v>215</v>
      </c>
      <c r="K251" s="35" t="s">
        <v>215</v>
      </c>
      <c r="N251" s="35">
        <v>12.97</v>
      </c>
    </row>
    <row r="252" spans="1:14" s="35" customFormat="1" ht="25.05" customHeight="1" x14ac:dyDescent="0.4">
      <c r="A252" s="35" t="s">
        <v>629</v>
      </c>
      <c r="B252" s="35" t="s">
        <v>373</v>
      </c>
      <c r="C252" s="35" t="s">
        <v>534</v>
      </c>
      <c r="D252" s="35" t="s">
        <v>733</v>
      </c>
      <c r="E252" s="35" t="s">
        <v>1513</v>
      </c>
      <c r="F252" s="35" t="s">
        <v>300</v>
      </c>
      <c r="J252" s="35" t="s">
        <v>215</v>
      </c>
      <c r="K252" s="35" t="s">
        <v>215</v>
      </c>
      <c r="N252" s="35">
        <v>20.23</v>
      </c>
    </row>
    <row r="253" spans="1:14" s="35" customFormat="1" ht="25.05" customHeight="1" x14ac:dyDescent="0.4">
      <c r="A253" s="35" t="s">
        <v>629</v>
      </c>
      <c r="B253" s="35" t="s">
        <v>1514</v>
      </c>
      <c r="C253" s="35" t="s">
        <v>347</v>
      </c>
      <c r="D253" s="35" t="s">
        <v>888</v>
      </c>
      <c r="E253" s="35" t="s">
        <v>1515</v>
      </c>
      <c r="F253" s="35" t="s">
        <v>302</v>
      </c>
      <c r="J253" s="35" t="s">
        <v>215</v>
      </c>
      <c r="K253" s="35" t="s">
        <v>215</v>
      </c>
      <c r="N253" s="35">
        <v>11.88</v>
      </c>
    </row>
    <row r="254" spans="1:14" s="35" customFormat="1" ht="25.05" customHeight="1" x14ac:dyDescent="0.4">
      <c r="A254" s="35" t="s">
        <v>629</v>
      </c>
      <c r="B254" s="35" t="s">
        <v>1516</v>
      </c>
      <c r="C254" s="35" t="s">
        <v>340</v>
      </c>
      <c r="D254" s="35" t="s">
        <v>890</v>
      </c>
      <c r="E254" s="35" t="s">
        <v>1517</v>
      </c>
      <c r="F254" s="35" t="s">
        <v>300</v>
      </c>
      <c r="G254" s="35" t="s">
        <v>1056</v>
      </c>
      <c r="J254" s="35" t="s">
        <v>215</v>
      </c>
      <c r="K254" s="35" t="s">
        <v>215</v>
      </c>
    </row>
    <row r="255" spans="1:14" s="35" customFormat="1" ht="25.05" customHeight="1" x14ac:dyDescent="0.4">
      <c r="A255" s="35" t="s">
        <v>629</v>
      </c>
      <c r="B255" s="35" t="s">
        <v>1516</v>
      </c>
      <c r="C255" s="35" t="s">
        <v>346</v>
      </c>
      <c r="D255" s="35" t="s">
        <v>893</v>
      </c>
      <c r="E255" s="35" t="s">
        <v>1518</v>
      </c>
      <c r="F255" s="35" t="s">
        <v>300</v>
      </c>
      <c r="G255" s="35" t="s">
        <v>921</v>
      </c>
      <c r="J255" s="35" t="s">
        <v>215</v>
      </c>
      <c r="K255" s="35" t="s">
        <v>215</v>
      </c>
    </row>
    <row r="256" spans="1:14" s="35" customFormat="1" ht="25.05" customHeight="1" x14ac:dyDescent="0.4">
      <c r="A256" s="35" t="s">
        <v>629</v>
      </c>
      <c r="B256" s="35" t="s">
        <v>1516</v>
      </c>
      <c r="C256" s="35" t="s">
        <v>360</v>
      </c>
      <c r="D256" s="35" t="s">
        <v>757</v>
      </c>
      <c r="E256" s="35" t="s">
        <v>1519</v>
      </c>
      <c r="F256" s="35" t="s">
        <v>300</v>
      </c>
      <c r="J256" s="35" t="s">
        <v>215</v>
      </c>
      <c r="K256" s="35" t="s">
        <v>215</v>
      </c>
      <c r="N256" s="35">
        <v>10.26</v>
      </c>
    </row>
    <row r="257" spans="1:14" s="35" customFormat="1" ht="25.05" customHeight="1" x14ac:dyDescent="0.4">
      <c r="A257" s="35" t="s">
        <v>629</v>
      </c>
      <c r="B257" s="35" t="s">
        <v>1516</v>
      </c>
      <c r="C257" s="35" t="s">
        <v>347</v>
      </c>
      <c r="D257" s="35" t="s">
        <v>892</v>
      </c>
      <c r="E257" s="35" t="s">
        <v>1520</v>
      </c>
      <c r="F257" s="35" t="s">
        <v>300</v>
      </c>
      <c r="G257" s="35" t="s">
        <v>934</v>
      </c>
      <c r="J257" s="35" t="s">
        <v>215</v>
      </c>
      <c r="K257" s="35" t="s">
        <v>215</v>
      </c>
    </row>
    <row r="258" spans="1:14" s="35" customFormat="1" ht="25.05" customHeight="1" x14ac:dyDescent="0.4">
      <c r="A258" s="35" t="s">
        <v>629</v>
      </c>
      <c r="B258" s="35" t="s">
        <v>1516</v>
      </c>
      <c r="C258" s="35" t="s">
        <v>363</v>
      </c>
      <c r="D258" s="35" t="s">
        <v>747</v>
      </c>
      <c r="E258" s="35" t="s">
        <v>1521</v>
      </c>
      <c r="F258" s="35" t="s">
        <v>300</v>
      </c>
      <c r="G258" s="35" t="s">
        <v>934</v>
      </c>
      <c r="J258" s="35" t="s">
        <v>215</v>
      </c>
      <c r="K258" s="35" t="s">
        <v>215</v>
      </c>
    </row>
    <row r="259" spans="1:14" s="35" customFormat="1" ht="25.05" customHeight="1" x14ac:dyDescent="0.4">
      <c r="A259" s="35" t="s">
        <v>629</v>
      </c>
      <c r="B259" s="35" t="s">
        <v>1516</v>
      </c>
      <c r="C259" s="35" t="s">
        <v>349</v>
      </c>
      <c r="D259" s="35" t="s">
        <v>894</v>
      </c>
      <c r="E259" s="35" t="s">
        <v>1522</v>
      </c>
      <c r="F259" s="35" t="s">
        <v>300</v>
      </c>
      <c r="G259" s="35" t="s">
        <v>951</v>
      </c>
      <c r="J259" s="35" t="s">
        <v>215</v>
      </c>
      <c r="K259" s="35" t="s">
        <v>215</v>
      </c>
    </row>
    <row r="260" spans="1:14" s="35" customFormat="1" ht="25.05" customHeight="1" x14ac:dyDescent="0.4">
      <c r="A260" s="35" t="s">
        <v>629</v>
      </c>
      <c r="B260" s="35" t="s">
        <v>1516</v>
      </c>
      <c r="C260" s="35" t="s">
        <v>368</v>
      </c>
      <c r="D260" s="35" t="s">
        <v>891</v>
      </c>
      <c r="E260" s="35" t="s">
        <v>1523</v>
      </c>
      <c r="F260" s="35" t="s">
        <v>300</v>
      </c>
      <c r="G260" s="35" t="s">
        <v>948</v>
      </c>
      <c r="J260" s="35" t="s">
        <v>215</v>
      </c>
      <c r="K260" s="35" t="s">
        <v>215</v>
      </c>
    </row>
    <row r="261" spans="1:14" s="35" customFormat="1" ht="25.05" customHeight="1" x14ac:dyDescent="0.4">
      <c r="A261" s="35" t="s">
        <v>629</v>
      </c>
      <c r="B261" s="35" t="s">
        <v>1516</v>
      </c>
      <c r="C261" s="35" t="s">
        <v>342</v>
      </c>
      <c r="D261" s="35" t="s">
        <v>759</v>
      </c>
      <c r="E261" s="35" t="s">
        <v>1524</v>
      </c>
      <c r="F261" s="35" t="s">
        <v>300</v>
      </c>
      <c r="G261" s="35" t="s">
        <v>934</v>
      </c>
      <c r="J261" s="35" t="s">
        <v>215</v>
      </c>
      <c r="K261" s="35" t="s">
        <v>215</v>
      </c>
    </row>
    <row r="262" spans="1:14" s="35" customFormat="1" ht="25.05" customHeight="1" x14ac:dyDescent="0.4">
      <c r="A262" s="35" t="s">
        <v>629</v>
      </c>
      <c r="B262" s="35" t="s">
        <v>369</v>
      </c>
      <c r="C262" s="35" t="s">
        <v>534</v>
      </c>
      <c r="D262" s="35" t="s">
        <v>895</v>
      </c>
      <c r="E262" s="35" t="s">
        <v>1513</v>
      </c>
      <c r="F262" s="35" t="s">
        <v>300</v>
      </c>
      <c r="J262" s="35" t="s">
        <v>215</v>
      </c>
      <c r="K262" s="35" t="s">
        <v>215</v>
      </c>
    </row>
    <row r="263" spans="1:14" s="35" customFormat="1" ht="25.05" customHeight="1" x14ac:dyDescent="0.4">
      <c r="A263" s="35" t="s">
        <v>629</v>
      </c>
      <c r="B263" s="35" t="s">
        <v>544</v>
      </c>
      <c r="C263" s="35" t="s">
        <v>346</v>
      </c>
      <c r="D263" s="35" t="s">
        <v>885</v>
      </c>
      <c r="E263" s="35" t="s">
        <v>1525</v>
      </c>
      <c r="F263" s="35" t="s">
        <v>323</v>
      </c>
      <c r="J263" s="35" t="s">
        <v>215</v>
      </c>
      <c r="K263" s="35" t="s">
        <v>215</v>
      </c>
      <c r="N263" s="35">
        <v>4.79</v>
      </c>
    </row>
    <row r="264" spans="1:14" s="35" customFormat="1" ht="25.05" customHeight="1" x14ac:dyDescent="0.4">
      <c r="A264" s="35" t="s">
        <v>632</v>
      </c>
      <c r="B264" s="35" t="s">
        <v>1526</v>
      </c>
      <c r="C264" s="35" t="s">
        <v>347</v>
      </c>
      <c r="D264" s="35" t="s">
        <v>904</v>
      </c>
      <c r="E264" s="35" t="s">
        <v>1527</v>
      </c>
      <c r="F264" s="35" t="s">
        <v>297</v>
      </c>
      <c r="H264" s="35" t="s">
        <v>215</v>
      </c>
      <c r="I264" s="35" t="s">
        <v>215</v>
      </c>
      <c r="J264" s="35" t="s">
        <v>215</v>
      </c>
      <c r="K264" s="35" t="s">
        <v>215</v>
      </c>
    </row>
    <row r="265" spans="1:14" s="35" customFormat="1" ht="25.05" customHeight="1" x14ac:dyDescent="0.4">
      <c r="A265" s="35" t="s">
        <v>632</v>
      </c>
      <c r="B265" s="35" t="s">
        <v>1528</v>
      </c>
      <c r="C265" s="35" t="s">
        <v>340</v>
      </c>
      <c r="D265" s="35" t="s">
        <v>633</v>
      </c>
      <c r="E265" s="35" t="s">
        <v>1529</v>
      </c>
      <c r="F265" s="35" t="s">
        <v>300</v>
      </c>
      <c r="J265" s="35" t="s">
        <v>215</v>
      </c>
      <c r="K265" s="35" t="s">
        <v>215</v>
      </c>
      <c r="N265" s="35">
        <v>10.54</v>
      </c>
    </row>
    <row r="266" spans="1:14" s="35" customFormat="1" ht="25.05" customHeight="1" x14ac:dyDescent="0.4">
      <c r="A266" s="35" t="s">
        <v>632</v>
      </c>
      <c r="B266" s="35" t="s">
        <v>1530</v>
      </c>
      <c r="C266" s="35" t="s">
        <v>340</v>
      </c>
      <c r="D266" s="35" t="s">
        <v>635</v>
      </c>
      <c r="E266" s="35" t="s">
        <v>1531</v>
      </c>
      <c r="F266" s="35" t="s">
        <v>300</v>
      </c>
      <c r="G266" s="35" t="s">
        <v>1283</v>
      </c>
      <c r="J266" s="35" t="s">
        <v>215</v>
      </c>
      <c r="K266" s="35" t="s">
        <v>215</v>
      </c>
      <c r="N266" s="35">
        <v>11.33</v>
      </c>
    </row>
    <row r="267" spans="1:14" s="35" customFormat="1" ht="25.05" customHeight="1" x14ac:dyDescent="0.4">
      <c r="A267" s="35" t="s">
        <v>632</v>
      </c>
      <c r="B267" s="35" t="s">
        <v>1474</v>
      </c>
      <c r="C267" s="35" t="s">
        <v>340</v>
      </c>
      <c r="D267" s="35" t="s">
        <v>1286</v>
      </c>
      <c r="E267" s="35" t="s">
        <v>1532</v>
      </c>
      <c r="F267" s="35" t="s">
        <v>300</v>
      </c>
      <c r="G267" s="35" t="s">
        <v>1170</v>
      </c>
      <c r="J267" s="35" t="s">
        <v>215</v>
      </c>
      <c r="K267" s="35" t="s">
        <v>215</v>
      </c>
    </row>
    <row r="268" spans="1:14" s="35" customFormat="1" ht="25.05" customHeight="1" x14ac:dyDescent="0.4">
      <c r="A268" s="35" t="s">
        <v>632</v>
      </c>
      <c r="B268" s="35" t="s">
        <v>1474</v>
      </c>
      <c r="C268" s="35" t="s">
        <v>346</v>
      </c>
      <c r="D268" s="35" t="s">
        <v>1197</v>
      </c>
      <c r="E268" s="35" t="s">
        <v>1533</v>
      </c>
      <c r="F268" s="35" t="s">
        <v>300</v>
      </c>
      <c r="G268" s="35" t="s">
        <v>1042</v>
      </c>
      <c r="J268" s="35" t="s">
        <v>215</v>
      </c>
      <c r="K268" s="35" t="s">
        <v>215</v>
      </c>
    </row>
    <row r="269" spans="1:14" s="35" customFormat="1" ht="25.05" customHeight="1" x14ac:dyDescent="0.4">
      <c r="A269" s="35" t="s">
        <v>632</v>
      </c>
      <c r="B269" s="35" t="s">
        <v>1474</v>
      </c>
      <c r="C269" s="35" t="s">
        <v>360</v>
      </c>
      <c r="D269" s="35" t="s">
        <v>1314</v>
      </c>
      <c r="E269" s="35" t="s">
        <v>1534</v>
      </c>
      <c r="F269" s="35" t="s">
        <v>300</v>
      </c>
      <c r="G269" s="35" t="s">
        <v>1170</v>
      </c>
      <c r="J269" s="35" t="s">
        <v>215</v>
      </c>
      <c r="K269" s="35" t="s">
        <v>215</v>
      </c>
    </row>
    <row r="270" spans="1:14" s="35" customFormat="1" ht="25.05" customHeight="1" x14ac:dyDescent="0.4">
      <c r="A270" s="35" t="s">
        <v>632</v>
      </c>
      <c r="B270" s="35" t="s">
        <v>1474</v>
      </c>
      <c r="C270" s="35" t="s">
        <v>347</v>
      </c>
      <c r="D270" s="35" t="s">
        <v>637</v>
      </c>
      <c r="E270" s="35" t="s">
        <v>1535</v>
      </c>
      <c r="F270" s="35" t="s">
        <v>300</v>
      </c>
      <c r="J270" s="35" t="s">
        <v>215</v>
      </c>
      <c r="K270" s="35" t="s">
        <v>215</v>
      </c>
      <c r="N270" s="35">
        <v>4.9800000000000004</v>
      </c>
    </row>
    <row r="271" spans="1:14" s="35" customFormat="1" ht="25.05" customHeight="1" x14ac:dyDescent="0.4">
      <c r="A271" s="35" t="s">
        <v>632</v>
      </c>
      <c r="B271" s="35" t="s">
        <v>1536</v>
      </c>
      <c r="C271" s="35" t="s">
        <v>340</v>
      </c>
      <c r="D271" s="35" t="s">
        <v>1290</v>
      </c>
      <c r="E271" s="35" t="s">
        <v>1537</v>
      </c>
      <c r="F271" s="35" t="s">
        <v>300</v>
      </c>
      <c r="G271" s="35" t="s">
        <v>1170</v>
      </c>
      <c r="J271" s="35" t="s">
        <v>215</v>
      </c>
      <c r="K271" s="35" t="s">
        <v>215</v>
      </c>
    </row>
    <row r="272" spans="1:14" s="35" customFormat="1" ht="25.05" customHeight="1" x14ac:dyDescent="0.4">
      <c r="A272" s="35" t="s">
        <v>632</v>
      </c>
      <c r="B272" s="35" t="s">
        <v>1536</v>
      </c>
      <c r="C272" s="35" t="s">
        <v>346</v>
      </c>
      <c r="D272" s="35" t="s">
        <v>1298</v>
      </c>
      <c r="E272" s="35" t="s">
        <v>1538</v>
      </c>
      <c r="F272" s="35" t="s">
        <v>300</v>
      </c>
      <c r="G272" s="35" t="s">
        <v>1170</v>
      </c>
      <c r="J272" s="35" t="s">
        <v>215</v>
      </c>
      <c r="K272" s="35" t="s">
        <v>215</v>
      </c>
    </row>
    <row r="273" spans="1:14" s="35" customFormat="1" ht="25.05" customHeight="1" x14ac:dyDescent="0.4">
      <c r="A273" s="35" t="s">
        <v>632</v>
      </c>
      <c r="B273" s="35" t="s">
        <v>1536</v>
      </c>
      <c r="C273" s="35" t="s">
        <v>360</v>
      </c>
      <c r="D273" s="35" t="s">
        <v>1168</v>
      </c>
      <c r="E273" s="35" t="s">
        <v>1539</v>
      </c>
      <c r="F273" s="35" t="s">
        <v>300</v>
      </c>
      <c r="G273" s="35" t="s">
        <v>1170</v>
      </c>
      <c r="J273" s="35" t="s">
        <v>215</v>
      </c>
      <c r="K273" s="35" t="s">
        <v>215</v>
      </c>
    </row>
    <row r="274" spans="1:14" s="35" customFormat="1" ht="25.05" customHeight="1" x14ac:dyDescent="0.4">
      <c r="A274" s="35" t="s">
        <v>632</v>
      </c>
      <c r="B274" s="35" t="s">
        <v>1536</v>
      </c>
      <c r="C274" s="35" t="s">
        <v>347</v>
      </c>
      <c r="D274" s="35" t="s">
        <v>1296</v>
      </c>
      <c r="E274" s="35" t="s">
        <v>1540</v>
      </c>
      <c r="F274" s="35" t="s">
        <v>300</v>
      </c>
      <c r="G274" s="35" t="s">
        <v>1170</v>
      </c>
      <c r="J274" s="35" t="s">
        <v>215</v>
      </c>
      <c r="K274" s="35" t="s">
        <v>215</v>
      </c>
    </row>
    <row r="275" spans="1:14" s="35" customFormat="1" ht="25.05" customHeight="1" x14ac:dyDescent="0.4">
      <c r="A275" s="35" t="s">
        <v>632</v>
      </c>
      <c r="B275" s="35" t="s">
        <v>1536</v>
      </c>
      <c r="C275" s="35" t="s">
        <v>363</v>
      </c>
      <c r="D275" s="35" t="s">
        <v>1262</v>
      </c>
      <c r="E275" s="35" t="s">
        <v>1541</v>
      </c>
      <c r="F275" s="35" t="s">
        <v>300</v>
      </c>
      <c r="G275" s="35" t="s">
        <v>1170</v>
      </c>
      <c r="J275" s="35" t="s">
        <v>215</v>
      </c>
      <c r="K275" s="35" t="s">
        <v>215</v>
      </c>
    </row>
    <row r="276" spans="1:14" s="35" customFormat="1" ht="25.05" customHeight="1" x14ac:dyDescent="0.4">
      <c r="A276" s="35" t="s">
        <v>632</v>
      </c>
      <c r="B276" s="35" t="s">
        <v>1542</v>
      </c>
      <c r="C276" s="35" t="s">
        <v>340</v>
      </c>
      <c r="D276" s="35" t="s">
        <v>1292</v>
      </c>
      <c r="E276" s="35" t="s">
        <v>1543</v>
      </c>
      <c r="F276" s="35" t="s">
        <v>300</v>
      </c>
      <c r="G276" s="35" t="s">
        <v>1170</v>
      </c>
      <c r="J276" s="35" t="s">
        <v>215</v>
      </c>
      <c r="K276" s="35" t="s">
        <v>215</v>
      </c>
    </row>
    <row r="277" spans="1:14" s="35" customFormat="1" ht="25.05" customHeight="1" x14ac:dyDescent="0.4">
      <c r="A277" s="35" t="s">
        <v>632</v>
      </c>
      <c r="B277" s="35" t="s">
        <v>1542</v>
      </c>
      <c r="C277" s="35" t="s">
        <v>346</v>
      </c>
      <c r="D277" s="35" t="s">
        <v>1266</v>
      </c>
      <c r="E277" s="35" t="s">
        <v>1544</v>
      </c>
      <c r="F277" s="35" t="s">
        <v>300</v>
      </c>
      <c r="G277" s="35" t="s">
        <v>1170</v>
      </c>
      <c r="J277" s="35" t="s">
        <v>215</v>
      </c>
      <c r="K277" s="35" t="s">
        <v>215</v>
      </c>
    </row>
    <row r="278" spans="1:14" s="35" customFormat="1" ht="25.05" customHeight="1" x14ac:dyDescent="0.4">
      <c r="A278" s="35" t="s">
        <v>632</v>
      </c>
      <c r="B278" s="35" t="s">
        <v>1545</v>
      </c>
      <c r="C278" s="35" t="s">
        <v>340</v>
      </c>
      <c r="D278" s="35" t="s">
        <v>1294</v>
      </c>
      <c r="E278" s="35" t="s">
        <v>1546</v>
      </c>
      <c r="F278" s="35" t="s">
        <v>300</v>
      </c>
      <c r="G278" s="35" t="s">
        <v>1170</v>
      </c>
      <c r="J278" s="35" t="s">
        <v>215</v>
      </c>
      <c r="K278" s="35" t="s">
        <v>215</v>
      </c>
    </row>
    <row r="279" spans="1:14" s="35" customFormat="1" ht="25.05" customHeight="1" x14ac:dyDescent="0.4">
      <c r="A279" s="35" t="s">
        <v>632</v>
      </c>
      <c r="B279" s="35" t="s">
        <v>1547</v>
      </c>
      <c r="C279" s="35" t="s">
        <v>340</v>
      </c>
      <c r="D279" s="35" t="s">
        <v>905</v>
      </c>
      <c r="E279" s="35" t="s">
        <v>1548</v>
      </c>
      <c r="F279" s="35" t="s">
        <v>298</v>
      </c>
      <c r="J279" s="35" t="s">
        <v>215</v>
      </c>
      <c r="K279" s="35" t="s">
        <v>215</v>
      </c>
      <c r="N279" s="35">
        <v>1.1499999999999999</v>
      </c>
    </row>
    <row r="280" spans="1:14" s="35" customFormat="1" ht="25.05" customHeight="1" x14ac:dyDescent="0.4">
      <c r="A280" s="35" t="s">
        <v>632</v>
      </c>
      <c r="B280" s="35" t="s">
        <v>1549</v>
      </c>
      <c r="C280" s="35" t="s">
        <v>340</v>
      </c>
      <c r="D280" s="35" t="s">
        <v>760</v>
      </c>
      <c r="E280" s="35" t="s">
        <v>1550</v>
      </c>
      <c r="F280" s="35" t="s">
        <v>300</v>
      </c>
      <c r="J280" s="35" t="s">
        <v>215</v>
      </c>
      <c r="K280" s="35" t="s">
        <v>215</v>
      </c>
      <c r="N280" s="35">
        <v>5.93</v>
      </c>
    </row>
    <row r="281" spans="1:14" s="35" customFormat="1" ht="25.05" customHeight="1" x14ac:dyDescent="0.4">
      <c r="A281" s="35" t="s">
        <v>632</v>
      </c>
      <c r="B281" s="35" t="s">
        <v>1551</v>
      </c>
      <c r="C281" s="35" t="s">
        <v>340</v>
      </c>
      <c r="D281" s="35" t="s">
        <v>852</v>
      </c>
      <c r="E281" s="35" t="s">
        <v>1552</v>
      </c>
      <c r="F281" s="35" t="s">
        <v>300</v>
      </c>
      <c r="G281" s="35" t="s">
        <v>1138</v>
      </c>
      <c r="J281" s="35" t="s">
        <v>215</v>
      </c>
      <c r="K281" s="35" t="s">
        <v>215</v>
      </c>
    </row>
    <row r="282" spans="1:14" s="35" customFormat="1" ht="25.05" customHeight="1" x14ac:dyDescent="0.4">
      <c r="A282" s="35" t="s">
        <v>632</v>
      </c>
      <c r="B282" s="35" t="s">
        <v>1553</v>
      </c>
      <c r="C282" s="35" t="s">
        <v>340</v>
      </c>
      <c r="D282" s="35" t="s">
        <v>658</v>
      </c>
      <c r="E282" s="35" t="s">
        <v>1554</v>
      </c>
      <c r="F282" s="35" t="s">
        <v>303</v>
      </c>
      <c r="H282" s="35" t="s">
        <v>2205</v>
      </c>
      <c r="I282" s="35" t="s">
        <v>1976</v>
      </c>
      <c r="J282" s="35" t="s">
        <v>215</v>
      </c>
      <c r="K282" s="35" t="s">
        <v>215</v>
      </c>
      <c r="N282" s="35">
        <v>5.52</v>
      </c>
    </row>
    <row r="283" spans="1:14" s="35" customFormat="1" ht="25.05" customHeight="1" x14ac:dyDescent="0.4">
      <c r="A283" s="35" t="s">
        <v>632</v>
      </c>
      <c r="B283" s="35" t="s">
        <v>1555</v>
      </c>
      <c r="C283" s="35" t="s">
        <v>340</v>
      </c>
      <c r="D283" s="35" t="s">
        <v>1161</v>
      </c>
      <c r="E283" s="35" t="s">
        <v>1556</v>
      </c>
      <c r="F283" s="35" t="s">
        <v>300</v>
      </c>
      <c r="G283" s="35" t="s">
        <v>1164</v>
      </c>
      <c r="J283" s="35" t="s">
        <v>215</v>
      </c>
      <c r="K283" s="35" t="s">
        <v>215</v>
      </c>
    </row>
    <row r="284" spans="1:14" s="35" customFormat="1" ht="25.05" customHeight="1" x14ac:dyDescent="0.4">
      <c r="A284" s="35" t="s">
        <v>632</v>
      </c>
      <c r="B284" s="35" t="s">
        <v>1557</v>
      </c>
      <c r="C284" s="35" t="s">
        <v>340</v>
      </c>
      <c r="D284" s="35" t="s">
        <v>1165</v>
      </c>
      <c r="E284" s="35" t="s">
        <v>1558</v>
      </c>
      <c r="F284" s="35" t="s">
        <v>300</v>
      </c>
      <c r="G284" s="35" t="s">
        <v>1056</v>
      </c>
      <c r="J284" s="35" t="s">
        <v>215</v>
      </c>
      <c r="K284" s="35" t="s">
        <v>215</v>
      </c>
    </row>
    <row r="285" spans="1:14" s="35" customFormat="1" ht="25.05" customHeight="1" x14ac:dyDescent="0.4">
      <c r="A285" s="35" t="s">
        <v>632</v>
      </c>
      <c r="B285" s="35" t="s">
        <v>1557</v>
      </c>
      <c r="C285" s="35" t="s">
        <v>363</v>
      </c>
      <c r="D285" s="35" t="s">
        <v>1180</v>
      </c>
      <c r="E285" s="35" t="s">
        <v>1559</v>
      </c>
      <c r="F285" s="35" t="s">
        <v>300</v>
      </c>
      <c r="G285" s="35" t="s">
        <v>1182</v>
      </c>
      <c r="J285" s="35" t="s">
        <v>215</v>
      </c>
      <c r="K285" s="35" t="s">
        <v>215</v>
      </c>
    </row>
    <row r="286" spans="1:14" s="35" customFormat="1" ht="25.05" customHeight="1" x14ac:dyDescent="0.4">
      <c r="A286" s="35" t="s">
        <v>632</v>
      </c>
      <c r="B286" s="35" t="s">
        <v>1560</v>
      </c>
      <c r="C286" s="35" t="s">
        <v>340</v>
      </c>
      <c r="D286" s="35" t="s">
        <v>1176</v>
      </c>
      <c r="E286" s="35" t="s">
        <v>1561</v>
      </c>
      <c r="F286" s="35" t="s">
        <v>300</v>
      </c>
      <c r="G286" s="35" t="s">
        <v>1170</v>
      </c>
      <c r="J286" s="35" t="s">
        <v>215</v>
      </c>
      <c r="K286" s="35" t="s">
        <v>215</v>
      </c>
    </row>
    <row r="287" spans="1:14" s="35" customFormat="1" ht="25.05" customHeight="1" x14ac:dyDescent="0.4">
      <c r="A287" s="35" t="s">
        <v>632</v>
      </c>
      <c r="B287" s="35" t="s">
        <v>1560</v>
      </c>
      <c r="C287" s="35" t="s">
        <v>346</v>
      </c>
      <c r="D287" s="35" t="s">
        <v>1264</v>
      </c>
      <c r="E287" s="35" t="s">
        <v>1562</v>
      </c>
      <c r="F287" s="35" t="s">
        <v>300</v>
      </c>
      <c r="G287" s="35" t="s">
        <v>1170</v>
      </c>
      <c r="J287" s="35" t="s">
        <v>215</v>
      </c>
      <c r="K287" s="35" t="s">
        <v>215</v>
      </c>
    </row>
    <row r="288" spans="1:14" s="35" customFormat="1" ht="25.05" customHeight="1" x14ac:dyDescent="0.4">
      <c r="A288" s="35" t="s">
        <v>632</v>
      </c>
      <c r="B288" s="35" t="s">
        <v>1563</v>
      </c>
      <c r="C288" s="35" t="s">
        <v>340</v>
      </c>
      <c r="D288" s="35" t="s">
        <v>667</v>
      </c>
      <c r="E288" s="35" t="s">
        <v>1564</v>
      </c>
      <c r="F288" s="35" t="s">
        <v>303</v>
      </c>
      <c r="J288" s="35" t="s">
        <v>215</v>
      </c>
      <c r="K288" s="35" t="s">
        <v>215</v>
      </c>
      <c r="N288" s="35">
        <v>5.68</v>
      </c>
    </row>
    <row r="289" spans="1:14" s="35" customFormat="1" ht="25.05" customHeight="1" x14ac:dyDescent="0.4">
      <c r="A289" s="35" t="s">
        <v>632</v>
      </c>
      <c r="B289" s="35" t="s">
        <v>1565</v>
      </c>
      <c r="C289" s="35" t="s">
        <v>340</v>
      </c>
      <c r="D289" s="35" t="s">
        <v>1183</v>
      </c>
      <c r="E289" s="35" t="s">
        <v>1566</v>
      </c>
      <c r="F289" s="35" t="s">
        <v>323</v>
      </c>
      <c r="G289" s="35" t="s">
        <v>1186</v>
      </c>
      <c r="J289" s="35" t="s">
        <v>215</v>
      </c>
      <c r="K289" s="35" t="s">
        <v>215</v>
      </c>
      <c r="N289" s="35">
        <v>4.1399999999999997</v>
      </c>
    </row>
    <row r="290" spans="1:14" s="35" customFormat="1" ht="25.05" customHeight="1" x14ac:dyDescent="0.4">
      <c r="A290" s="35" t="s">
        <v>632</v>
      </c>
      <c r="B290" s="35" t="s">
        <v>1567</v>
      </c>
      <c r="C290" s="35" t="s">
        <v>340</v>
      </c>
      <c r="D290" s="35" t="s">
        <v>1204</v>
      </c>
      <c r="E290" s="35" t="s">
        <v>1568</v>
      </c>
      <c r="F290" s="35" t="s">
        <v>300</v>
      </c>
      <c r="G290" s="35" t="s">
        <v>1206</v>
      </c>
      <c r="J290" s="35" t="s">
        <v>215</v>
      </c>
      <c r="K290" s="35" t="s">
        <v>215</v>
      </c>
    </row>
    <row r="291" spans="1:14" s="35" customFormat="1" ht="25.05" customHeight="1" x14ac:dyDescent="0.4">
      <c r="A291" s="35" t="s">
        <v>632</v>
      </c>
      <c r="B291" s="35" t="s">
        <v>1569</v>
      </c>
      <c r="C291" s="35" t="s">
        <v>340</v>
      </c>
      <c r="D291" s="35" t="s">
        <v>677</v>
      </c>
      <c r="E291" s="35" t="s">
        <v>1570</v>
      </c>
      <c r="F291" s="35" t="s">
        <v>300</v>
      </c>
      <c r="J291" s="35" t="s">
        <v>215</v>
      </c>
      <c r="K291" s="35" t="s">
        <v>215</v>
      </c>
      <c r="N291" s="35">
        <v>6.39</v>
      </c>
    </row>
    <row r="292" spans="1:14" s="35" customFormat="1" ht="25.05" customHeight="1" x14ac:dyDescent="0.4">
      <c r="A292" s="35" t="s">
        <v>632</v>
      </c>
      <c r="B292" s="35" t="s">
        <v>1571</v>
      </c>
      <c r="C292" s="35" t="s">
        <v>340</v>
      </c>
      <c r="D292" s="35" t="s">
        <v>679</v>
      </c>
      <c r="E292" s="35" t="s">
        <v>1572</v>
      </c>
      <c r="F292" s="35" t="s">
        <v>303</v>
      </c>
      <c r="J292" s="35" t="s">
        <v>215</v>
      </c>
      <c r="K292" s="35" t="s">
        <v>215</v>
      </c>
      <c r="N292" s="35">
        <v>5.66</v>
      </c>
    </row>
    <row r="293" spans="1:14" s="35" customFormat="1" ht="25.05" customHeight="1" x14ac:dyDescent="0.4">
      <c r="A293" s="35" t="s">
        <v>632</v>
      </c>
      <c r="B293" s="35" t="s">
        <v>1573</v>
      </c>
      <c r="C293" s="35" t="s">
        <v>340</v>
      </c>
      <c r="D293" s="35" t="s">
        <v>683</v>
      </c>
      <c r="E293" s="35" t="s">
        <v>1574</v>
      </c>
      <c r="F293" s="35" t="s">
        <v>300</v>
      </c>
      <c r="J293" s="35" t="s">
        <v>215</v>
      </c>
      <c r="K293" s="35" t="s">
        <v>215</v>
      </c>
      <c r="N293" s="35">
        <v>10.7</v>
      </c>
    </row>
    <row r="294" spans="1:14" s="35" customFormat="1" ht="25.05" customHeight="1" x14ac:dyDescent="0.4">
      <c r="A294" s="35" t="s">
        <v>632</v>
      </c>
      <c r="B294" s="35" t="s">
        <v>1575</v>
      </c>
      <c r="C294" s="35" t="s">
        <v>340</v>
      </c>
      <c r="D294" s="35" t="s">
        <v>1220</v>
      </c>
      <c r="E294" s="35" t="s">
        <v>1576</v>
      </c>
      <c r="F294" s="35" t="s">
        <v>300</v>
      </c>
      <c r="G294" s="35" t="s">
        <v>1223</v>
      </c>
      <c r="J294" s="35" t="s">
        <v>215</v>
      </c>
      <c r="K294" s="35" t="s">
        <v>215</v>
      </c>
    </row>
    <row r="295" spans="1:14" s="35" customFormat="1" ht="25.05" customHeight="1" x14ac:dyDescent="0.4">
      <c r="A295" s="35" t="s">
        <v>632</v>
      </c>
      <c r="B295" s="35" t="s">
        <v>1577</v>
      </c>
      <c r="C295" s="35" t="s">
        <v>340</v>
      </c>
      <c r="D295" s="35" t="s">
        <v>693</v>
      </c>
      <c r="E295" s="35" t="s">
        <v>1578</v>
      </c>
      <c r="F295" s="35" t="s">
        <v>300</v>
      </c>
      <c r="G295" s="35" t="s">
        <v>1226</v>
      </c>
      <c r="H295" s="35" t="s">
        <v>215</v>
      </c>
      <c r="I295" s="35" t="s">
        <v>215</v>
      </c>
      <c r="J295" s="35" t="s">
        <v>215</v>
      </c>
      <c r="K295" s="35" t="s">
        <v>215</v>
      </c>
    </row>
    <row r="296" spans="1:14" s="35" customFormat="1" ht="25.05" customHeight="1" x14ac:dyDescent="0.4">
      <c r="A296" s="35" t="s">
        <v>632</v>
      </c>
      <c r="B296" s="35" t="s">
        <v>1577</v>
      </c>
      <c r="C296" s="35" t="s">
        <v>346</v>
      </c>
      <c r="D296" s="35" t="s">
        <v>1227</v>
      </c>
      <c r="E296" s="35" t="s">
        <v>1578</v>
      </c>
      <c r="F296" s="35" t="s">
        <v>300</v>
      </c>
      <c r="G296" s="35" t="s">
        <v>1228</v>
      </c>
      <c r="H296" s="35" t="s">
        <v>215</v>
      </c>
      <c r="I296" s="35" t="s">
        <v>215</v>
      </c>
      <c r="J296" s="35" t="s">
        <v>215</v>
      </c>
      <c r="K296" s="35" t="s">
        <v>215</v>
      </c>
    </row>
    <row r="297" spans="1:14" s="35" customFormat="1" ht="25.05" customHeight="1" x14ac:dyDescent="0.4">
      <c r="A297" s="35" t="s">
        <v>632</v>
      </c>
      <c r="B297" s="35" t="s">
        <v>1579</v>
      </c>
      <c r="C297" s="35" t="s">
        <v>340</v>
      </c>
      <c r="D297" s="35" t="s">
        <v>695</v>
      </c>
      <c r="E297" s="35" t="s">
        <v>1580</v>
      </c>
      <c r="F297" s="35" t="s">
        <v>300</v>
      </c>
      <c r="H297" s="35" t="s">
        <v>215</v>
      </c>
      <c r="I297" s="35" t="s">
        <v>215</v>
      </c>
      <c r="J297" s="35" t="s">
        <v>215</v>
      </c>
      <c r="K297" s="35" t="s">
        <v>215</v>
      </c>
    </row>
    <row r="298" spans="1:14" s="35" customFormat="1" ht="25.05" customHeight="1" x14ac:dyDescent="0.4">
      <c r="A298" s="35" t="s">
        <v>632</v>
      </c>
      <c r="B298" s="35" t="s">
        <v>1581</v>
      </c>
      <c r="C298" s="35" t="s">
        <v>340</v>
      </c>
      <c r="D298" s="35" t="s">
        <v>699</v>
      </c>
      <c r="E298" s="35" t="s">
        <v>1582</v>
      </c>
      <c r="F298" s="35" t="s">
        <v>303</v>
      </c>
      <c r="H298" s="35" t="s">
        <v>215</v>
      </c>
      <c r="I298" s="35" t="s">
        <v>215</v>
      </c>
      <c r="J298" s="35" t="s">
        <v>215</v>
      </c>
      <c r="K298" s="35" t="s">
        <v>215</v>
      </c>
    </row>
    <row r="299" spans="1:14" s="35" customFormat="1" ht="25.05" customHeight="1" x14ac:dyDescent="0.4">
      <c r="A299" s="35" t="s">
        <v>632</v>
      </c>
      <c r="B299" s="35" t="s">
        <v>1583</v>
      </c>
      <c r="C299" s="35" t="s">
        <v>340</v>
      </c>
      <c r="D299" s="35" t="s">
        <v>1249</v>
      </c>
      <c r="E299" s="35" t="s">
        <v>1584</v>
      </c>
      <c r="F299" s="35" t="s">
        <v>300</v>
      </c>
      <c r="G299" s="35" t="s">
        <v>1170</v>
      </c>
      <c r="H299" s="35" t="s">
        <v>215</v>
      </c>
      <c r="I299" s="35" t="s">
        <v>215</v>
      </c>
      <c r="J299" s="35" t="s">
        <v>215</v>
      </c>
      <c r="K299" s="35" t="s">
        <v>215</v>
      </c>
    </row>
    <row r="300" spans="1:14" s="35" customFormat="1" ht="25.05" customHeight="1" x14ac:dyDescent="0.4">
      <c r="A300" s="35" t="s">
        <v>632</v>
      </c>
      <c r="B300" s="35" t="s">
        <v>1585</v>
      </c>
      <c r="C300" s="35" t="s">
        <v>340</v>
      </c>
      <c r="D300" s="35" t="s">
        <v>1200</v>
      </c>
      <c r="E300" s="35" t="s">
        <v>1586</v>
      </c>
      <c r="F300" s="35" t="s">
        <v>303</v>
      </c>
      <c r="G300" s="35" t="s">
        <v>1203</v>
      </c>
      <c r="J300" s="35" t="s">
        <v>215</v>
      </c>
      <c r="K300" s="35" t="s">
        <v>215</v>
      </c>
    </row>
    <row r="301" spans="1:14" s="35" customFormat="1" ht="25.05" customHeight="1" x14ac:dyDescent="0.4">
      <c r="A301" s="35" t="s">
        <v>632</v>
      </c>
      <c r="B301" s="35" t="s">
        <v>1587</v>
      </c>
      <c r="C301" s="35" t="s">
        <v>340</v>
      </c>
      <c r="D301" s="35" t="s">
        <v>705</v>
      </c>
      <c r="E301" s="35" t="s">
        <v>1588</v>
      </c>
      <c r="F301" s="35" t="s">
        <v>300</v>
      </c>
      <c r="H301" s="35" t="s">
        <v>215</v>
      </c>
      <c r="I301" s="35" t="s">
        <v>215</v>
      </c>
      <c r="J301" s="35" t="s">
        <v>215</v>
      </c>
      <c r="K301" s="35" t="s">
        <v>215</v>
      </c>
    </row>
    <row r="302" spans="1:14" s="35" customFormat="1" ht="25.05" customHeight="1" x14ac:dyDescent="0.4">
      <c r="A302" s="35" t="s">
        <v>632</v>
      </c>
      <c r="B302" s="35" t="s">
        <v>418</v>
      </c>
      <c r="C302" s="35" t="s">
        <v>539</v>
      </c>
      <c r="D302" s="35" t="s">
        <v>715</v>
      </c>
      <c r="E302" s="35" t="s">
        <v>1589</v>
      </c>
      <c r="F302" s="35" t="s">
        <v>300</v>
      </c>
      <c r="J302" s="35" t="s">
        <v>215</v>
      </c>
      <c r="K302" s="35" t="s">
        <v>215</v>
      </c>
      <c r="N302" s="35">
        <v>12.07</v>
      </c>
    </row>
    <row r="303" spans="1:14" s="35" customFormat="1" ht="25.05" customHeight="1" x14ac:dyDescent="0.4">
      <c r="A303" s="35" t="s">
        <v>632</v>
      </c>
      <c r="B303" s="35" t="s">
        <v>418</v>
      </c>
      <c r="C303" s="35" t="s">
        <v>538</v>
      </c>
      <c r="D303" s="35" t="s">
        <v>717</v>
      </c>
      <c r="E303" s="35" t="s">
        <v>1590</v>
      </c>
      <c r="F303" s="35" t="s">
        <v>300</v>
      </c>
      <c r="J303" s="35" t="s">
        <v>215</v>
      </c>
      <c r="K303" s="35" t="s">
        <v>215</v>
      </c>
      <c r="N303" s="35">
        <v>18.2</v>
      </c>
    </row>
    <row r="304" spans="1:14" s="35" customFormat="1" ht="25.05" customHeight="1" x14ac:dyDescent="0.4">
      <c r="A304" s="35" t="s">
        <v>632</v>
      </c>
      <c r="B304" s="35" t="s">
        <v>418</v>
      </c>
      <c r="C304" s="35" t="s">
        <v>1591</v>
      </c>
      <c r="D304" s="35" t="s">
        <v>721</v>
      </c>
      <c r="E304" s="35" t="s">
        <v>1592</v>
      </c>
      <c r="F304" s="35" t="s">
        <v>300</v>
      </c>
      <c r="J304" s="35" t="s">
        <v>215</v>
      </c>
      <c r="K304" s="35" t="s">
        <v>215</v>
      </c>
      <c r="N304" s="35">
        <v>13.59</v>
      </c>
    </row>
    <row r="305" spans="1:14" s="35" customFormat="1" ht="25.05" customHeight="1" x14ac:dyDescent="0.4">
      <c r="A305" s="35" t="s">
        <v>632</v>
      </c>
      <c r="B305" s="35" t="s">
        <v>373</v>
      </c>
      <c r="C305" s="35" t="s">
        <v>535</v>
      </c>
      <c r="D305" s="35" t="s">
        <v>735</v>
      </c>
      <c r="E305" s="35" t="s">
        <v>1593</v>
      </c>
      <c r="F305" s="35" t="s">
        <v>300</v>
      </c>
      <c r="J305" s="35" t="s">
        <v>215</v>
      </c>
      <c r="K305" s="35" t="s">
        <v>215</v>
      </c>
      <c r="N305" s="35">
        <v>28.79</v>
      </c>
    </row>
    <row r="306" spans="1:14" s="35" customFormat="1" ht="25.05" customHeight="1" x14ac:dyDescent="0.4">
      <c r="A306" s="35" t="s">
        <v>632</v>
      </c>
      <c r="B306" s="35" t="s">
        <v>369</v>
      </c>
      <c r="C306" s="35" t="s">
        <v>535</v>
      </c>
      <c r="D306" s="35" t="s">
        <v>1187</v>
      </c>
      <c r="E306" s="35" t="s">
        <v>1593</v>
      </c>
      <c r="F306" s="35" t="s">
        <v>300</v>
      </c>
      <c r="J306" s="35" t="s">
        <v>215</v>
      </c>
      <c r="K306" s="35" t="s">
        <v>215</v>
      </c>
    </row>
    <row r="307" spans="1:14" s="35" customFormat="1" ht="25.05" customHeight="1" x14ac:dyDescent="0.4">
      <c r="A307" s="35" t="s">
        <v>641</v>
      </c>
      <c r="B307" s="35" t="s">
        <v>1594</v>
      </c>
      <c r="C307" s="35" t="s">
        <v>340</v>
      </c>
      <c r="D307" s="35" t="s">
        <v>912</v>
      </c>
      <c r="E307" s="35" t="s">
        <v>1595</v>
      </c>
      <c r="F307" s="35" t="s">
        <v>303</v>
      </c>
      <c r="G307" s="35" t="s">
        <v>1051</v>
      </c>
      <c r="J307" s="35" t="s">
        <v>215</v>
      </c>
      <c r="K307" s="35" t="s">
        <v>215</v>
      </c>
      <c r="N307" s="35">
        <v>8.42</v>
      </c>
    </row>
    <row r="308" spans="1:14" s="35" customFormat="1" ht="25.05" customHeight="1" x14ac:dyDescent="0.4">
      <c r="A308" s="35" t="s">
        <v>641</v>
      </c>
      <c r="B308" s="35" t="s">
        <v>1596</v>
      </c>
      <c r="C308" s="35" t="s">
        <v>340</v>
      </c>
      <c r="D308" s="35" t="s">
        <v>913</v>
      </c>
      <c r="E308" s="35" t="s">
        <v>1597</v>
      </c>
      <c r="F308" s="35" t="s">
        <v>299</v>
      </c>
      <c r="G308" s="35" t="s">
        <v>429</v>
      </c>
      <c r="J308" s="35" t="s">
        <v>215</v>
      </c>
      <c r="K308" s="35" t="s">
        <v>215</v>
      </c>
      <c r="N308" s="35">
        <v>2.62</v>
      </c>
    </row>
    <row r="309" spans="1:14" s="35" customFormat="1" ht="25.05" customHeight="1" x14ac:dyDescent="0.4">
      <c r="A309" s="35" t="s">
        <v>641</v>
      </c>
      <c r="B309" s="35" t="s">
        <v>1598</v>
      </c>
      <c r="C309" s="35" t="s">
        <v>340</v>
      </c>
      <c r="D309" s="35" t="s">
        <v>1268</v>
      </c>
      <c r="E309" s="35" t="s">
        <v>1599</v>
      </c>
      <c r="F309" s="35" t="s">
        <v>323</v>
      </c>
      <c r="H309" s="35" t="s">
        <v>2008</v>
      </c>
      <c r="I309" s="35" t="s">
        <v>1976</v>
      </c>
      <c r="J309" s="35" t="s">
        <v>215</v>
      </c>
      <c r="K309" s="35" t="s">
        <v>215</v>
      </c>
      <c r="N309" s="35">
        <v>7.37</v>
      </c>
    </row>
    <row r="310" spans="1:14" s="35" customFormat="1" ht="25.05" customHeight="1" x14ac:dyDescent="0.4">
      <c r="A310" s="35" t="s">
        <v>641</v>
      </c>
      <c r="B310" s="35" t="s">
        <v>1600</v>
      </c>
      <c r="C310" s="35" t="s">
        <v>340</v>
      </c>
      <c r="D310" s="35" t="s">
        <v>642</v>
      </c>
      <c r="E310" s="35" t="s">
        <v>1601</v>
      </c>
      <c r="F310" s="35" t="s">
        <v>300</v>
      </c>
      <c r="J310" s="35" t="s">
        <v>215</v>
      </c>
      <c r="K310" s="35" t="s">
        <v>215</v>
      </c>
      <c r="N310" s="35">
        <v>4.1399999999999997</v>
      </c>
    </row>
    <row r="311" spans="1:14" s="35" customFormat="1" ht="25.05" customHeight="1" x14ac:dyDescent="0.4">
      <c r="A311" s="35" t="s">
        <v>641</v>
      </c>
      <c r="B311" s="35" t="s">
        <v>1602</v>
      </c>
      <c r="C311" s="35" t="s">
        <v>340</v>
      </c>
      <c r="D311" s="35" t="s">
        <v>644</v>
      </c>
      <c r="E311" s="35" t="s">
        <v>1603</v>
      </c>
      <c r="F311" s="35" t="s">
        <v>300</v>
      </c>
      <c r="J311" s="35" t="s">
        <v>215</v>
      </c>
      <c r="K311" s="35" t="s">
        <v>215</v>
      </c>
      <c r="N311" s="35">
        <v>6.54</v>
      </c>
    </row>
    <row r="312" spans="1:14" s="35" customFormat="1" ht="25.05" customHeight="1" x14ac:dyDescent="0.4">
      <c r="A312" s="35" t="s">
        <v>641</v>
      </c>
      <c r="B312" s="35" t="s">
        <v>1604</v>
      </c>
      <c r="C312" s="35" t="s">
        <v>340</v>
      </c>
      <c r="D312" s="35" t="s">
        <v>916</v>
      </c>
      <c r="E312" s="35" t="s">
        <v>1605</v>
      </c>
      <c r="F312" s="35" t="s">
        <v>302</v>
      </c>
      <c r="J312" s="35" t="s">
        <v>215</v>
      </c>
      <c r="K312" s="35" t="s">
        <v>215</v>
      </c>
      <c r="N312" s="35">
        <v>0.52</v>
      </c>
    </row>
    <row r="313" spans="1:14" s="35" customFormat="1" ht="25.05" customHeight="1" x14ac:dyDescent="0.4">
      <c r="A313" s="35" t="s">
        <v>641</v>
      </c>
      <c r="B313" s="35" t="s">
        <v>1606</v>
      </c>
      <c r="C313" s="35" t="s">
        <v>340</v>
      </c>
      <c r="D313" s="35" t="s">
        <v>1300</v>
      </c>
      <c r="E313" s="35" t="s">
        <v>1607</v>
      </c>
      <c r="F313" s="35" t="s">
        <v>300</v>
      </c>
      <c r="H313" s="35" t="s">
        <v>2008</v>
      </c>
      <c r="I313" s="35" t="s">
        <v>1976</v>
      </c>
      <c r="J313" s="35" t="s">
        <v>215</v>
      </c>
      <c r="K313" s="35" t="s">
        <v>215</v>
      </c>
    </row>
    <row r="314" spans="1:14" s="35" customFormat="1" ht="25.05" customHeight="1" x14ac:dyDescent="0.4">
      <c r="A314" s="35" t="s">
        <v>641</v>
      </c>
      <c r="B314" s="35" t="s">
        <v>1608</v>
      </c>
      <c r="C314" s="35" t="s">
        <v>340</v>
      </c>
      <c r="D314" s="35" t="s">
        <v>654</v>
      </c>
      <c r="E314" s="35" t="s">
        <v>1609</v>
      </c>
      <c r="F314" s="35" t="s">
        <v>300</v>
      </c>
      <c r="H314" s="35" t="s">
        <v>2008</v>
      </c>
      <c r="I314" s="35" t="s">
        <v>1976</v>
      </c>
      <c r="J314" s="35" t="s">
        <v>215</v>
      </c>
      <c r="K314" s="35" t="s">
        <v>215</v>
      </c>
      <c r="N314" s="35">
        <v>5</v>
      </c>
    </row>
    <row r="315" spans="1:14" s="35" customFormat="1" ht="25.05" customHeight="1" x14ac:dyDescent="0.4">
      <c r="A315" s="35" t="s">
        <v>641</v>
      </c>
      <c r="B315" s="35" t="s">
        <v>1610</v>
      </c>
      <c r="C315" s="35" t="s">
        <v>340</v>
      </c>
      <c r="D315" s="35" t="s">
        <v>1328</v>
      </c>
      <c r="E315" s="35" t="s">
        <v>1611</v>
      </c>
      <c r="F315" s="35" t="s">
        <v>300</v>
      </c>
      <c r="H315" s="35" t="s">
        <v>2008</v>
      </c>
      <c r="I315" s="35" t="s">
        <v>1976</v>
      </c>
      <c r="J315" s="35" t="s">
        <v>215</v>
      </c>
      <c r="K315" s="35" t="s">
        <v>215</v>
      </c>
      <c r="N315" s="35">
        <v>0.35</v>
      </c>
    </row>
    <row r="316" spans="1:14" s="35" customFormat="1" ht="25.05" customHeight="1" x14ac:dyDescent="0.4">
      <c r="A316" s="35" t="s">
        <v>641</v>
      </c>
      <c r="B316" s="35" t="s">
        <v>1349</v>
      </c>
      <c r="C316" s="35" t="s">
        <v>346</v>
      </c>
      <c r="D316" s="35" t="s">
        <v>907</v>
      </c>
      <c r="E316" s="35" t="s">
        <v>1612</v>
      </c>
      <c r="F316" s="35" t="s">
        <v>303</v>
      </c>
      <c r="J316" s="35" t="s">
        <v>215</v>
      </c>
      <c r="K316" s="35" t="s">
        <v>215</v>
      </c>
      <c r="N316" s="35">
        <v>1.97</v>
      </c>
    </row>
    <row r="317" spans="1:14" s="35" customFormat="1" ht="25.05" customHeight="1" x14ac:dyDescent="0.4">
      <c r="A317" s="35" t="s">
        <v>641</v>
      </c>
      <c r="B317" s="35" t="s">
        <v>1349</v>
      </c>
      <c r="C317" s="35" t="s">
        <v>347</v>
      </c>
      <c r="D317" s="35" t="s">
        <v>915</v>
      </c>
      <c r="E317" s="35" t="s">
        <v>1613</v>
      </c>
      <c r="F317" s="35" t="s">
        <v>303</v>
      </c>
      <c r="J317" s="35" t="s">
        <v>215</v>
      </c>
      <c r="K317" s="35" t="s">
        <v>215</v>
      </c>
      <c r="N317" s="35">
        <v>4.28</v>
      </c>
    </row>
    <row r="318" spans="1:14" s="35" customFormat="1" ht="25.05" customHeight="1" x14ac:dyDescent="0.4">
      <c r="A318" s="35" t="s">
        <v>641</v>
      </c>
      <c r="B318" s="35" t="s">
        <v>1614</v>
      </c>
      <c r="C318" s="35" t="s">
        <v>340</v>
      </c>
      <c r="D318" s="35" t="s">
        <v>669</v>
      </c>
      <c r="E318" s="35" t="s">
        <v>1615</v>
      </c>
      <c r="F318" s="35" t="s">
        <v>300</v>
      </c>
      <c r="H318" s="35" t="s">
        <v>2008</v>
      </c>
      <c r="I318" s="35" t="s">
        <v>1976</v>
      </c>
      <c r="J318" s="35" t="s">
        <v>215</v>
      </c>
      <c r="K318" s="35" t="s">
        <v>215</v>
      </c>
      <c r="N318" s="35">
        <v>0.25</v>
      </c>
    </row>
    <row r="319" spans="1:14" s="35" customFormat="1" ht="25.05" customHeight="1" x14ac:dyDescent="0.4">
      <c r="A319" s="35" t="s">
        <v>641</v>
      </c>
      <c r="B319" s="35" t="s">
        <v>1616</v>
      </c>
      <c r="C319" s="35" t="s">
        <v>340</v>
      </c>
      <c r="D319" s="35" t="s">
        <v>671</v>
      </c>
      <c r="E319" s="35" t="s">
        <v>1617</v>
      </c>
      <c r="F319" s="35" t="s">
        <v>300</v>
      </c>
      <c r="J319" s="35" t="s">
        <v>215</v>
      </c>
      <c r="K319" s="35" t="s">
        <v>215</v>
      </c>
      <c r="N319" s="35">
        <v>14.7</v>
      </c>
    </row>
    <row r="320" spans="1:14" s="35" customFormat="1" ht="25.05" customHeight="1" x14ac:dyDescent="0.4">
      <c r="A320" s="35" t="s">
        <v>641</v>
      </c>
      <c r="B320" s="35" t="s">
        <v>1618</v>
      </c>
      <c r="C320" s="35" t="s">
        <v>340</v>
      </c>
      <c r="D320" s="35" t="s">
        <v>673</v>
      </c>
      <c r="E320" s="35" t="s">
        <v>1619</v>
      </c>
      <c r="F320" s="35" t="s">
        <v>300</v>
      </c>
      <c r="J320" s="35" t="s">
        <v>215</v>
      </c>
      <c r="K320" s="35" t="s">
        <v>215</v>
      </c>
      <c r="N320" s="35">
        <v>5.32</v>
      </c>
    </row>
    <row r="321" spans="1:14" s="35" customFormat="1" ht="25.05" customHeight="1" x14ac:dyDescent="0.4">
      <c r="A321" s="35" t="s">
        <v>641</v>
      </c>
      <c r="B321" s="35" t="s">
        <v>1620</v>
      </c>
      <c r="C321" s="35" t="s">
        <v>340</v>
      </c>
      <c r="D321" s="35" t="s">
        <v>910</v>
      </c>
      <c r="E321" s="35" t="s">
        <v>1621</v>
      </c>
      <c r="F321" s="35" t="s">
        <v>303</v>
      </c>
      <c r="J321" s="35" t="s">
        <v>215</v>
      </c>
      <c r="K321" s="35" t="s">
        <v>215</v>
      </c>
      <c r="N321" s="35">
        <v>4.42</v>
      </c>
    </row>
    <row r="322" spans="1:14" s="35" customFormat="1" ht="25.05" customHeight="1" x14ac:dyDescent="0.4">
      <c r="A322" s="35" t="s">
        <v>641</v>
      </c>
      <c r="B322" s="35" t="s">
        <v>1622</v>
      </c>
      <c r="C322" s="35" t="s">
        <v>340</v>
      </c>
      <c r="D322" s="35" t="s">
        <v>701</v>
      </c>
      <c r="E322" s="35" t="s">
        <v>1615</v>
      </c>
      <c r="F322" s="35" t="s">
        <v>300</v>
      </c>
      <c r="H322" s="35" t="s">
        <v>215</v>
      </c>
      <c r="I322" s="35" t="s">
        <v>215</v>
      </c>
      <c r="J322" s="35" t="s">
        <v>215</v>
      </c>
      <c r="K322" s="35" t="s">
        <v>215</v>
      </c>
    </row>
    <row r="323" spans="1:14" s="35" customFormat="1" ht="25.05" customHeight="1" x14ac:dyDescent="0.4">
      <c r="A323" s="35" t="s">
        <v>641</v>
      </c>
      <c r="B323" s="35" t="s">
        <v>1623</v>
      </c>
      <c r="C323" s="35" t="s">
        <v>340</v>
      </c>
      <c r="D323" s="35" t="s">
        <v>858</v>
      </c>
      <c r="E323" s="35" t="s">
        <v>1624</v>
      </c>
      <c r="F323" s="35" t="s">
        <v>300</v>
      </c>
      <c r="H323" s="35" t="s">
        <v>215</v>
      </c>
      <c r="I323" s="35" t="s">
        <v>215</v>
      </c>
      <c r="J323" s="35" t="s">
        <v>215</v>
      </c>
      <c r="K323" s="35" t="s">
        <v>215</v>
      </c>
    </row>
    <row r="324" spans="1:14" s="35" customFormat="1" ht="25.05" customHeight="1" x14ac:dyDescent="0.4">
      <c r="A324" s="35" t="s">
        <v>641</v>
      </c>
      <c r="B324" s="35" t="s">
        <v>418</v>
      </c>
      <c r="C324" s="35" t="s">
        <v>1625</v>
      </c>
      <c r="D324" s="35" t="s">
        <v>723</v>
      </c>
      <c r="E324" s="35" t="s">
        <v>1626</v>
      </c>
      <c r="F324" s="35" t="s">
        <v>300</v>
      </c>
      <c r="H324" s="35" t="s">
        <v>215</v>
      </c>
      <c r="I324" s="35" t="s">
        <v>215</v>
      </c>
      <c r="J324" s="35" t="s">
        <v>215</v>
      </c>
      <c r="K324" s="35" t="s">
        <v>215</v>
      </c>
    </row>
    <row r="325" spans="1:14" s="35" customFormat="1" ht="25.05" customHeight="1" x14ac:dyDescent="0.4">
      <c r="A325" s="35" t="s">
        <v>641</v>
      </c>
      <c r="B325" s="35" t="s">
        <v>418</v>
      </c>
      <c r="C325" s="35" t="s">
        <v>543</v>
      </c>
      <c r="D325" s="35" t="s">
        <v>725</v>
      </c>
      <c r="E325" s="35" t="s">
        <v>1627</v>
      </c>
      <c r="F325" s="35" t="s">
        <v>300</v>
      </c>
      <c r="H325" s="35" t="s">
        <v>215</v>
      </c>
      <c r="I325" s="35" t="s">
        <v>215</v>
      </c>
      <c r="J325" s="35" t="s">
        <v>215</v>
      </c>
      <c r="K325" s="35" t="s">
        <v>215</v>
      </c>
    </row>
    <row r="326" spans="1:14" s="35" customFormat="1" ht="25.05" customHeight="1" x14ac:dyDescent="0.4">
      <c r="A326" s="35" t="s">
        <v>641</v>
      </c>
      <c r="B326" s="35" t="s">
        <v>371</v>
      </c>
      <c r="C326" s="35" t="s">
        <v>530</v>
      </c>
      <c r="D326" s="35" t="s">
        <v>739</v>
      </c>
      <c r="E326" s="35" t="s">
        <v>1628</v>
      </c>
      <c r="F326" s="35" t="s">
        <v>300</v>
      </c>
      <c r="J326" s="35" t="s">
        <v>215</v>
      </c>
      <c r="K326" s="35" t="s">
        <v>215</v>
      </c>
      <c r="N326" s="35">
        <v>4.0199999999999996</v>
      </c>
    </row>
    <row r="327" spans="1:14" s="35" customFormat="1" ht="25.05" customHeight="1" x14ac:dyDescent="0.4">
      <c r="A327" s="35" t="s">
        <v>641</v>
      </c>
      <c r="B327" s="35" t="s">
        <v>1629</v>
      </c>
      <c r="C327" s="35" t="s">
        <v>346</v>
      </c>
      <c r="D327" s="35" t="s">
        <v>854</v>
      </c>
      <c r="E327" s="35" t="s">
        <v>1630</v>
      </c>
      <c r="F327" s="35" t="s">
        <v>300</v>
      </c>
      <c r="J327" s="35" t="s">
        <v>215</v>
      </c>
      <c r="K327" s="35" t="s">
        <v>215</v>
      </c>
      <c r="N327" s="35">
        <v>2.31</v>
      </c>
    </row>
    <row r="328" spans="1:14" s="35" customFormat="1" ht="25.05" customHeight="1" x14ac:dyDescent="0.4">
      <c r="A328" s="35" t="s">
        <v>641</v>
      </c>
      <c r="B328" s="35" t="s">
        <v>1388</v>
      </c>
      <c r="C328" s="35" t="s">
        <v>347</v>
      </c>
      <c r="D328" s="35" t="s">
        <v>908</v>
      </c>
      <c r="E328" s="35" t="s">
        <v>1631</v>
      </c>
      <c r="F328" s="35" t="s">
        <v>323</v>
      </c>
      <c r="J328" s="35" t="s">
        <v>215</v>
      </c>
      <c r="K328" s="35" t="s">
        <v>215</v>
      </c>
      <c r="N328" s="35">
        <v>5.72</v>
      </c>
    </row>
    <row r="329" spans="1:14" s="35" customFormat="1" ht="25.05" customHeight="1" x14ac:dyDescent="0.4">
      <c r="A329" s="35" t="s">
        <v>2402</v>
      </c>
      <c r="B329" s="35" t="s">
        <v>2403</v>
      </c>
      <c r="C329" s="35" t="s">
        <v>340</v>
      </c>
      <c r="D329" s="35" t="s">
        <v>2404</v>
      </c>
      <c r="E329" s="35" t="s">
        <v>2405</v>
      </c>
      <c r="F329" s="35" t="s">
        <v>323</v>
      </c>
      <c r="J329" s="35" t="s">
        <v>215</v>
      </c>
      <c r="K329" s="35" t="s">
        <v>215</v>
      </c>
      <c r="N329" s="35">
        <v>0.26</v>
      </c>
    </row>
    <row r="330" spans="1:14" s="35" customFormat="1" ht="25.05" customHeight="1" x14ac:dyDescent="0.4">
      <c r="A330" s="35" t="s">
        <v>2402</v>
      </c>
      <c r="B330" s="35" t="s">
        <v>2406</v>
      </c>
      <c r="C330" s="35" t="s">
        <v>340</v>
      </c>
      <c r="D330" s="35" t="s">
        <v>2407</v>
      </c>
      <c r="E330" s="35" t="s">
        <v>2405</v>
      </c>
      <c r="F330" s="35" t="s">
        <v>323</v>
      </c>
      <c r="J330" s="35" t="s">
        <v>215</v>
      </c>
      <c r="K330" s="35" t="s">
        <v>215</v>
      </c>
      <c r="N330" s="35">
        <v>0.32</v>
      </c>
    </row>
    <row r="331" spans="1:14" s="35" customFormat="1" ht="25.05" customHeight="1" x14ac:dyDescent="0.4">
      <c r="A331" s="35" t="s">
        <v>2402</v>
      </c>
      <c r="B331" s="35" t="s">
        <v>2408</v>
      </c>
      <c r="C331" s="35" t="s">
        <v>340</v>
      </c>
      <c r="D331" s="35" t="s">
        <v>2409</v>
      </c>
      <c r="E331" s="35" t="s">
        <v>2410</v>
      </c>
      <c r="F331" s="35" t="s">
        <v>300</v>
      </c>
      <c r="H331" s="35" t="s">
        <v>1980</v>
      </c>
      <c r="I331" s="35" t="s">
        <v>1976</v>
      </c>
      <c r="J331" s="35" t="s">
        <v>215</v>
      </c>
      <c r="K331" s="35" t="s">
        <v>215</v>
      </c>
      <c r="N331" s="35">
        <v>12.28</v>
      </c>
    </row>
    <row r="332" spans="1:14" s="35" customFormat="1" ht="25.05" customHeight="1" x14ac:dyDescent="0.4">
      <c r="A332" s="35" t="s">
        <v>2402</v>
      </c>
      <c r="B332" s="35" t="s">
        <v>2408</v>
      </c>
      <c r="C332" s="35" t="s">
        <v>346</v>
      </c>
      <c r="D332" s="35" t="s">
        <v>2409</v>
      </c>
      <c r="E332" s="35" t="s">
        <v>2411</v>
      </c>
      <c r="F332" s="35" t="s">
        <v>298</v>
      </c>
      <c r="H332" s="35" t="s">
        <v>1980</v>
      </c>
      <c r="I332" s="35" t="s">
        <v>1976</v>
      </c>
      <c r="J332" s="35" t="s">
        <v>215</v>
      </c>
      <c r="K332" s="35" t="s">
        <v>215</v>
      </c>
      <c r="N332" s="35">
        <v>0.12</v>
      </c>
    </row>
    <row r="333" spans="1:14" s="35" customFormat="1" ht="25.05" customHeight="1" x14ac:dyDescent="0.4">
      <c r="A333" s="35" t="s">
        <v>2402</v>
      </c>
      <c r="B333" s="35" t="s">
        <v>2412</v>
      </c>
      <c r="C333" s="35" t="s">
        <v>340</v>
      </c>
      <c r="D333" s="35" t="s">
        <v>2413</v>
      </c>
      <c r="E333" s="35" t="s">
        <v>2414</v>
      </c>
      <c r="F333" s="35" t="s">
        <v>303</v>
      </c>
      <c r="H333" s="35" t="s">
        <v>2415</v>
      </c>
      <c r="I333" s="35" t="s">
        <v>1976</v>
      </c>
      <c r="J333" s="35" t="s">
        <v>215</v>
      </c>
      <c r="K333" s="35" t="s">
        <v>215</v>
      </c>
      <c r="N333" s="35">
        <v>4.32</v>
      </c>
    </row>
    <row r="334" spans="1:14" s="35" customFormat="1" ht="25.05" customHeight="1" x14ac:dyDescent="0.4">
      <c r="A334" s="35" t="s">
        <v>2402</v>
      </c>
      <c r="B334" s="35" t="s">
        <v>2416</v>
      </c>
      <c r="C334" s="35" t="s">
        <v>340</v>
      </c>
      <c r="D334" s="35" t="s">
        <v>2417</v>
      </c>
      <c r="E334" s="35" t="s">
        <v>2418</v>
      </c>
      <c r="F334" s="35" t="s">
        <v>300</v>
      </c>
      <c r="H334" s="35" t="s">
        <v>2004</v>
      </c>
      <c r="I334" s="35" t="s">
        <v>2004</v>
      </c>
      <c r="J334" s="35" t="s">
        <v>215</v>
      </c>
      <c r="K334" s="35" t="s">
        <v>215</v>
      </c>
      <c r="N334" s="35">
        <v>2.4300000000000002</v>
      </c>
    </row>
    <row r="335" spans="1:14" s="35" customFormat="1" ht="25.05" customHeight="1" x14ac:dyDescent="0.4">
      <c r="A335" s="35" t="s">
        <v>2402</v>
      </c>
      <c r="B335" s="35" t="s">
        <v>2419</v>
      </c>
      <c r="C335" s="35" t="s">
        <v>340</v>
      </c>
      <c r="D335" s="35" t="s">
        <v>2203</v>
      </c>
      <c r="E335" s="35" t="s">
        <v>2420</v>
      </c>
      <c r="F335" s="35" t="s">
        <v>303</v>
      </c>
      <c r="H335" s="35" t="s">
        <v>2008</v>
      </c>
      <c r="I335" s="35" t="s">
        <v>2205</v>
      </c>
      <c r="J335" s="35" t="s">
        <v>215</v>
      </c>
      <c r="K335" s="35" t="s">
        <v>215</v>
      </c>
      <c r="N335" s="35">
        <v>17.350000000000001</v>
      </c>
    </row>
    <row r="336" spans="1:14" s="35" customFormat="1" ht="25.05" customHeight="1" x14ac:dyDescent="0.4">
      <c r="A336" s="35" t="s">
        <v>2402</v>
      </c>
      <c r="B336" s="35" t="s">
        <v>2421</v>
      </c>
      <c r="C336" s="35" t="s">
        <v>340</v>
      </c>
      <c r="D336" s="35" t="s">
        <v>2422</v>
      </c>
      <c r="E336" s="35" t="s">
        <v>2423</v>
      </c>
      <c r="F336" s="35" t="s">
        <v>298</v>
      </c>
      <c r="H336" s="35" t="s">
        <v>1975</v>
      </c>
      <c r="I336" s="35" t="s">
        <v>1981</v>
      </c>
      <c r="J336" s="35" t="s">
        <v>215</v>
      </c>
      <c r="K336" s="35" t="s">
        <v>215</v>
      </c>
      <c r="N336" s="35">
        <v>0.13</v>
      </c>
    </row>
    <row r="337" spans="1:14" s="35" customFormat="1" ht="25.05" customHeight="1" x14ac:dyDescent="0.4">
      <c r="A337" s="35" t="s">
        <v>2402</v>
      </c>
      <c r="B337" s="35" t="s">
        <v>2424</v>
      </c>
      <c r="C337" s="35" t="s">
        <v>340</v>
      </c>
      <c r="D337" s="35" t="s">
        <v>2425</v>
      </c>
      <c r="E337" s="35" t="s">
        <v>2426</v>
      </c>
      <c r="F337" s="35" t="s">
        <v>303</v>
      </c>
      <c r="J337" s="35" t="s">
        <v>215</v>
      </c>
      <c r="K337" s="35" t="s">
        <v>215</v>
      </c>
      <c r="N337" s="35">
        <v>14.12</v>
      </c>
    </row>
    <row r="338" spans="1:14" s="35" customFormat="1" ht="25.05" customHeight="1" x14ac:dyDescent="0.4">
      <c r="A338" s="35" t="s">
        <v>2402</v>
      </c>
      <c r="B338" s="35" t="s">
        <v>2427</v>
      </c>
      <c r="C338" s="35" t="s">
        <v>340</v>
      </c>
      <c r="D338" s="35" t="s">
        <v>2428</v>
      </c>
      <c r="E338" s="35" t="s">
        <v>2429</v>
      </c>
      <c r="F338" s="35" t="s">
        <v>323</v>
      </c>
      <c r="H338" s="35" t="s">
        <v>1980</v>
      </c>
      <c r="I338" s="35" t="s">
        <v>2205</v>
      </c>
      <c r="J338" s="35" t="s">
        <v>215</v>
      </c>
      <c r="K338" s="35" t="s">
        <v>215</v>
      </c>
      <c r="N338" s="35">
        <v>6.48</v>
      </c>
    </row>
    <row r="339" spans="1:14" s="35" customFormat="1" ht="25.05" customHeight="1" x14ac:dyDescent="0.4">
      <c r="A339" s="35" t="s">
        <v>2402</v>
      </c>
      <c r="B339" s="35" t="s">
        <v>2430</v>
      </c>
      <c r="C339" s="35" t="s">
        <v>340</v>
      </c>
      <c r="D339" s="35" t="s">
        <v>2431</v>
      </c>
      <c r="E339" s="35" t="s">
        <v>2432</v>
      </c>
      <c r="F339" s="35" t="s">
        <v>300</v>
      </c>
      <c r="H339" s="35" t="s">
        <v>1980</v>
      </c>
      <c r="I339" s="35" t="s">
        <v>2205</v>
      </c>
      <c r="J339" s="35" t="s">
        <v>215</v>
      </c>
      <c r="K339" s="35" t="s">
        <v>215</v>
      </c>
      <c r="N339" s="35">
        <v>7.32</v>
      </c>
    </row>
    <row r="340" spans="1:14" s="35" customFormat="1" ht="25.05" customHeight="1" x14ac:dyDescent="0.4">
      <c r="A340" s="35" t="s">
        <v>2402</v>
      </c>
      <c r="B340" s="35" t="s">
        <v>2433</v>
      </c>
      <c r="C340" s="35" t="s">
        <v>340</v>
      </c>
      <c r="D340" s="35" t="s">
        <v>2434</v>
      </c>
      <c r="E340" s="35" t="s">
        <v>2435</v>
      </c>
      <c r="F340" s="35" t="s">
        <v>303</v>
      </c>
      <c r="H340" s="35" t="s">
        <v>2205</v>
      </c>
      <c r="I340" s="35" t="s">
        <v>1976</v>
      </c>
      <c r="J340" s="35" t="s">
        <v>215</v>
      </c>
      <c r="K340" s="35" t="s">
        <v>215</v>
      </c>
      <c r="N340" s="35">
        <v>6.84</v>
      </c>
    </row>
    <row r="341" spans="1:14" s="35" customFormat="1" ht="25.05" customHeight="1" x14ac:dyDescent="0.4">
      <c r="A341" s="35" t="s">
        <v>2402</v>
      </c>
      <c r="B341" s="35" t="s">
        <v>2436</v>
      </c>
      <c r="C341" s="35" t="s">
        <v>340</v>
      </c>
      <c r="D341" s="35" t="s">
        <v>2437</v>
      </c>
      <c r="E341" s="35" t="s">
        <v>2438</v>
      </c>
      <c r="F341" s="35" t="s">
        <v>303</v>
      </c>
      <c r="H341" s="35" t="s">
        <v>2008</v>
      </c>
      <c r="I341" s="35" t="s">
        <v>1976</v>
      </c>
      <c r="J341" s="35" t="s">
        <v>215</v>
      </c>
      <c r="K341" s="35" t="s">
        <v>215</v>
      </c>
      <c r="N341" s="35">
        <v>6.94</v>
      </c>
    </row>
    <row r="342" spans="1:14" s="35" customFormat="1" ht="25.05" customHeight="1" x14ac:dyDescent="0.4">
      <c r="A342" s="35" t="s">
        <v>2402</v>
      </c>
      <c r="B342" s="35" t="s">
        <v>2439</v>
      </c>
      <c r="C342" s="35" t="s">
        <v>340</v>
      </c>
      <c r="D342" s="35" t="s">
        <v>2440</v>
      </c>
      <c r="E342" s="35" t="s">
        <v>2441</v>
      </c>
      <c r="F342" s="35" t="s">
        <v>300</v>
      </c>
      <c r="H342" s="35" t="s">
        <v>1984</v>
      </c>
      <c r="I342" s="35" t="s">
        <v>1976</v>
      </c>
      <c r="J342" s="35" t="s">
        <v>215</v>
      </c>
      <c r="K342" s="35" t="s">
        <v>215</v>
      </c>
      <c r="N342" s="35">
        <v>20.69</v>
      </c>
    </row>
    <row r="343" spans="1:14" s="35" customFormat="1" ht="25.05" customHeight="1" x14ac:dyDescent="0.4">
      <c r="A343" s="35" t="s">
        <v>2402</v>
      </c>
      <c r="B343" s="35" t="s">
        <v>2442</v>
      </c>
      <c r="C343" s="35" t="s">
        <v>340</v>
      </c>
      <c r="D343" s="35" t="s">
        <v>2443</v>
      </c>
      <c r="E343" s="35" t="s">
        <v>2444</v>
      </c>
      <c r="F343" s="35" t="s">
        <v>300</v>
      </c>
      <c r="J343" s="35" t="s">
        <v>215</v>
      </c>
      <c r="K343" s="35" t="s">
        <v>215</v>
      </c>
      <c r="N343" s="35">
        <v>8.69</v>
      </c>
    </row>
    <row r="344" spans="1:14" s="35" customFormat="1" ht="25.05" customHeight="1" x14ac:dyDescent="0.4">
      <c r="A344" s="35" t="s">
        <v>2402</v>
      </c>
      <c r="B344" s="35" t="s">
        <v>2445</v>
      </c>
      <c r="C344" s="35" t="s">
        <v>360</v>
      </c>
      <c r="D344" s="35" t="s">
        <v>2446</v>
      </c>
      <c r="E344" s="35" t="s">
        <v>2447</v>
      </c>
      <c r="F344" s="35" t="s">
        <v>298</v>
      </c>
      <c r="H344" s="35" t="s">
        <v>1984</v>
      </c>
      <c r="I344" s="35" t="s">
        <v>1976</v>
      </c>
      <c r="J344" s="35" t="s">
        <v>215</v>
      </c>
      <c r="K344" s="35" t="s">
        <v>215</v>
      </c>
      <c r="N344" s="35">
        <v>0.12</v>
      </c>
    </row>
    <row r="345" spans="1:14" s="35" customFormat="1" ht="25.05" customHeight="1" x14ac:dyDescent="0.4">
      <c r="A345" s="35" t="s">
        <v>2402</v>
      </c>
      <c r="B345" s="35" t="s">
        <v>2445</v>
      </c>
      <c r="C345" s="35" t="s">
        <v>363</v>
      </c>
      <c r="D345" s="35" t="s">
        <v>2448</v>
      </c>
      <c r="E345" s="35" t="s">
        <v>2449</v>
      </c>
      <c r="F345" s="35" t="s">
        <v>298</v>
      </c>
      <c r="H345" s="35" t="s">
        <v>1984</v>
      </c>
      <c r="I345" s="35" t="s">
        <v>1976</v>
      </c>
      <c r="J345" s="35" t="s">
        <v>215</v>
      </c>
      <c r="K345" s="35" t="s">
        <v>215</v>
      </c>
      <c r="N345" s="35">
        <v>7.05</v>
      </c>
    </row>
    <row r="346" spans="1:14" s="35" customFormat="1" ht="25.05" customHeight="1" x14ac:dyDescent="0.4">
      <c r="A346" s="35" t="s">
        <v>2402</v>
      </c>
      <c r="B346" s="35" t="s">
        <v>2450</v>
      </c>
      <c r="C346" s="35" t="s">
        <v>340</v>
      </c>
      <c r="D346" s="35" t="s">
        <v>2451</v>
      </c>
      <c r="E346" s="35" t="s">
        <v>2452</v>
      </c>
      <c r="F346" s="35" t="s">
        <v>303</v>
      </c>
      <c r="J346" s="35" t="s">
        <v>215</v>
      </c>
      <c r="K346" s="35" t="s">
        <v>215</v>
      </c>
      <c r="N346" s="35">
        <v>15.2</v>
      </c>
    </row>
    <row r="347" spans="1:14" s="35" customFormat="1" ht="25.05" customHeight="1" x14ac:dyDescent="0.4">
      <c r="A347" s="35" t="s">
        <v>2402</v>
      </c>
      <c r="B347" s="35" t="s">
        <v>1349</v>
      </c>
      <c r="C347" s="35" t="s">
        <v>363</v>
      </c>
      <c r="D347" s="35" t="s">
        <v>2453</v>
      </c>
      <c r="E347" s="35" t="s">
        <v>2454</v>
      </c>
      <c r="F347" s="35" t="s">
        <v>303</v>
      </c>
      <c r="H347" s="35" t="s">
        <v>1980</v>
      </c>
      <c r="I347" s="35" t="s">
        <v>1976</v>
      </c>
      <c r="J347" s="35" t="s">
        <v>215</v>
      </c>
      <c r="K347" s="35" t="s">
        <v>215</v>
      </c>
      <c r="N347" s="35">
        <v>5.72</v>
      </c>
    </row>
    <row r="348" spans="1:14" s="35" customFormat="1" ht="25.05" customHeight="1" x14ac:dyDescent="0.4">
      <c r="A348" s="35" t="s">
        <v>2402</v>
      </c>
      <c r="B348" s="35" t="s">
        <v>2455</v>
      </c>
      <c r="C348" s="35" t="s">
        <v>340</v>
      </c>
      <c r="D348" s="35" t="s">
        <v>2456</v>
      </c>
      <c r="E348" s="35" t="s">
        <v>2457</v>
      </c>
      <c r="F348" s="35" t="s">
        <v>297</v>
      </c>
      <c r="H348" s="35" t="s">
        <v>2004</v>
      </c>
      <c r="I348" s="35" t="s">
        <v>1976</v>
      </c>
      <c r="J348" s="35" t="s">
        <v>215</v>
      </c>
      <c r="K348" s="35" t="s">
        <v>215</v>
      </c>
      <c r="N348" s="35">
        <v>12.85</v>
      </c>
    </row>
    <row r="349" spans="1:14" s="35" customFormat="1" ht="25.05" customHeight="1" x14ac:dyDescent="0.4">
      <c r="A349" s="35" t="s">
        <v>2402</v>
      </c>
      <c r="B349" s="35" t="s">
        <v>2458</v>
      </c>
      <c r="C349" s="35" t="s">
        <v>340</v>
      </c>
      <c r="D349" s="35" t="s">
        <v>2459</v>
      </c>
      <c r="E349" s="35" t="s">
        <v>2460</v>
      </c>
      <c r="F349" s="35" t="s">
        <v>297</v>
      </c>
      <c r="H349" s="35" t="s">
        <v>2004</v>
      </c>
      <c r="I349" s="35" t="s">
        <v>1976</v>
      </c>
      <c r="J349" s="35" t="s">
        <v>215</v>
      </c>
      <c r="K349" s="35" t="s">
        <v>215</v>
      </c>
      <c r="N349" s="35">
        <v>18.899999999999999</v>
      </c>
    </row>
    <row r="350" spans="1:14" s="35" customFormat="1" ht="25.05" customHeight="1" x14ac:dyDescent="0.4">
      <c r="A350" s="35" t="s">
        <v>2402</v>
      </c>
      <c r="B350" s="35" t="s">
        <v>2461</v>
      </c>
      <c r="C350" s="35" t="s">
        <v>340</v>
      </c>
      <c r="D350" s="35" t="s">
        <v>2462</v>
      </c>
      <c r="E350" s="35" t="s">
        <v>2463</v>
      </c>
      <c r="F350" s="35" t="s">
        <v>302</v>
      </c>
      <c r="H350" s="35" t="s">
        <v>2008</v>
      </c>
      <c r="I350" s="35" t="s">
        <v>2464</v>
      </c>
      <c r="J350" s="35" t="s">
        <v>215</v>
      </c>
      <c r="K350" s="35" t="s">
        <v>215</v>
      </c>
      <c r="N350" s="35">
        <v>0.93</v>
      </c>
    </row>
    <row r="351" spans="1:14" s="35" customFormat="1" ht="25.05" customHeight="1" x14ac:dyDescent="0.4">
      <c r="A351" s="35" t="s">
        <v>2402</v>
      </c>
      <c r="B351" s="35" t="s">
        <v>2465</v>
      </c>
      <c r="C351" s="35" t="s">
        <v>340</v>
      </c>
      <c r="D351" s="35" t="s">
        <v>2466</v>
      </c>
      <c r="E351" s="35" t="s">
        <v>2467</v>
      </c>
      <c r="F351" s="35" t="s">
        <v>303</v>
      </c>
      <c r="J351" s="35" t="s">
        <v>215</v>
      </c>
      <c r="K351" s="35" t="s">
        <v>215</v>
      </c>
      <c r="N351" s="35">
        <v>3.42</v>
      </c>
    </row>
    <row r="352" spans="1:14" s="35" customFormat="1" ht="25.05" customHeight="1" x14ac:dyDescent="0.4">
      <c r="A352" s="35" t="s">
        <v>2402</v>
      </c>
      <c r="B352" s="35" t="s">
        <v>2468</v>
      </c>
      <c r="C352" s="35" t="s">
        <v>340</v>
      </c>
      <c r="D352" s="35" t="s">
        <v>2469</v>
      </c>
      <c r="E352" s="35" t="s">
        <v>2470</v>
      </c>
      <c r="F352" s="35" t="s">
        <v>323</v>
      </c>
      <c r="H352" s="35" t="s">
        <v>1980</v>
      </c>
      <c r="I352" s="35" t="s">
        <v>1976</v>
      </c>
      <c r="J352" s="35" t="s">
        <v>215</v>
      </c>
      <c r="K352" s="35" t="s">
        <v>215</v>
      </c>
      <c r="N352" s="35">
        <v>12.55</v>
      </c>
    </row>
    <row r="353" spans="1:14" s="35" customFormat="1" ht="25.05" customHeight="1" x14ac:dyDescent="0.4">
      <c r="A353" s="35" t="s">
        <v>2402</v>
      </c>
      <c r="B353" s="35" t="s">
        <v>2471</v>
      </c>
      <c r="C353" s="35" t="s">
        <v>340</v>
      </c>
      <c r="D353" s="35" t="s">
        <v>2472</v>
      </c>
      <c r="E353" s="35" t="s">
        <v>2473</v>
      </c>
      <c r="F353" s="35" t="s">
        <v>303</v>
      </c>
      <c r="H353" s="35" t="s">
        <v>215</v>
      </c>
      <c r="I353" s="35" t="s">
        <v>215</v>
      </c>
      <c r="J353" s="35" t="s">
        <v>215</v>
      </c>
      <c r="K353" s="35" t="s">
        <v>215</v>
      </c>
    </row>
    <row r="354" spans="1:14" s="35" customFormat="1" ht="25.05" customHeight="1" x14ac:dyDescent="0.4">
      <c r="A354" s="35" t="s">
        <v>2402</v>
      </c>
      <c r="B354" s="35" t="s">
        <v>2474</v>
      </c>
      <c r="C354" s="35" t="s">
        <v>340</v>
      </c>
      <c r="D354" s="35" t="s">
        <v>2475</v>
      </c>
      <c r="E354" s="35" t="s">
        <v>2476</v>
      </c>
      <c r="F354" s="35" t="s">
        <v>323</v>
      </c>
      <c r="H354" s="35" t="s">
        <v>215</v>
      </c>
      <c r="I354" s="35" t="s">
        <v>215</v>
      </c>
      <c r="J354" s="35" t="s">
        <v>215</v>
      </c>
      <c r="K354" s="35" t="s">
        <v>215</v>
      </c>
    </row>
    <row r="355" spans="1:14" s="35" customFormat="1" ht="25.05" customHeight="1" x14ac:dyDescent="0.4">
      <c r="A355" s="35" t="s">
        <v>2402</v>
      </c>
      <c r="B355" s="35" t="s">
        <v>418</v>
      </c>
      <c r="C355" s="35" t="s">
        <v>2477</v>
      </c>
      <c r="D355" s="35" t="s">
        <v>2478</v>
      </c>
      <c r="E355" s="35" t="s">
        <v>2479</v>
      </c>
      <c r="F355" s="35" t="s">
        <v>300</v>
      </c>
      <c r="H355" s="35" t="s">
        <v>215</v>
      </c>
      <c r="I355" s="35" t="s">
        <v>215</v>
      </c>
      <c r="J355" s="35" t="s">
        <v>215</v>
      </c>
      <c r="K355" s="35" t="s">
        <v>215</v>
      </c>
    </row>
    <row r="356" spans="1:14" s="35" customFormat="1" ht="25.05" customHeight="1" x14ac:dyDescent="0.4">
      <c r="A356" s="35" t="s">
        <v>2402</v>
      </c>
      <c r="B356" s="35" t="s">
        <v>418</v>
      </c>
      <c r="C356" s="35" t="s">
        <v>2480</v>
      </c>
      <c r="D356" s="35" t="s">
        <v>2481</v>
      </c>
      <c r="E356" s="35" t="s">
        <v>2482</v>
      </c>
      <c r="F356" s="35" t="s">
        <v>323</v>
      </c>
      <c r="H356" s="35" t="s">
        <v>215</v>
      </c>
      <c r="I356" s="35" t="s">
        <v>215</v>
      </c>
      <c r="J356" s="35" t="s">
        <v>215</v>
      </c>
      <c r="K356" s="35" t="s">
        <v>215</v>
      </c>
    </row>
    <row r="357" spans="1:14" s="35" customFormat="1" ht="25.05" customHeight="1" x14ac:dyDescent="0.4">
      <c r="A357" s="35" t="s">
        <v>2402</v>
      </c>
      <c r="B357" s="35" t="s">
        <v>418</v>
      </c>
      <c r="C357" s="35" t="s">
        <v>2483</v>
      </c>
      <c r="D357" s="35" t="s">
        <v>2484</v>
      </c>
      <c r="E357" s="35" t="s">
        <v>2485</v>
      </c>
      <c r="F357" s="35" t="s">
        <v>300</v>
      </c>
      <c r="G357" s="35" t="s">
        <v>2486</v>
      </c>
      <c r="H357" s="35" t="s">
        <v>215</v>
      </c>
      <c r="I357" s="35" t="s">
        <v>215</v>
      </c>
      <c r="J357" s="35" t="s">
        <v>215</v>
      </c>
      <c r="K357" s="35" t="s">
        <v>215</v>
      </c>
    </row>
    <row r="358" spans="1:14" s="35" customFormat="1" ht="25.05" customHeight="1" x14ac:dyDescent="0.4">
      <c r="A358" s="35" t="s">
        <v>2402</v>
      </c>
      <c r="B358" s="35" t="s">
        <v>1446</v>
      </c>
      <c r="C358" s="35" t="s">
        <v>363</v>
      </c>
      <c r="D358" s="35" t="s">
        <v>2487</v>
      </c>
      <c r="E358" s="35" t="s">
        <v>2488</v>
      </c>
      <c r="F358" s="35" t="s">
        <v>303</v>
      </c>
      <c r="H358" s="35" t="s">
        <v>1984</v>
      </c>
      <c r="I358" s="35" t="s">
        <v>1976</v>
      </c>
      <c r="J358" s="35" t="s">
        <v>215</v>
      </c>
      <c r="K358" s="35" t="s">
        <v>215</v>
      </c>
      <c r="N358" s="35">
        <v>11.1</v>
      </c>
    </row>
    <row r="359" spans="1:14" s="35" customFormat="1" ht="25.05" customHeight="1" x14ac:dyDescent="0.4">
      <c r="A359" s="35" t="s">
        <v>2402</v>
      </c>
      <c r="B359" s="35" t="s">
        <v>373</v>
      </c>
      <c r="C359" s="35" t="s">
        <v>2489</v>
      </c>
      <c r="D359" s="35" t="s">
        <v>2490</v>
      </c>
      <c r="E359" s="35" t="s">
        <v>2491</v>
      </c>
      <c r="F359" s="35" t="s">
        <v>300</v>
      </c>
      <c r="H359" s="35" t="s">
        <v>1975</v>
      </c>
      <c r="I359" s="35" t="s">
        <v>1976</v>
      </c>
      <c r="J359" s="35" t="s">
        <v>215</v>
      </c>
      <c r="K359" s="35" t="s">
        <v>215</v>
      </c>
      <c r="N359" s="35">
        <v>37.97</v>
      </c>
    </row>
    <row r="360" spans="1:14" s="35" customFormat="1" ht="25.05" customHeight="1" x14ac:dyDescent="0.4">
      <c r="A360" s="35" t="s">
        <v>2402</v>
      </c>
      <c r="B360" s="35" t="s">
        <v>2492</v>
      </c>
      <c r="C360" s="35" t="s">
        <v>2493</v>
      </c>
      <c r="D360" s="35" t="s">
        <v>2494</v>
      </c>
      <c r="E360" s="35" t="s">
        <v>2495</v>
      </c>
      <c r="F360" s="35" t="s">
        <v>300</v>
      </c>
      <c r="H360" s="35" t="s">
        <v>2004</v>
      </c>
      <c r="I360" s="35" t="s">
        <v>1976</v>
      </c>
      <c r="J360" s="35" t="s">
        <v>215</v>
      </c>
      <c r="K360" s="35" t="s">
        <v>215</v>
      </c>
      <c r="N360" s="35">
        <v>19.12</v>
      </c>
    </row>
    <row r="361" spans="1:14" s="35" customFormat="1" ht="25.05" customHeight="1" x14ac:dyDescent="0.4">
      <c r="A361" s="35" t="s">
        <v>2402</v>
      </c>
      <c r="B361" s="35" t="s">
        <v>1514</v>
      </c>
      <c r="C361" s="35" t="s">
        <v>346</v>
      </c>
      <c r="D361" s="35" t="s">
        <v>2496</v>
      </c>
      <c r="E361" s="35" t="s">
        <v>2497</v>
      </c>
      <c r="F361" s="35" t="s">
        <v>297</v>
      </c>
      <c r="H361" s="35" t="s">
        <v>1984</v>
      </c>
      <c r="I361" s="35" t="s">
        <v>1976</v>
      </c>
      <c r="J361" s="35" t="s">
        <v>215</v>
      </c>
      <c r="K361" s="35" t="s">
        <v>215</v>
      </c>
      <c r="N361" s="35">
        <v>1.77</v>
      </c>
    </row>
    <row r="362" spans="1:14" s="35" customFormat="1" ht="25.05" customHeight="1" x14ac:dyDescent="0.4">
      <c r="A362" s="35" t="s">
        <v>2402</v>
      </c>
      <c r="B362" s="35" t="s">
        <v>1453</v>
      </c>
      <c r="C362" s="35" t="s">
        <v>349</v>
      </c>
      <c r="D362" s="35" t="s">
        <v>2498</v>
      </c>
      <c r="E362" s="35" t="s">
        <v>2499</v>
      </c>
      <c r="F362" s="35" t="s">
        <v>298</v>
      </c>
      <c r="H362" s="35" t="s">
        <v>2008</v>
      </c>
      <c r="I362" s="35" t="s">
        <v>1976</v>
      </c>
      <c r="J362" s="35" t="s">
        <v>215</v>
      </c>
      <c r="K362" s="35" t="s">
        <v>215</v>
      </c>
      <c r="N362" s="35">
        <v>0.82</v>
      </c>
    </row>
    <row r="363" spans="1:14" s="35" customFormat="1" ht="25.05" customHeight="1" x14ac:dyDescent="0.4">
      <c r="A363" s="35" t="s">
        <v>2402</v>
      </c>
      <c r="B363" s="35" t="s">
        <v>1629</v>
      </c>
      <c r="C363" s="35" t="s">
        <v>347</v>
      </c>
      <c r="D363" s="35" t="s">
        <v>2500</v>
      </c>
      <c r="E363" s="35" t="s">
        <v>2501</v>
      </c>
      <c r="F363" s="35" t="s">
        <v>300</v>
      </c>
      <c r="H363" s="35" t="s">
        <v>1980</v>
      </c>
      <c r="I363" s="35" t="s">
        <v>1976</v>
      </c>
      <c r="J363" s="35" t="s">
        <v>215</v>
      </c>
      <c r="K363" s="35" t="s">
        <v>215</v>
      </c>
      <c r="N363" s="35">
        <v>0.19</v>
      </c>
    </row>
    <row r="364" spans="1:14" s="35" customFormat="1" ht="25.05" customHeight="1" x14ac:dyDescent="0.4">
      <c r="A364" s="35" t="s">
        <v>2402</v>
      </c>
      <c r="B364" s="35" t="s">
        <v>369</v>
      </c>
      <c r="C364" s="35" t="s">
        <v>2489</v>
      </c>
      <c r="D364" s="35" t="s">
        <v>2502</v>
      </c>
      <c r="E364" s="35" t="s">
        <v>2491</v>
      </c>
      <c r="F364" s="35" t="s">
        <v>300</v>
      </c>
      <c r="J364" s="35" t="s">
        <v>215</v>
      </c>
      <c r="K364" s="35" t="s">
        <v>215</v>
      </c>
    </row>
    <row r="365" spans="1:14" s="35" customFormat="1" ht="25.05" customHeight="1" x14ac:dyDescent="0.4">
      <c r="A365" s="35" t="s">
        <v>2402</v>
      </c>
      <c r="B365" s="35" t="s">
        <v>2503</v>
      </c>
      <c r="C365" s="35" t="s">
        <v>346</v>
      </c>
      <c r="D365" s="35" t="s">
        <v>2504</v>
      </c>
      <c r="E365" s="35" t="s">
        <v>2505</v>
      </c>
      <c r="F365" s="35" t="s">
        <v>297</v>
      </c>
      <c r="H365" s="35" t="s">
        <v>1980</v>
      </c>
      <c r="I365" s="35" t="s">
        <v>2205</v>
      </c>
      <c r="J365" s="35" t="s">
        <v>215</v>
      </c>
      <c r="K365" s="35" t="s">
        <v>215</v>
      </c>
      <c r="N365" s="35">
        <v>4.17</v>
      </c>
    </row>
    <row r="366" spans="1:14" s="35" customFormat="1" ht="25.05" customHeight="1" x14ac:dyDescent="0.4">
      <c r="A366" s="35" t="s">
        <v>2402</v>
      </c>
      <c r="B366" s="35" t="s">
        <v>2503</v>
      </c>
      <c r="C366" s="35" t="s">
        <v>360</v>
      </c>
      <c r="D366" s="35" t="s">
        <v>2506</v>
      </c>
      <c r="E366" s="35" t="s">
        <v>2507</v>
      </c>
      <c r="F366" s="35" t="s">
        <v>297</v>
      </c>
      <c r="J366" s="35" t="s">
        <v>215</v>
      </c>
      <c r="K366" s="35" t="s">
        <v>215</v>
      </c>
      <c r="N366" s="35">
        <v>2.25</v>
      </c>
    </row>
    <row r="367" spans="1:14" s="35" customFormat="1" ht="25.05" customHeight="1" x14ac:dyDescent="0.4">
      <c r="A367" s="35" t="s">
        <v>2402</v>
      </c>
      <c r="B367" s="35" t="s">
        <v>2508</v>
      </c>
      <c r="C367" s="35" t="s">
        <v>368</v>
      </c>
      <c r="D367" s="35" t="s">
        <v>2509</v>
      </c>
      <c r="E367" s="35" t="s">
        <v>2510</v>
      </c>
      <c r="F367" s="35" t="s">
        <v>300</v>
      </c>
      <c r="H367" s="35" t="s">
        <v>2004</v>
      </c>
      <c r="I367" s="35" t="s">
        <v>1981</v>
      </c>
      <c r="J367" s="35" t="s">
        <v>215</v>
      </c>
      <c r="K367" s="35" t="s">
        <v>215</v>
      </c>
      <c r="N367" s="35">
        <v>4.8099999999999996</v>
      </c>
    </row>
    <row r="368" spans="1:14" s="35" customFormat="1" ht="25.05" customHeight="1" x14ac:dyDescent="0.4">
      <c r="A368" s="35" t="s">
        <v>2402</v>
      </c>
      <c r="B368" s="35" t="s">
        <v>2337</v>
      </c>
      <c r="C368" s="35" t="s">
        <v>360</v>
      </c>
      <c r="D368" s="35" t="s">
        <v>2511</v>
      </c>
      <c r="E368" s="35" t="s">
        <v>2512</v>
      </c>
      <c r="F368" s="35" t="s">
        <v>300</v>
      </c>
      <c r="H368" s="35" t="s">
        <v>2415</v>
      </c>
      <c r="I368" s="35" t="s">
        <v>1976</v>
      </c>
      <c r="J368" s="35" t="s">
        <v>215</v>
      </c>
      <c r="K368" s="35" t="s">
        <v>215</v>
      </c>
      <c r="N368" s="35">
        <v>7.94</v>
      </c>
    </row>
    <row r="369" spans="1:14" s="35" customFormat="1" ht="25.05" customHeight="1" x14ac:dyDescent="0.4">
      <c r="A369" s="35" t="s">
        <v>2402</v>
      </c>
      <c r="B369" s="35" t="s">
        <v>2337</v>
      </c>
      <c r="C369" s="35" t="s">
        <v>347</v>
      </c>
      <c r="D369" s="35" t="s">
        <v>2511</v>
      </c>
      <c r="E369" s="35" t="s">
        <v>2513</v>
      </c>
      <c r="F369" s="35" t="s">
        <v>300</v>
      </c>
      <c r="H369" s="35" t="s">
        <v>2415</v>
      </c>
      <c r="I369" s="35" t="s">
        <v>1976</v>
      </c>
      <c r="J369" s="35" t="s">
        <v>215</v>
      </c>
      <c r="K369" s="35" t="s">
        <v>215</v>
      </c>
      <c r="N369" s="35">
        <v>11.6</v>
      </c>
    </row>
    <row r="370" spans="1:14" s="35" customFormat="1" ht="25.05" customHeight="1" x14ac:dyDescent="0.4">
      <c r="A370" s="35" t="s">
        <v>2514</v>
      </c>
      <c r="B370" s="35" t="s">
        <v>2515</v>
      </c>
      <c r="C370" s="35" t="s">
        <v>340</v>
      </c>
      <c r="D370" s="35" t="s">
        <v>2516</v>
      </c>
      <c r="E370" s="35" t="s">
        <v>2517</v>
      </c>
      <c r="F370" s="35" t="s">
        <v>300</v>
      </c>
      <c r="H370" s="35" t="s">
        <v>1975</v>
      </c>
      <c r="I370" s="35" t="s">
        <v>1981</v>
      </c>
      <c r="J370" s="35" t="s">
        <v>215</v>
      </c>
      <c r="K370" s="35" t="s">
        <v>215</v>
      </c>
      <c r="N370" s="35">
        <v>10.62</v>
      </c>
    </row>
    <row r="371" spans="1:14" s="35" customFormat="1" ht="25.05" customHeight="1" x14ac:dyDescent="0.4">
      <c r="A371" s="35" t="s">
        <v>2514</v>
      </c>
      <c r="B371" s="35" t="s">
        <v>2515</v>
      </c>
      <c r="C371" s="35" t="s">
        <v>346</v>
      </c>
      <c r="D371" s="35" t="s">
        <v>2518</v>
      </c>
      <c r="E371" s="35" t="s">
        <v>2519</v>
      </c>
      <c r="F371" s="35" t="s">
        <v>300</v>
      </c>
      <c r="H371" s="35" t="s">
        <v>1975</v>
      </c>
      <c r="I371" s="35" t="s">
        <v>1981</v>
      </c>
      <c r="J371" s="35" t="s">
        <v>215</v>
      </c>
      <c r="K371" s="35" t="s">
        <v>215</v>
      </c>
      <c r="N371" s="35">
        <v>3.21</v>
      </c>
    </row>
    <row r="372" spans="1:14" s="35" customFormat="1" ht="25.05" customHeight="1" x14ac:dyDescent="0.4">
      <c r="A372" s="35" t="s">
        <v>2514</v>
      </c>
      <c r="B372" s="35" t="s">
        <v>2520</v>
      </c>
      <c r="C372" s="35" t="s">
        <v>340</v>
      </c>
      <c r="D372" s="35" t="s">
        <v>2521</v>
      </c>
      <c r="E372" s="35" t="s">
        <v>2522</v>
      </c>
      <c r="F372" s="35" t="s">
        <v>303</v>
      </c>
      <c r="H372" s="35" t="s">
        <v>1975</v>
      </c>
      <c r="I372" s="35" t="s">
        <v>1976</v>
      </c>
      <c r="J372" s="35" t="s">
        <v>215</v>
      </c>
      <c r="K372" s="35" t="s">
        <v>215</v>
      </c>
      <c r="N372" s="35">
        <v>5.98</v>
      </c>
    </row>
    <row r="373" spans="1:14" s="35" customFormat="1" ht="25.05" customHeight="1" x14ac:dyDescent="0.4">
      <c r="A373" s="35" t="s">
        <v>2514</v>
      </c>
      <c r="B373" s="35" t="s">
        <v>2523</v>
      </c>
      <c r="C373" s="35" t="s">
        <v>340</v>
      </c>
      <c r="D373" s="35" t="s">
        <v>2524</v>
      </c>
      <c r="E373" s="35" t="s">
        <v>2525</v>
      </c>
      <c r="F373" s="35" t="s">
        <v>298</v>
      </c>
      <c r="J373" s="35" t="s">
        <v>215</v>
      </c>
      <c r="K373" s="35" t="s">
        <v>215</v>
      </c>
      <c r="N373" s="35">
        <v>0.48</v>
      </c>
    </row>
    <row r="374" spans="1:14" s="35" customFormat="1" ht="25.05" customHeight="1" x14ac:dyDescent="0.4">
      <c r="A374" s="35" t="s">
        <v>2514</v>
      </c>
      <c r="B374" s="35" t="s">
        <v>2526</v>
      </c>
      <c r="C374" s="35" t="s">
        <v>340</v>
      </c>
      <c r="D374" s="35" t="s">
        <v>2527</v>
      </c>
      <c r="E374" s="35" t="s">
        <v>2528</v>
      </c>
      <c r="F374" s="35" t="s">
        <v>299</v>
      </c>
      <c r="H374" s="35" t="s">
        <v>2008</v>
      </c>
      <c r="I374" s="35" t="s">
        <v>1976</v>
      </c>
      <c r="J374" s="35" t="s">
        <v>215</v>
      </c>
      <c r="K374" s="35" t="s">
        <v>215</v>
      </c>
      <c r="N374" s="35">
        <v>0.15</v>
      </c>
    </row>
    <row r="375" spans="1:14" s="35" customFormat="1" ht="25.05" customHeight="1" x14ac:dyDescent="0.4">
      <c r="A375" s="35" t="s">
        <v>2514</v>
      </c>
      <c r="B375" s="35" t="s">
        <v>2529</v>
      </c>
      <c r="C375" s="35" t="s">
        <v>340</v>
      </c>
      <c r="D375" s="35" t="s">
        <v>2530</v>
      </c>
      <c r="E375" s="35" t="s">
        <v>2531</v>
      </c>
      <c r="F375" s="35" t="s">
        <v>298</v>
      </c>
      <c r="H375" s="35" t="s">
        <v>2008</v>
      </c>
      <c r="I375" s="35" t="s">
        <v>1976</v>
      </c>
      <c r="J375" s="35" t="s">
        <v>215</v>
      </c>
      <c r="K375" s="35" t="s">
        <v>215</v>
      </c>
      <c r="N375" s="35">
        <v>6.72</v>
      </c>
    </row>
    <row r="376" spans="1:14" s="35" customFormat="1" ht="25.05" customHeight="1" x14ac:dyDescent="0.4">
      <c r="A376" s="35" t="s">
        <v>2514</v>
      </c>
      <c r="B376" s="35" t="s">
        <v>2532</v>
      </c>
      <c r="C376" s="35" t="s">
        <v>340</v>
      </c>
      <c r="D376" s="35" t="s">
        <v>2533</v>
      </c>
      <c r="E376" s="35" t="s">
        <v>2534</v>
      </c>
      <c r="F376" s="35" t="s">
        <v>298</v>
      </c>
      <c r="H376" s="35" t="s">
        <v>2008</v>
      </c>
      <c r="I376" s="35" t="s">
        <v>1976</v>
      </c>
      <c r="J376" s="35" t="s">
        <v>215</v>
      </c>
      <c r="K376" s="35" t="s">
        <v>215</v>
      </c>
      <c r="N376" s="35">
        <v>3.92</v>
      </c>
    </row>
    <row r="377" spans="1:14" s="35" customFormat="1" ht="25.05" customHeight="1" x14ac:dyDescent="0.4">
      <c r="A377" s="35" t="s">
        <v>2514</v>
      </c>
      <c r="B377" s="35" t="s">
        <v>2535</v>
      </c>
      <c r="C377" s="35" t="s">
        <v>340</v>
      </c>
      <c r="D377" s="35" t="s">
        <v>2536</v>
      </c>
      <c r="E377" s="35" t="s">
        <v>2537</v>
      </c>
      <c r="F377" s="35" t="s">
        <v>323</v>
      </c>
      <c r="H377" s="35" t="s">
        <v>2008</v>
      </c>
      <c r="I377" s="35" t="s">
        <v>1976</v>
      </c>
      <c r="J377" s="35" t="s">
        <v>215</v>
      </c>
      <c r="K377" s="35" t="s">
        <v>215</v>
      </c>
      <c r="N377" s="35">
        <v>7.53</v>
      </c>
    </row>
    <row r="378" spans="1:14" s="35" customFormat="1" ht="25.05" customHeight="1" x14ac:dyDescent="0.4">
      <c r="A378" s="35" t="s">
        <v>2514</v>
      </c>
      <c r="B378" s="35" t="s">
        <v>2538</v>
      </c>
      <c r="C378" s="35" t="s">
        <v>340</v>
      </c>
      <c r="D378" s="35" t="s">
        <v>2539</v>
      </c>
      <c r="E378" s="35" t="s">
        <v>2540</v>
      </c>
      <c r="F378" s="35" t="s">
        <v>323</v>
      </c>
      <c r="H378" s="35" t="s">
        <v>2004</v>
      </c>
      <c r="I378" s="35" t="s">
        <v>1976</v>
      </c>
      <c r="J378" s="35" t="s">
        <v>215</v>
      </c>
      <c r="K378" s="35" t="s">
        <v>215</v>
      </c>
      <c r="N378" s="35">
        <v>2.62</v>
      </c>
    </row>
    <row r="379" spans="1:14" s="35" customFormat="1" ht="25.05" customHeight="1" x14ac:dyDescent="0.4">
      <c r="A379" s="35" t="s">
        <v>2514</v>
      </c>
      <c r="B379" s="35" t="s">
        <v>2541</v>
      </c>
      <c r="C379" s="35" t="s">
        <v>340</v>
      </c>
      <c r="D379" s="35" t="s">
        <v>2542</v>
      </c>
      <c r="E379" s="35" t="s">
        <v>2543</v>
      </c>
      <c r="F379" s="35" t="s">
        <v>299</v>
      </c>
      <c r="H379" s="35" t="s">
        <v>1980</v>
      </c>
      <c r="I379" s="35" t="s">
        <v>1994</v>
      </c>
      <c r="J379" s="35" t="s">
        <v>215</v>
      </c>
      <c r="K379" s="35" t="s">
        <v>215</v>
      </c>
      <c r="N379" s="35">
        <v>7.87</v>
      </c>
    </row>
    <row r="380" spans="1:14" s="35" customFormat="1" ht="25.05" customHeight="1" x14ac:dyDescent="0.4">
      <c r="A380" s="35" t="s">
        <v>2514</v>
      </c>
      <c r="B380" s="35" t="s">
        <v>2544</v>
      </c>
      <c r="C380" s="35" t="s">
        <v>340</v>
      </c>
      <c r="D380" s="35" t="s">
        <v>2545</v>
      </c>
      <c r="E380" s="35" t="s">
        <v>2546</v>
      </c>
      <c r="F380" s="35" t="s">
        <v>303</v>
      </c>
      <c r="H380" s="35" t="s">
        <v>1984</v>
      </c>
      <c r="I380" s="35" t="s">
        <v>1976</v>
      </c>
      <c r="J380" s="35" t="s">
        <v>215</v>
      </c>
      <c r="K380" s="35" t="s">
        <v>215</v>
      </c>
      <c r="N380" s="35">
        <v>12.02</v>
      </c>
    </row>
    <row r="381" spans="1:14" s="35" customFormat="1" ht="25.05" customHeight="1" x14ac:dyDescent="0.4">
      <c r="A381" s="35" t="s">
        <v>2514</v>
      </c>
      <c r="B381" s="35" t="s">
        <v>2547</v>
      </c>
      <c r="C381" s="35" t="s">
        <v>340</v>
      </c>
      <c r="D381" s="35" t="s">
        <v>2548</v>
      </c>
      <c r="E381" s="35" t="s">
        <v>2549</v>
      </c>
      <c r="F381" s="35" t="s">
        <v>300</v>
      </c>
      <c r="H381" s="35" t="s">
        <v>1980</v>
      </c>
      <c r="I381" s="35" t="s">
        <v>1976</v>
      </c>
      <c r="J381" s="35" t="s">
        <v>215</v>
      </c>
      <c r="K381" s="35" t="s">
        <v>215</v>
      </c>
      <c r="N381" s="35">
        <v>9.56</v>
      </c>
    </row>
    <row r="382" spans="1:14" s="35" customFormat="1" ht="25.05" customHeight="1" x14ac:dyDescent="0.4">
      <c r="A382" s="35" t="s">
        <v>2514</v>
      </c>
      <c r="B382" s="35" t="s">
        <v>2550</v>
      </c>
      <c r="C382" s="35" t="s">
        <v>340</v>
      </c>
      <c r="D382" s="35" t="s">
        <v>2551</v>
      </c>
      <c r="E382" s="35" t="s">
        <v>2552</v>
      </c>
      <c r="F382" s="35" t="s">
        <v>297</v>
      </c>
      <c r="H382" s="35" t="s">
        <v>2008</v>
      </c>
      <c r="I382" s="35" t="s">
        <v>1976</v>
      </c>
      <c r="J382" s="35" t="s">
        <v>215</v>
      </c>
      <c r="K382" s="35" t="s">
        <v>215</v>
      </c>
      <c r="N382" s="35">
        <v>9.15</v>
      </c>
    </row>
    <row r="383" spans="1:14" s="35" customFormat="1" ht="25.05" customHeight="1" x14ac:dyDescent="0.4">
      <c r="A383" s="35" t="s">
        <v>2514</v>
      </c>
      <c r="B383" s="35" t="s">
        <v>2553</v>
      </c>
      <c r="C383" s="35" t="s">
        <v>340</v>
      </c>
      <c r="D383" s="35" t="s">
        <v>2554</v>
      </c>
      <c r="E383" s="35" t="s">
        <v>2555</v>
      </c>
      <c r="F383" s="35" t="s">
        <v>300</v>
      </c>
      <c r="H383" s="35" t="s">
        <v>1980</v>
      </c>
      <c r="I383" s="35" t="s">
        <v>1976</v>
      </c>
      <c r="J383" s="35" t="s">
        <v>215</v>
      </c>
      <c r="K383" s="35" t="s">
        <v>215</v>
      </c>
      <c r="N383" s="35">
        <v>5.96</v>
      </c>
    </row>
    <row r="384" spans="1:14" s="35" customFormat="1" ht="25.05" customHeight="1" x14ac:dyDescent="0.4">
      <c r="A384" s="35" t="s">
        <v>2514</v>
      </c>
      <c r="B384" s="35" t="s">
        <v>2556</v>
      </c>
      <c r="C384" s="35" t="s">
        <v>340</v>
      </c>
      <c r="D384" s="35" t="s">
        <v>2557</v>
      </c>
      <c r="E384" s="35" t="s">
        <v>2558</v>
      </c>
      <c r="F384" s="35" t="s">
        <v>298</v>
      </c>
      <c r="H384" s="35" t="s">
        <v>2008</v>
      </c>
      <c r="I384" s="35" t="s">
        <v>1976</v>
      </c>
      <c r="J384" s="35" t="s">
        <v>215</v>
      </c>
      <c r="K384" s="35" t="s">
        <v>215</v>
      </c>
      <c r="N384" s="35">
        <v>0.13</v>
      </c>
    </row>
    <row r="385" spans="1:14" s="35" customFormat="1" ht="25.05" customHeight="1" x14ac:dyDescent="0.4">
      <c r="A385" s="35" t="s">
        <v>2514</v>
      </c>
      <c r="B385" s="35" t="s">
        <v>2559</v>
      </c>
      <c r="C385" s="35" t="s">
        <v>340</v>
      </c>
      <c r="D385" s="35" t="s">
        <v>2560</v>
      </c>
      <c r="E385" s="35" t="s">
        <v>2561</v>
      </c>
      <c r="F385" s="35" t="s">
        <v>300</v>
      </c>
      <c r="H385" s="35" t="s">
        <v>1994</v>
      </c>
      <c r="I385" s="35" t="s">
        <v>1976</v>
      </c>
      <c r="J385" s="35" t="s">
        <v>215</v>
      </c>
      <c r="K385" s="35" t="s">
        <v>215</v>
      </c>
      <c r="N385" s="35">
        <v>11.85</v>
      </c>
    </row>
    <row r="386" spans="1:14" s="35" customFormat="1" ht="25.05" customHeight="1" x14ac:dyDescent="0.4">
      <c r="A386" s="35" t="s">
        <v>2514</v>
      </c>
      <c r="B386" s="35" t="s">
        <v>2562</v>
      </c>
      <c r="C386" s="35" t="s">
        <v>340</v>
      </c>
      <c r="D386" s="35" t="s">
        <v>2563</v>
      </c>
      <c r="E386" s="35" t="s">
        <v>2564</v>
      </c>
      <c r="F386" s="35" t="s">
        <v>303</v>
      </c>
      <c r="H386" s="35" t="s">
        <v>2008</v>
      </c>
      <c r="I386" s="35" t="s">
        <v>1976</v>
      </c>
      <c r="J386" s="35" t="s">
        <v>215</v>
      </c>
      <c r="K386" s="35" t="s">
        <v>215</v>
      </c>
      <c r="N386" s="35">
        <v>0.31</v>
      </c>
    </row>
    <row r="387" spans="1:14" s="35" customFormat="1" ht="25.05" customHeight="1" x14ac:dyDescent="0.4">
      <c r="A387" s="35" t="s">
        <v>2514</v>
      </c>
      <c r="B387" s="35" t="s">
        <v>2565</v>
      </c>
      <c r="C387" s="35" t="s">
        <v>340</v>
      </c>
      <c r="D387" s="35" t="s">
        <v>2566</v>
      </c>
      <c r="E387" s="35" t="s">
        <v>2567</v>
      </c>
      <c r="F387" s="35" t="s">
        <v>303</v>
      </c>
      <c r="H387" s="35" t="s">
        <v>2008</v>
      </c>
      <c r="I387" s="35" t="s">
        <v>1976</v>
      </c>
      <c r="J387" s="35" t="s">
        <v>215</v>
      </c>
      <c r="K387" s="35" t="s">
        <v>215</v>
      </c>
      <c r="N387" s="35">
        <v>0.4</v>
      </c>
    </row>
    <row r="388" spans="1:14" s="35" customFormat="1" ht="25.05" customHeight="1" x14ac:dyDescent="0.4">
      <c r="A388" s="35" t="s">
        <v>2514</v>
      </c>
      <c r="B388" s="35" t="s">
        <v>2568</v>
      </c>
      <c r="C388" s="35" t="s">
        <v>340</v>
      </c>
      <c r="D388" s="35" t="s">
        <v>2569</v>
      </c>
      <c r="E388" s="35" t="s">
        <v>2570</v>
      </c>
      <c r="F388" s="35" t="s">
        <v>300</v>
      </c>
      <c r="J388" s="35" t="s">
        <v>215</v>
      </c>
      <c r="K388" s="35" t="s">
        <v>215</v>
      </c>
      <c r="N388" s="35">
        <v>8.09</v>
      </c>
    </row>
    <row r="389" spans="1:14" s="35" customFormat="1" ht="25.05" customHeight="1" x14ac:dyDescent="0.4">
      <c r="A389" s="35" t="s">
        <v>2514</v>
      </c>
      <c r="B389" s="35" t="s">
        <v>2571</v>
      </c>
      <c r="C389" s="35" t="s">
        <v>340</v>
      </c>
      <c r="D389" s="35" t="s">
        <v>2572</v>
      </c>
      <c r="E389" s="35" t="s">
        <v>2573</v>
      </c>
      <c r="F389" s="35" t="s">
        <v>297</v>
      </c>
      <c r="H389" s="35" t="s">
        <v>1984</v>
      </c>
      <c r="I389" s="35" t="s">
        <v>1976</v>
      </c>
      <c r="J389" s="35" t="s">
        <v>215</v>
      </c>
      <c r="K389" s="35" t="s">
        <v>215</v>
      </c>
      <c r="N389" s="35">
        <v>5.23</v>
      </c>
    </row>
    <row r="390" spans="1:14" s="35" customFormat="1" ht="25.05" customHeight="1" x14ac:dyDescent="0.4">
      <c r="A390" s="35" t="s">
        <v>2514</v>
      </c>
      <c r="B390" s="35" t="s">
        <v>2445</v>
      </c>
      <c r="C390" s="35" t="s">
        <v>347</v>
      </c>
      <c r="D390" s="35" t="s">
        <v>2574</v>
      </c>
      <c r="E390" s="35" t="s">
        <v>2575</v>
      </c>
      <c r="F390" s="35" t="s">
        <v>297</v>
      </c>
      <c r="H390" s="35" t="s">
        <v>1984</v>
      </c>
      <c r="I390" s="35" t="s">
        <v>1976</v>
      </c>
      <c r="J390" s="35" t="s">
        <v>215</v>
      </c>
      <c r="K390" s="35" t="s">
        <v>215</v>
      </c>
      <c r="N390" s="35">
        <v>7.3</v>
      </c>
    </row>
    <row r="391" spans="1:14" s="35" customFormat="1" ht="25.05" customHeight="1" x14ac:dyDescent="0.4">
      <c r="A391" s="35" t="s">
        <v>2514</v>
      </c>
      <c r="B391" s="35" t="s">
        <v>2576</v>
      </c>
      <c r="C391" s="35" t="s">
        <v>340</v>
      </c>
      <c r="D391" s="35" t="s">
        <v>2577</v>
      </c>
      <c r="E391" s="35" t="s">
        <v>2578</v>
      </c>
      <c r="F391" s="35" t="s">
        <v>300</v>
      </c>
      <c r="H391" s="35" t="s">
        <v>1975</v>
      </c>
      <c r="I391" s="35" t="s">
        <v>2189</v>
      </c>
      <c r="J391" s="35" t="s">
        <v>215</v>
      </c>
      <c r="K391" s="35" t="s">
        <v>215</v>
      </c>
      <c r="N391" s="35">
        <v>6.9</v>
      </c>
    </row>
    <row r="392" spans="1:14" s="35" customFormat="1" ht="25.05" customHeight="1" x14ac:dyDescent="0.4">
      <c r="A392" s="35" t="s">
        <v>2514</v>
      </c>
      <c r="B392" s="35" t="s">
        <v>2579</v>
      </c>
      <c r="C392" s="35" t="s">
        <v>340</v>
      </c>
      <c r="D392" s="35" t="s">
        <v>2580</v>
      </c>
      <c r="E392" s="35" t="s">
        <v>2581</v>
      </c>
      <c r="F392" s="35" t="s">
        <v>302</v>
      </c>
      <c r="H392" s="35" t="s">
        <v>2008</v>
      </c>
      <c r="I392" s="35" t="s">
        <v>2582</v>
      </c>
      <c r="J392" s="35" t="s">
        <v>215</v>
      </c>
      <c r="K392" s="35" t="s">
        <v>215</v>
      </c>
      <c r="N392" s="35">
        <v>2.08</v>
      </c>
    </row>
    <row r="393" spans="1:14" s="35" customFormat="1" ht="25.05" customHeight="1" x14ac:dyDescent="0.4">
      <c r="A393" s="35" t="s">
        <v>2514</v>
      </c>
      <c r="B393" s="35" t="s">
        <v>2583</v>
      </c>
      <c r="C393" s="35" t="s">
        <v>340</v>
      </c>
      <c r="D393" s="35" t="s">
        <v>2584</v>
      </c>
      <c r="E393" s="35" t="s">
        <v>2585</v>
      </c>
      <c r="F393" s="35" t="s">
        <v>299</v>
      </c>
      <c r="H393" s="35" t="s">
        <v>1975</v>
      </c>
      <c r="I393" s="35" t="s">
        <v>1976</v>
      </c>
      <c r="J393" s="35" t="s">
        <v>215</v>
      </c>
      <c r="K393" s="35" t="s">
        <v>215</v>
      </c>
      <c r="N393" s="35">
        <v>9.73</v>
      </c>
    </row>
    <row r="394" spans="1:14" s="35" customFormat="1" ht="25.05" customHeight="1" x14ac:dyDescent="0.4">
      <c r="A394" s="35" t="s">
        <v>2514</v>
      </c>
      <c r="B394" s="35" t="s">
        <v>1349</v>
      </c>
      <c r="C394" s="35" t="s">
        <v>349</v>
      </c>
      <c r="D394" s="35" t="s">
        <v>2586</v>
      </c>
      <c r="E394" s="35" t="s">
        <v>2587</v>
      </c>
      <c r="F394" s="35" t="s">
        <v>303</v>
      </c>
      <c r="H394" s="35" t="s">
        <v>1980</v>
      </c>
      <c r="I394" s="35" t="s">
        <v>1976</v>
      </c>
      <c r="J394" s="35" t="s">
        <v>215</v>
      </c>
      <c r="K394" s="35" t="s">
        <v>215</v>
      </c>
      <c r="N394" s="35">
        <v>0.45</v>
      </c>
    </row>
    <row r="395" spans="1:14" s="35" customFormat="1" ht="25.05" customHeight="1" x14ac:dyDescent="0.4">
      <c r="A395" s="35" t="s">
        <v>2514</v>
      </c>
      <c r="B395" s="35" t="s">
        <v>1349</v>
      </c>
      <c r="C395" s="35" t="s">
        <v>2588</v>
      </c>
      <c r="D395" s="35" t="s">
        <v>2589</v>
      </c>
      <c r="E395" s="35" t="s">
        <v>2590</v>
      </c>
      <c r="F395" s="35" t="s">
        <v>303</v>
      </c>
      <c r="H395" s="35" t="s">
        <v>215</v>
      </c>
      <c r="I395" s="35" t="s">
        <v>215</v>
      </c>
      <c r="J395" s="35" t="s">
        <v>215</v>
      </c>
      <c r="K395" s="35" t="s">
        <v>215</v>
      </c>
    </row>
    <row r="396" spans="1:14" s="35" customFormat="1" ht="25.05" customHeight="1" x14ac:dyDescent="0.4">
      <c r="A396" s="35" t="s">
        <v>2514</v>
      </c>
      <c r="B396" s="35" t="s">
        <v>2591</v>
      </c>
      <c r="C396" s="35" t="s">
        <v>340</v>
      </c>
      <c r="D396" s="35" t="s">
        <v>2592</v>
      </c>
      <c r="E396" s="35" t="s">
        <v>2593</v>
      </c>
      <c r="F396" s="35" t="s">
        <v>303</v>
      </c>
      <c r="H396" s="35" t="s">
        <v>2008</v>
      </c>
      <c r="I396" s="35" t="s">
        <v>1981</v>
      </c>
      <c r="J396" s="35" t="s">
        <v>215</v>
      </c>
      <c r="K396" s="35" t="s">
        <v>215</v>
      </c>
      <c r="N396" s="35">
        <v>6.28</v>
      </c>
    </row>
    <row r="397" spans="1:14" s="35" customFormat="1" ht="25.05" customHeight="1" x14ac:dyDescent="0.4">
      <c r="A397" s="35" t="s">
        <v>2514</v>
      </c>
      <c r="B397" s="35" t="s">
        <v>2594</v>
      </c>
      <c r="C397" s="35" t="s">
        <v>340</v>
      </c>
      <c r="D397" s="35" t="s">
        <v>2595</v>
      </c>
      <c r="E397" s="35" t="s">
        <v>2596</v>
      </c>
      <c r="F397" s="35" t="s">
        <v>298</v>
      </c>
      <c r="H397" s="35" t="s">
        <v>1984</v>
      </c>
      <c r="I397" s="35" t="s">
        <v>1976</v>
      </c>
      <c r="J397" s="35" t="s">
        <v>215</v>
      </c>
      <c r="K397" s="35" t="s">
        <v>215</v>
      </c>
      <c r="N397" s="35">
        <v>3.97</v>
      </c>
    </row>
    <row r="398" spans="1:14" s="35" customFormat="1" ht="25.05" customHeight="1" x14ac:dyDescent="0.4">
      <c r="A398" s="35" t="s">
        <v>2514</v>
      </c>
      <c r="B398" s="35" t="s">
        <v>2597</v>
      </c>
      <c r="C398" s="35" t="s">
        <v>340</v>
      </c>
      <c r="D398" s="35" t="s">
        <v>2598</v>
      </c>
      <c r="E398" s="35" t="s">
        <v>2599</v>
      </c>
      <c r="F398" s="35" t="s">
        <v>303</v>
      </c>
      <c r="H398" s="35" t="s">
        <v>1980</v>
      </c>
      <c r="I398" s="35" t="s">
        <v>1976</v>
      </c>
      <c r="J398" s="35" t="s">
        <v>215</v>
      </c>
      <c r="K398" s="35" t="s">
        <v>215</v>
      </c>
      <c r="N398" s="35">
        <v>8.6</v>
      </c>
    </row>
    <row r="399" spans="1:14" s="35" customFormat="1" ht="25.05" customHeight="1" x14ac:dyDescent="0.4">
      <c r="A399" s="35" t="s">
        <v>2514</v>
      </c>
      <c r="B399" s="35" t="s">
        <v>2600</v>
      </c>
      <c r="C399" s="35" t="s">
        <v>340</v>
      </c>
      <c r="D399" s="35" t="s">
        <v>2601</v>
      </c>
      <c r="E399" s="35" t="s">
        <v>2602</v>
      </c>
      <c r="F399" s="35" t="s">
        <v>303</v>
      </c>
      <c r="H399" s="35" t="s">
        <v>2008</v>
      </c>
      <c r="I399" s="35" t="s">
        <v>1976</v>
      </c>
      <c r="J399" s="35" t="s">
        <v>215</v>
      </c>
      <c r="K399" s="35" t="s">
        <v>215</v>
      </c>
      <c r="N399" s="35">
        <v>5.48</v>
      </c>
    </row>
    <row r="400" spans="1:14" s="35" customFormat="1" ht="25.05" customHeight="1" x14ac:dyDescent="0.4">
      <c r="A400" s="35" t="s">
        <v>2514</v>
      </c>
      <c r="B400" s="35" t="s">
        <v>2603</v>
      </c>
      <c r="C400" s="35" t="s">
        <v>340</v>
      </c>
      <c r="D400" s="35" t="s">
        <v>2604</v>
      </c>
      <c r="E400" s="35" t="s">
        <v>2605</v>
      </c>
      <c r="F400" s="35" t="s">
        <v>300</v>
      </c>
      <c r="H400" s="35" t="s">
        <v>2008</v>
      </c>
      <c r="I400" s="35" t="s">
        <v>1976</v>
      </c>
      <c r="J400" s="35" t="s">
        <v>215</v>
      </c>
      <c r="K400" s="35" t="s">
        <v>215</v>
      </c>
      <c r="N400" s="35">
        <v>8.31</v>
      </c>
    </row>
    <row r="401" spans="1:14" s="35" customFormat="1" ht="25.05" customHeight="1" x14ac:dyDescent="0.4">
      <c r="A401" s="35" t="s">
        <v>2514</v>
      </c>
      <c r="B401" s="35" t="s">
        <v>2606</v>
      </c>
      <c r="C401" s="35" t="s">
        <v>340</v>
      </c>
      <c r="D401" s="35" t="s">
        <v>2607</v>
      </c>
      <c r="E401" s="35" t="s">
        <v>2608</v>
      </c>
      <c r="F401" s="35" t="s">
        <v>323</v>
      </c>
      <c r="J401" s="35" t="s">
        <v>215</v>
      </c>
      <c r="K401" s="35" t="s">
        <v>215</v>
      </c>
      <c r="N401" s="35">
        <v>27.42</v>
      </c>
    </row>
    <row r="402" spans="1:14" s="35" customFormat="1" ht="25.05" customHeight="1" x14ac:dyDescent="0.4">
      <c r="A402" s="35" t="s">
        <v>2514</v>
      </c>
      <c r="B402" s="35" t="s">
        <v>2609</v>
      </c>
      <c r="C402" s="35" t="s">
        <v>340</v>
      </c>
      <c r="D402" s="35" t="s">
        <v>2610</v>
      </c>
      <c r="E402" s="35" t="s">
        <v>2611</v>
      </c>
      <c r="F402" s="35" t="s">
        <v>323</v>
      </c>
      <c r="H402" s="35" t="s">
        <v>215</v>
      </c>
      <c r="I402" s="35" t="s">
        <v>215</v>
      </c>
      <c r="J402" s="35" t="s">
        <v>215</v>
      </c>
      <c r="K402" s="35" t="s">
        <v>215</v>
      </c>
    </row>
    <row r="403" spans="1:14" s="35" customFormat="1" ht="25.05" customHeight="1" x14ac:dyDescent="0.4">
      <c r="A403" s="35" t="s">
        <v>2514</v>
      </c>
      <c r="B403" s="35" t="s">
        <v>2612</v>
      </c>
      <c r="C403" s="35" t="s">
        <v>340</v>
      </c>
      <c r="D403" s="35" t="s">
        <v>2613</v>
      </c>
      <c r="E403" s="35" t="s">
        <v>2614</v>
      </c>
      <c r="F403" s="35" t="s">
        <v>300</v>
      </c>
      <c r="H403" s="35" t="s">
        <v>215</v>
      </c>
      <c r="I403" s="35" t="s">
        <v>215</v>
      </c>
      <c r="J403" s="35" t="s">
        <v>215</v>
      </c>
      <c r="K403" s="35" t="s">
        <v>215</v>
      </c>
    </row>
    <row r="404" spans="1:14" s="35" customFormat="1" ht="25.05" customHeight="1" x14ac:dyDescent="0.4">
      <c r="A404" s="35" t="s">
        <v>2514</v>
      </c>
      <c r="B404" s="35" t="s">
        <v>2615</v>
      </c>
      <c r="C404" s="35" t="s">
        <v>340</v>
      </c>
      <c r="D404" s="35" t="s">
        <v>2616</v>
      </c>
      <c r="E404" s="35" t="s">
        <v>2617</v>
      </c>
      <c r="F404" s="35" t="s">
        <v>302</v>
      </c>
      <c r="H404" s="35" t="s">
        <v>215</v>
      </c>
      <c r="I404" s="35" t="s">
        <v>215</v>
      </c>
      <c r="J404" s="35" t="s">
        <v>215</v>
      </c>
      <c r="K404" s="35" t="s">
        <v>215</v>
      </c>
    </row>
    <row r="405" spans="1:14" s="35" customFormat="1" ht="25.05" customHeight="1" x14ac:dyDescent="0.4">
      <c r="A405" s="35" t="s">
        <v>2514</v>
      </c>
      <c r="B405" s="35" t="s">
        <v>2618</v>
      </c>
      <c r="C405" s="35" t="s">
        <v>340</v>
      </c>
      <c r="D405" s="35" t="s">
        <v>2619</v>
      </c>
      <c r="E405" s="35" t="s">
        <v>2620</v>
      </c>
      <c r="F405" s="35" t="s">
        <v>303</v>
      </c>
      <c r="H405" s="35" t="s">
        <v>215</v>
      </c>
      <c r="I405" s="35" t="s">
        <v>215</v>
      </c>
      <c r="J405" s="35" t="s">
        <v>215</v>
      </c>
      <c r="K405" s="35" t="s">
        <v>215</v>
      </c>
    </row>
    <row r="406" spans="1:14" s="35" customFormat="1" ht="25.05" customHeight="1" x14ac:dyDescent="0.4">
      <c r="A406" s="35" t="s">
        <v>2514</v>
      </c>
      <c r="B406" s="35" t="s">
        <v>418</v>
      </c>
      <c r="C406" s="35" t="s">
        <v>2621</v>
      </c>
      <c r="D406" s="35" t="s">
        <v>2622</v>
      </c>
      <c r="E406" s="35" t="s">
        <v>2623</v>
      </c>
      <c r="F406" s="35" t="s">
        <v>300</v>
      </c>
      <c r="H406" s="35" t="s">
        <v>1975</v>
      </c>
      <c r="I406" s="35" t="s">
        <v>1976</v>
      </c>
      <c r="J406" s="35" t="s">
        <v>215</v>
      </c>
      <c r="K406" s="35" t="s">
        <v>215</v>
      </c>
      <c r="N406" s="35">
        <v>14.56</v>
      </c>
    </row>
    <row r="407" spans="1:14" s="35" customFormat="1" ht="25.05" customHeight="1" x14ac:dyDescent="0.4">
      <c r="A407" s="35" t="s">
        <v>2514</v>
      </c>
      <c r="B407" s="35" t="s">
        <v>418</v>
      </c>
      <c r="C407" s="35" t="s">
        <v>2624</v>
      </c>
      <c r="D407" s="35" t="s">
        <v>2625</v>
      </c>
      <c r="E407" s="35" t="s">
        <v>2626</v>
      </c>
      <c r="F407" s="35" t="s">
        <v>300</v>
      </c>
      <c r="H407" s="35" t="s">
        <v>1975</v>
      </c>
      <c r="I407" s="35" t="s">
        <v>1976</v>
      </c>
      <c r="J407" s="35" t="s">
        <v>215</v>
      </c>
      <c r="K407" s="35" t="s">
        <v>215</v>
      </c>
      <c r="N407" s="35">
        <v>21.99</v>
      </c>
    </row>
    <row r="408" spans="1:14" s="35" customFormat="1" ht="25.05" customHeight="1" x14ac:dyDescent="0.4">
      <c r="A408" s="35" t="s">
        <v>2514</v>
      </c>
      <c r="B408" s="35" t="s">
        <v>418</v>
      </c>
      <c r="C408" s="35" t="s">
        <v>2627</v>
      </c>
      <c r="D408" s="35" t="s">
        <v>2628</v>
      </c>
      <c r="E408" s="35" t="s">
        <v>2629</v>
      </c>
      <c r="F408" s="35" t="s">
        <v>300</v>
      </c>
      <c r="H408" s="35" t="s">
        <v>1975</v>
      </c>
      <c r="I408" s="35" t="s">
        <v>1976</v>
      </c>
      <c r="J408" s="35" t="s">
        <v>215</v>
      </c>
      <c r="K408" s="35" t="s">
        <v>215</v>
      </c>
      <c r="N408" s="35">
        <v>19.87</v>
      </c>
    </row>
    <row r="409" spans="1:14" s="35" customFormat="1" ht="25.05" customHeight="1" x14ac:dyDescent="0.4">
      <c r="A409" s="35" t="s">
        <v>2514</v>
      </c>
      <c r="B409" s="35" t="s">
        <v>2062</v>
      </c>
      <c r="C409" s="35" t="s">
        <v>2135</v>
      </c>
      <c r="D409" s="35" t="s">
        <v>2630</v>
      </c>
      <c r="E409" s="35" t="s">
        <v>2631</v>
      </c>
      <c r="F409" s="35" t="s">
        <v>300</v>
      </c>
      <c r="H409" s="35" t="s">
        <v>2008</v>
      </c>
      <c r="I409" s="35" t="s">
        <v>1976</v>
      </c>
      <c r="J409" s="35" t="s">
        <v>215</v>
      </c>
      <c r="K409" s="35" t="s">
        <v>215</v>
      </c>
      <c r="N409" s="35">
        <v>20.78</v>
      </c>
    </row>
    <row r="410" spans="1:14" s="35" customFormat="1" ht="25.05" customHeight="1" x14ac:dyDescent="0.4">
      <c r="A410" s="35" t="s">
        <v>2514</v>
      </c>
      <c r="B410" s="35" t="s">
        <v>2062</v>
      </c>
      <c r="C410" s="35" t="s">
        <v>2632</v>
      </c>
      <c r="D410" s="35" t="s">
        <v>2633</v>
      </c>
      <c r="E410" s="35" t="s">
        <v>2634</v>
      </c>
      <c r="F410" s="35" t="s">
        <v>300</v>
      </c>
      <c r="H410" s="35" t="s">
        <v>2008</v>
      </c>
      <c r="I410" s="35" t="s">
        <v>1976</v>
      </c>
      <c r="J410" s="35" t="s">
        <v>215</v>
      </c>
      <c r="K410" s="35" t="s">
        <v>215</v>
      </c>
      <c r="N410" s="35">
        <v>0.22</v>
      </c>
    </row>
    <row r="411" spans="1:14" s="35" customFormat="1" ht="25.05" customHeight="1" x14ac:dyDescent="0.4">
      <c r="A411" s="35" t="s">
        <v>2514</v>
      </c>
      <c r="B411" s="35" t="s">
        <v>1629</v>
      </c>
      <c r="C411" s="35" t="s">
        <v>340</v>
      </c>
      <c r="D411" s="35" t="s">
        <v>2635</v>
      </c>
      <c r="E411" s="35" t="s">
        <v>2636</v>
      </c>
      <c r="F411" s="35" t="s">
        <v>300</v>
      </c>
      <c r="H411" s="35" t="s">
        <v>1980</v>
      </c>
      <c r="I411" s="35" t="s">
        <v>1976</v>
      </c>
      <c r="J411" s="35" t="s">
        <v>215</v>
      </c>
      <c r="K411" s="35" t="s">
        <v>215</v>
      </c>
      <c r="N411" s="35">
        <v>4.37</v>
      </c>
    </row>
    <row r="412" spans="1:14" s="35" customFormat="1" ht="25.05" customHeight="1" x14ac:dyDescent="0.4">
      <c r="A412" s="35" t="s">
        <v>2514</v>
      </c>
      <c r="B412" s="35" t="s">
        <v>369</v>
      </c>
      <c r="C412" s="35" t="s">
        <v>2624</v>
      </c>
      <c r="D412" s="35" t="s">
        <v>2637</v>
      </c>
      <c r="E412" s="35" t="s">
        <v>2638</v>
      </c>
      <c r="F412" s="35" t="s">
        <v>300</v>
      </c>
      <c r="J412" s="35" t="s">
        <v>215</v>
      </c>
      <c r="K412" s="35" t="s">
        <v>215</v>
      </c>
    </row>
    <row r="413" spans="1:14" s="35" customFormat="1" ht="25.05" customHeight="1" x14ac:dyDescent="0.4">
      <c r="A413" s="35" t="s">
        <v>2514</v>
      </c>
      <c r="B413" s="35" t="s">
        <v>2503</v>
      </c>
      <c r="C413" s="35" t="s">
        <v>340</v>
      </c>
      <c r="D413" s="35" t="s">
        <v>2639</v>
      </c>
      <c r="E413" s="35" t="s">
        <v>2640</v>
      </c>
      <c r="F413" s="35" t="s">
        <v>297</v>
      </c>
      <c r="H413" s="35" t="s">
        <v>2008</v>
      </c>
      <c r="I413" s="35" t="s">
        <v>1976</v>
      </c>
      <c r="J413" s="35" t="s">
        <v>215</v>
      </c>
      <c r="K413" s="35" t="s">
        <v>215</v>
      </c>
      <c r="N413" s="35">
        <v>3.6</v>
      </c>
    </row>
    <row r="414" spans="1:14" s="35" customFormat="1" ht="25.05" customHeight="1" x14ac:dyDescent="0.4">
      <c r="A414" s="35" t="s">
        <v>2514</v>
      </c>
      <c r="B414" s="35" t="s">
        <v>2508</v>
      </c>
      <c r="C414" s="35" t="s">
        <v>346</v>
      </c>
      <c r="D414" s="35" t="s">
        <v>2641</v>
      </c>
      <c r="E414" s="35" t="s">
        <v>2642</v>
      </c>
      <c r="F414" s="35" t="s">
        <v>303</v>
      </c>
      <c r="H414" s="35" t="s">
        <v>2008</v>
      </c>
      <c r="I414" s="35" t="s">
        <v>1976</v>
      </c>
      <c r="J414" s="35" t="s">
        <v>215</v>
      </c>
      <c r="K414" s="35" t="s">
        <v>215</v>
      </c>
      <c r="N414" s="35">
        <v>9.4600000000000009</v>
      </c>
    </row>
    <row r="415" spans="1:14" s="35" customFormat="1" ht="25.05" customHeight="1" x14ac:dyDescent="0.4">
      <c r="A415" s="35" t="s">
        <v>2514</v>
      </c>
      <c r="B415" s="35" t="s">
        <v>2508</v>
      </c>
      <c r="C415" s="35" t="s">
        <v>349</v>
      </c>
      <c r="D415" s="35" t="s">
        <v>2643</v>
      </c>
      <c r="E415" s="35" t="s">
        <v>2644</v>
      </c>
      <c r="F415" s="35" t="s">
        <v>323</v>
      </c>
      <c r="H415" s="35" t="s">
        <v>2008</v>
      </c>
      <c r="I415" s="35" t="s">
        <v>1976</v>
      </c>
      <c r="J415" s="35" t="s">
        <v>215</v>
      </c>
      <c r="K415" s="35" t="s">
        <v>215</v>
      </c>
      <c r="N415" s="35">
        <v>0.15</v>
      </c>
    </row>
    <row r="416" spans="1:14" s="35" customFormat="1" ht="25.05" customHeight="1" x14ac:dyDescent="0.4">
      <c r="A416" s="35" t="s">
        <v>2645</v>
      </c>
      <c r="B416" s="35" t="s">
        <v>2646</v>
      </c>
      <c r="C416" s="35" t="s">
        <v>346</v>
      </c>
      <c r="D416" s="35" t="s">
        <v>458</v>
      </c>
      <c r="E416" s="35" t="s">
        <v>2647</v>
      </c>
      <c r="F416" s="35" t="s">
        <v>300</v>
      </c>
      <c r="H416" s="35" t="s">
        <v>215</v>
      </c>
      <c r="I416" s="35" t="s">
        <v>215</v>
      </c>
      <c r="J416" s="35" t="s">
        <v>215</v>
      </c>
      <c r="K416" s="35" t="s">
        <v>215</v>
      </c>
    </row>
    <row r="417" spans="1:14" s="35" customFormat="1" ht="25.05" customHeight="1" x14ac:dyDescent="0.4">
      <c r="A417" s="35" t="s">
        <v>2645</v>
      </c>
      <c r="B417" s="35" t="s">
        <v>2648</v>
      </c>
      <c r="C417" s="35" t="s">
        <v>340</v>
      </c>
      <c r="D417" s="35" t="s">
        <v>2649</v>
      </c>
      <c r="E417" s="35" t="s">
        <v>2650</v>
      </c>
      <c r="F417" s="35" t="s">
        <v>300</v>
      </c>
      <c r="H417" s="35" t="s">
        <v>2008</v>
      </c>
      <c r="I417" s="35" t="s">
        <v>1976</v>
      </c>
      <c r="J417" s="35" t="s">
        <v>215</v>
      </c>
      <c r="K417" s="35" t="s">
        <v>215</v>
      </c>
      <c r="N417" s="35">
        <v>9.2899999999999991</v>
      </c>
    </row>
    <row r="418" spans="1:14" s="35" customFormat="1" ht="25.05" customHeight="1" x14ac:dyDescent="0.4">
      <c r="A418" s="35" t="s">
        <v>2645</v>
      </c>
      <c r="B418" s="35" t="s">
        <v>2651</v>
      </c>
      <c r="C418" s="35" t="s">
        <v>340</v>
      </c>
      <c r="D418" s="35" t="s">
        <v>2652</v>
      </c>
      <c r="E418" s="35" t="s">
        <v>2653</v>
      </c>
      <c r="F418" s="35" t="s">
        <v>303</v>
      </c>
      <c r="H418" s="35" t="s">
        <v>2008</v>
      </c>
      <c r="I418" s="35" t="s">
        <v>1976</v>
      </c>
      <c r="J418" s="35" t="s">
        <v>215</v>
      </c>
      <c r="K418" s="35" t="s">
        <v>215</v>
      </c>
      <c r="N418" s="35">
        <v>10.35</v>
      </c>
    </row>
    <row r="419" spans="1:14" s="35" customFormat="1" ht="25.05" customHeight="1" x14ac:dyDescent="0.4">
      <c r="A419" s="35" t="s">
        <v>2645</v>
      </c>
      <c r="B419" s="35" t="s">
        <v>2654</v>
      </c>
      <c r="C419" s="35" t="s">
        <v>346</v>
      </c>
      <c r="D419" s="35" t="s">
        <v>2655</v>
      </c>
      <c r="E419" s="35" t="s">
        <v>2656</v>
      </c>
      <c r="F419" s="35" t="s">
        <v>300</v>
      </c>
      <c r="H419" s="35" t="s">
        <v>2008</v>
      </c>
      <c r="I419" s="35" t="s">
        <v>1976</v>
      </c>
      <c r="J419" s="35" t="s">
        <v>215</v>
      </c>
      <c r="K419" s="35" t="s">
        <v>215</v>
      </c>
      <c r="N419" s="35">
        <v>11.04</v>
      </c>
    </row>
    <row r="420" spans="1:14" s="35" customFormat="1" ht="25.05" customHeight="1" x14ac:dyDescent="0.4">
      <c r="A420" s="35" t="s">
        <v>2645</v>
      </c>
      <c r="B420" s="35" t="s">
        <v>2657</v>
      </c>
      <c r="C420" s="35" t="s">
        <v>340</v>
      </c>
      <c r="D420" s="35" t="s">
        <v>2658</v>
      </c>
      <c r="E420" s="35" t="s">
        <v>2659</v>
      </c>
      <c r="F420" s="35" t="s">
        <v>298</v>
      </c>
      <c r="J420" s="35" t="s">
        <v>215</v>
      </c>
      <c r="K420" s="35" t="s">
        <v>215</v>
      </c>
      <c r="N420" s="35">
        <v>7.26</v>
      </c>
    </row>
    <row r="421" spans="1:14" s="35" customFormat="1" ht="25.05" customHeight="1" x14ac:dyDescent="0.4">
      <c r="A421" s="35" t="s">
        <v>2645</v>
      </c>
      <c r="B421" s="35" t="s">
        <v>2660</v>
      </c>
      <c r="C421" s="35" t="s">
        <v>340</v>
      </c>
      <c r="D421" s="35" t="s">
        <v>2661</v>
      </c>
      <c r="E421" s="35" t="s">
        <v>2662</v>
      </c>
      <c r="F421" s="35" t="s">
        <v>300</v>
      </c>
      <c r="H421" s="35" t="s">
        <v>2008</v>
      </c>
      <c r="I421" s="35" t="s">
        <v>1976</v>
      </c>
      <c r="J421" s="35" t="s">
        <v>215</v>
      </c>
      <c r="K421" s="35" t="s">
        <v>215</v>
      </c>
      <c r="N421" s="35">
        <v>6.85</v>
      </c>
    </row>
    <row r="422" spans="1:14" s="35" customFormat="1" ht="25.05" customHeight="1" x14ac:dyDescent="0.4">
      <c r="A422" s="35" t="s">
        <v>2645</v>
      </c>
      <c r="B422" s="35" t="s">
        <v>2663</v>
      </c>
      <c r="C422" s="35" t="s">
        <v>340</v>
      </c>
      <c r="D422" s="35" t="s">
        <v>2664</v>
      </c>
      <c r="E422" s="35" t="s">
        <v>2665</v>
      </c>
      <c r="F422" s="35" t="s">
        <v>303</v>
      </c>
      <c r="H422" s="35" t="s">
        <v>2008</v>
      </c>
      <c r="I422" s="35" t="s">
        <v>1976</v>
      </c>
      <c r="J422" s="35" t="s">
        <v>215</v>
      </c>
      <c r="K422" s="35" t="s">
        <v>215</v>
      </c>
      <c r="N422" s="35">
        <v>7.05</v>
      </c>
    </row>
    <row r="423" spans="1:14" s="35" customFormat="1" ht="25.05" customHeight="1" x14ac:dyDescent="0.4">
      <c r="A423" s="35" t="s">
        <v>2645</v>
      </c>
      <c r="B423" s="35" t="s">
        <v>2666</v>
      </c>
      <c r="C423" s="35" t="s">
        <v>340</v>
      </c>
      <c r="D423" s="35" t="s">
        <v>2667</v>
      </c>
      <c r="E423" s="35" t="s">
        <v>2668</v>
      </c>
      <c r="F423" s="35" t="s">
        <v>323</v>
      </c>
      <c r="H423" s="35" t="s">
        <v>2008</v>
      </c>
      <c r="I423" s="35" t="s">
        <v>1976</v>
      </c>
      <c r="J423" s="35" t="s">
        <v>215</v>
      </c>
      <c r="K423" s="35" t="s">
        <v>215</v>
      </c>
      <c r="N423" s="35">
        <v>14.35</v>
      </c>
    </row>
    <row r="424" spans="1:14" s="35" customFormat="1" ht="25.05" customHeight="1" x14ac:dyDescent="0.4">
      <c r="A424" s="35" t="s">
        <v>2645</v>
      </c>
      <c r="B424" s="35" t="s">
        <v>2669</v>
      </c>
      <c r="C424" s="35" t="s">
        <v>340</v>
      </c>
      <c r="D424" s="35" t="s">
        <v>2670</v>
      </c>
      <c r="E424" s="35" t="s">
        <v>2671</v>
      </c>
      <c r="F424" s="35" t="s">
        <v>300</v>
      </c>
      <c r="H424" s="35" t="s">
        <v>2008</v>
      </c>
      <c r="I424" s="35" t="s">
        <v>1976</v>
      </c>
      <c r="J424" s="35" t="s">
        <v>215</v>
      </c>
      <c r="K424" s="35" t="s">
        <v>215</v>
      </c>
      <c r="N424" s="35">
        <v>4.75</v>
      </c>
    </row>
    <row r="425" spans="1:14" s="35" customFormat="1" ht="25.05" customHeight="1" x14ac:dyDescent="0.4">
      <c r="A425" s="35" t="s">
        <v>2645</v>
      </c>
      <c r="B425" s="35" t="s">
        <v>2445</v>
      </c>
      <c r="C425" s="35" t="s">
        <v>340</v>
      </c>
      <c r="D425" s="35" t="s">
        <v>2672</v>
      </c>
      <c r="E425" s="35" t="s">
        <v>2673</v>
      </c>
      <c r="F425" s="35" t="s">
        <v>298</v>
      </c>
      <c r="H425" s="35" t="s">
        <v>1984</v>
      </c>
      <c r="I425" s="35" t="s">
        <v>1976</v>
      </c>
      <c r="J425" s="35" t="s">
        <v>215</v>
      </c>
      <c r="K425" s="35" t="s">
        <v>215</v>
      </c>
      <c r="N425" s="35">
        <v>5.65</v>
      </c>
    </row>
    <row r="426" spans="1:14" s="35" customFormat="1" ht="25.05" customHeight="1" x14ac:dyDescent="0.4">
      <c r="A426" s="35" t="s">
        <v>2645</v>
      </c>
      <c r="B426" s="35" t="s">
        <v>2445</v>
      </c>
      <c r="C426" s="35" t="s">
        <v>346</v>
      </c>
      <c r="D426" s="35" t="s">
        <v>2674</v>
      </c>
      <c r="E426" s="35" t="s">
        <v>2675</v>
      </c>
      <c r="F426" s="35" t="s">
        <v>297</v>
      </c>
      <c r="H426" s="35" t="s">
        <v>1984</v>
      </c>
      <c r="I426" s="35" t="s">
        <v>1976</v>
      </c>
      <c r="J426" s="35" t="s">
        <v>215</v>
      </c>
      <c r="K426" s="35" t="s">
        <v>215</v>
      </c>
      <c r="N426" s="35">
        <v>3.53</v>
      </c>
    </row>
    <row r="427" spans="1:14" s="35" customFormat="1" ht="25.05" customHeight="1" x14ac:dyDescent="0.4">
      <c r="A427" s="35" t="s">
        <v>2645</v>
      </c>
      <c r="B427" s="35" t="s">
        <v>2676</v>
      </c>
      <c r="C427" s="35" t="s">
        <v>340</v>
      </c>
      <c r="D427" s="35" t="s">
        <v>2677</v>
      </c>
      <c r="E427" s="35" t="s">
        <v>2678</v>
      </c>
      <c r="F427" s="35" t="s">
        <v>297</v>
      </c>
      <c r="H427" s="35" t="s">
        <v>2008</v>
      </c>
      <c r="I427" s="35" t="s">
        <v>1976</v>
      </c>
      <c r="J427" s="35" t="s">
        <v>215</v>
      </c>
      <c r="K427" s="35" t="s">
        <v>215</v>
      </c>
      <c r="N427" s="35">
        <v>8.83</v>
      </c>
    </row>
    <row r="428" spans="1:14" s="35" customFormat="1" ht="25.05" customHeight="1" x14ac:dyDescent="0.4">
      <c r="A428" s="35" t="s">
        <v>2645</v>
      </c>
      <c r="B428" s="35" t="s">
        <v>2679</v>
      </c>
      <c r="C428" s="35" t="s">
        <v>340</v>
      </c>
      <c r="D428" s="35" t="s">
        <v>2680</v>
      </c>
      <c r="E428" s="35" t="s">
        <v>2681</v>
      </c>
      <c r="F428" s="35" t="s">
        <v>300</v>
      </c>
      <c r="H428" s="35" t="s">
        <v>1980</v>
      </c>
      <c r="I428" s="35" t="s">
        <v>1976</v>
      </c>
      <c r="J428" s="35" t="s">
        <v>215</v>
      </c>
      <c r="K428" s="35" t="s">
        <v>215</v>
      </c>
      <c r="N428" s="35">
        <v>13.92</v>
      </c>
    </row>
    <row r="429" spans="1:14" s="35" customFormat="1" ht="25.05" customHeight="1" x14ac:dyDescent="0.4">
      <c r="A429" s="35" t="s">
        <v>2645</v>
      </c>
      <c r="B429" s="35" t="s">
        <v>2682</v>
      </c>
      <c r="C429" s="35" t="s">
        <v>340</v>
      </c>
      <c r="D429" s="35" t="s">
        <v>2683</v>
      </c>
      <c r="E429" s="35" t="s">
        <v>2684</v>
      </c>
      <c r="F429" s="35" t="s">
        <v>297</v>
      </c>
      <c r="H429" s="35" t="s">
        <v>1984</v>
      </c>
      <c r="I429" s="35" t="s">
        <v>1976</v>
      </c>
      <c r="J429" s="35" t="s">
        <v>215</v>
      </c>
      <c r="K429" s="35" t="s">
        <v>215</v>
      </c>
      <c r="N429" s="35">
        <v>23</v>
      </c>
    </row>
    <row r="430" spans="1:14" s="35" customFormat="1" ht="25.05" customHeight="1" x14ac:dyDescent="0.4">
      <c r="A430" s="35" t="s">
        <v>2645</v>
      </c>
      <c r="B430" s="35" t="s">
        <v>2685</v>
      </c>
      <c r="C430" s="35" t="s">
        <v>340</v>
      </c>
      <c r="D430" s="35" t="s">
        <v>2686</v>
      </c>
      <c r="E430" s="35" t="s">
        <v>2687</v>
      </c>
      <c r="F430" s="35" t="s">
        <v>300</v>
      </c>
      <c r="H430" s="35" t="s">
        <v>215</v>
      </c>
      <c r="I430" s="35" t="s">
        <v>215</v>
      </c>
      <c r="J430" s="35" t="s">
        <v>215</v>
      </c>
      <c r="K430" s="35" t="s">
        <v>215</v>
      </c>
      <c r="N430" s="35">
        <v>4.7699999999999996</v>
      </c>
    </row>
    <row r="431" spans="1:14" s="35" customFormat="1" ht="25.05" customHeight="1" x14ac:dyDescent="0.4">
      <c r="A431" s="35" t="s">
        <v>2645</v>
      </c>
      <c r="B431" s="35" t="s">
        <v>2688</v>
      </c>
      <c r="C431" s="35" t="s">
        <v>340</v>
      </c>
      <c r="D431" s="35" t="s">
        <v>2689</v>
      </c>
      <c r="E431" s="35" t="s">
        <v>2690</v>
      </c>
      <c r="F431" s="35" t="s">
        <v>298</v>
      </c>
      <c r="H431" s="35" t="s">
        <v>215</v>
      </c>
      <c r="I431" s="35" t="s">
        <v>215</v>
      </c>
      <c r="J431" s="35" t="s">
        <v>215</v>
      </c>
      <c r="K431" s="35" t="s">
        <v>215</v>
      </c>
    </row>
    <row r="432" spans="1:14" s="35" customFormat="1" ht="25.05" customHeight="1" x14ac:dyDescent="0.4">
      <c r="A432" s="35" t="s">
        <v>2645</v>
      </c>
      <c r="B432" s="35" t="s">
        <v>2691</v>
      </c>
      <c r="C432" s="35" t="s">
        <v>340</v>
      </c>
      <c r="D432" s="35" t="s">
        <v>2692</v>
      </c>
      <c r="E432" s="35" t="s">
        <v>2693</v>
      </c>
      <c r="F432" s="35" t="s">
        <v>300</v>
      </c>
      <c r="H432" s="35" t="s">
        <v>215</v>
      </c>
      <c r="I432" s="35" t="s">
        <v>215</v>
      </c>
      <c r="J432" s="35" t="s">
        <v>215</v>
      </c>
      <c r="K432" s="35" t="s">
        <v>215</v>
      </c>
    </row>
    <row r="433" spans="1:14" s="35" customFormat="1" ht="25.05" customHeight="1" x14ac:dyDescent="0.4">
      <c r="A433" s="35" t="s">
        <v>2645</v>
      </c>
      <c r="B433" s="35" t="s">
        <v>2694</v>
      </c>
      <c r="C433" s="35" t="s">
        <v>340</v>
      </c>
      <c r="D433" s="35" t="s">
        <v>2695</v>
      </c>
      <c r="E433" s="35" t="s">
        <v>2696</v>
      </c>
      <c r="F433" s="35" t="s">
        <v>300</v>
      </c>
      <c r="H433" s="35" t="s">
        <v>215</v>
      </c>
      <c r="I433" s="35" t="s">
        <v>215</v>
      </c>
      <c r="J433" s="35" t="s">
        <v>215</v>
      </c>
      <c r="K433" s="35" t="s">
        <v>215</v>
      </c>
    </row>
    <row r="434" spans="1:14" s="35" customFormat="1" ht="25.05" customHeight="1" x14ac:dyDescent="0.4">
      <c r="A434" s="35" t="s">
        <v>2645</v>
      </c>
      <c r="B434" s="35" t="s">
        <v>418</v>
      </c>
      <c r="C434" s="35" t="s">
        <v>2697</v>
      </c>
      <c r="D434" s="35" t="s">
        <v>2698</v>
      </c>
      <c r="E434" s="35" t="s">
        <v>2699</v>
      </c>
      <c r="F434" s="35" t="s">
        <v>300</v>
      </c>
      <c r="H434" s="35" t="s">
        <v>1975</v>
      </c>
      <c r="I434" s="35" t="s">
        <v>1976</v>
      </c>
      <c r="J434" s="35" t="s">
        <v>215</v>
      </c>
      <c r="K434" s="35" t="s">
        <v>215</v>
      </c>
      <c r="N434" s="35">
        <v>19.12</v>
      </c>
    </row>
    <row r="435" spans="1:14" s="35" customFormat="1" ht="25.05" customHeight="1" x14ac:dyDescent="0.4">
      <c r="A435" s="35" t="s">
        <v>2645</v>
      </c>
      <c r="B435" s="35" t="s">
        <v>418</v>
      </c>
      <c r="C435" s="35" t="s">
        <v>2700</v>
      </c>
      <c r="D435" s="35" t="s">
        <v>2701</v>
      </c>
      <c r="E435" s="35" t="s">
        <v>2702</v>
      </c>
      <c r="F435" s="35" t="s">
        <v>300</v>
      </c>
      <c r="H435" s="35" t="s">
        <v>1975</v>
      </c>
      <c r="I435" s="35" t="s">
        <v>1976</v>
      </c>
      <c r="J435" s="35" t="s">
        <v>215</v>
      </c>
      <c r="K435" s="35" t="s">
        <v>215</v>
      </c>
      <c r="N435" s="35">
        <v>15</v>
      </c>
    </row>
    <row r="436" spans="1:14" s="35" customFormat="1" ht="25.05" customHeight="1" x14ac:dyDescent="0.4">
      <c r="A436" s="35" t="s">
        <v>2645</v>
      </c>
      <c r="B436" s="35" t="s">
        <v>2703</v>
      </c>
      <c r="C436" s="35" t="s">
        <v>2704</v>
      </c>
      <c r="D436" s="35" t="s">
        <v>2705</v>
      </c>
      <c r="E436" s="35" t="s">
        <v>2706</v>
      </c>
      <c r="F436" s="35" t="s">
        <v>300</v>
      </c>
      <c r="H436" s="35" t="s">
        <v>2008</v>
      </c>
      <c r="I436" s="35" t="s">
        <v>1976</v>
      </c>
      <c r="J436" s="35" t="s">
        <v>215</v>
      </c>
      <c r="K436" s="35" t="s">
        <v>215</v>
      </c>
      <c r="N436" s="35">
        <v>17.149999999999999</v>
      </c>
    </row>
    <row r="437" spans="1:14" s="35" customFormat="1" ht="25.05" customHeight="1" x14ac:dyDescent="0.4">
      <c r="A437" s="35" t="s">
        <v>2645</v>
      </c>
      <c r="B437" s="35" t="s">
        <v>1449</v>
      </c>
      <c r="C437" s="35" t="s">
        <v>347</v>
      </c>
      <c r="D437" s="35" t="s">
        <v>2707</v>
      </c>
      <c r="E437" s="35" t="s">
        <v>2708</v>
      </c>
      <c r="F437" s="35" t="s">
        <v>300</v>
      </c>
      <c r="H437" s="35" t="s">
        <v>1980</v>
      </c>
      <c r="I437" s="35" t="s">
        <v>1981</v>
      </c>
      <c r="J437" s="35" t="s">
        <v>215</v>
      </c>
      <c r="K437" s="35" t="s">
        <v>215</v>
      </c>
      <c r="N437" s="35">
        <v>20.350000000000001</v>
      </c>
    </row>
    <row r="438" spans="1:14" s="35" customFormat="1" ht="25.05" customHeight="1" x14ac:dyDescent="0.4">
      <c r="A438" s="35" t="s">
        <v>2645</v>
      </c>
      <c r="B438" s="35" t="s">
        <v>2062</v>
      </c>
      <c r="C438" s="35" t="s">
        <v>2709</v>
      </c>
      <c r="D438" s="35" t="s">
        <v>2710</v>
      </c>
      <c r="E438" s="35" t="s">
        <v>2711</v>
      </c>
      <c r="F438" s="35" t="s">
        <v>300</v>
      </c>
      <c r="H438" s="35" t="s">
        <v>1975</v>
      </c>
      <c r="I438" s="35" t="s">
        <v>1976</v>
      </c>
      <c r="J438" s="35" t="s">
        <v>215</v>
      </c>
      <c r="K438" s="35" t="s">
        <v>215</v>
      </c>
      <c r="N438" s="35">
        <v>12.46</v>
      </c>
    </row>
    <row r="439" spans="1:14" s="35" customFormat="1" ht="25.05" customHeight="1" x14ac:dyDescent="0.4">
      <c r="A439" s="35" t="s">
        <v>2645</v>
      </c>
      <c r="B439" s="35" t="s">
        <v>2062</v>
      </c>
      <c r="C439" s="35" t="s">
        <v>2712</v>
      </c>
      <c r="D439" s="35" t="s">
        <v>2713</v>
      </c>
      <c r="E439" s="35" t="s">
        <v>2714</v>
      </c>
      <c r="F439" s="35" t="s">
        <v>300</v>
      </c>
      <c r="J439" s="35" t="s">
        <v>215</v>
      </c>
      <c r="K439" s="35" t="s">
        <v>215</v>
      </c>
      <c r="N439" s="35">
        <v>7.05</v>
      </c>
    </row>
    <row r="440" spans="1:14" s="35" customFormat="1" ht="25.05" customHeight="1" x14ac:dyDescent="0.4">
      <c r="A440" s="35" t="s">
        <v>2645</v>
      </c>
      <c r="B440" s="35" t="s">
        <v>373</v>
      </c>
      <c r="C440" s="35" t="s">
        <v>2624</v>
      </c>
      <c r="D440" s="35" t="s">
        <v>2715</v>
      </c>
      <c r="E440" s="35" t="s">
        <v>2638</v>
      </c>
      <c r="F440" s="35" t="s">
        <v>2716</v>
      </c>
      <c r="H440" s="35" t="s">
        <v>1975</v>
      </c>
      <c r="I440" s="35" t="s">
        <v>1976</v>
      </c>
      <c r="J440" s="35" t="s">
        <v>215</v>
      </c>
      <c r="K440" s="35" t="s">
        <v>215</v>
      </c>
      <c r="N440" s="35">
        <v>0.25</v>
      </c>
    </row>
    <row r="441" spans="1:14" s="35" customFormat="1" ht="25.05" customHeight="1" x14ac:dyDescent="0.4">
      <c r="A441" s="35" t="s">
        <v>2645</v>
      </c>
      <c r="B441" s="35" t="s">
        <v>373</v>
      </c>
      <c r="C441" s="35" t="s">
        <v>2717</v>
      </c>
      <c r="D441" s="35" t="s">
        <v>2718</v>
      </c>
      <c r="E441" s="35" t="s">
        <v>2638</v>
      </c>
      <c r="F441" s="35" t="s">
        <v>300</v>
      </c>
      <c r="H441" s="35" t="s">
        <v>1975</v>
      </c>
      <c r="I441" s="35" t="s">
        <v>1976</v>
      </c>
      <c r="J441" s="35" t="s">
        <v>215</v>
      </c>
      <c r="K441" s="35" t="s">
        <v>215</v>
      </c>
      <c r="N441" s="35">
        <v>45.18</v>
      </c>
    </row>
    <row r="442" spans="1:14" s="35" customFormat="1" ht="25.05" customHeight="1" x14ac:dyDescent="0.4">
      <c r="A442" s="35" t="s">
        <v>2645</v>
      </c>
      <c r="B442" s="35" t="s">
        <v>373</v>
      </c>
      <c r="C442" s="35" t="s">
        <v>2719</v>
      </c>
      <c r="D442" s="35" t="s">
        <v>2720</v>
      </c>
      <c r="E442" s="35" t="s">
        <v>2638</v>
      </c>
      <c r="F442" s="35" t="s">
        <v>300</v>
      </c>
      <c r="H442" s="35" t="s">
        <v>1975</v>
      </c>
      <c r="I442" s="35" t="s">
        <v>1976</v>
      </c>
      <c r="J442" s="35" t="s">
        <v>215</v>
      </c>
      <c r="K442" s="35" t="s">
        <v>215</v>
      </c>
      <c r="N442" s="35">
        <v>0.16</v>
      </c>
    </row>
    <row r="443" spans="1:14" s="35" customFormat="1" ht="25.05" customHeight="1" x14ac:dyDescent="0.4">
      <c r="A443" s="35" t="s">
        <v>2645</v>
      </c>
      <c r="B443" s="35" t="s">
        <v>373</v>
      </c>
      <c r="C443" s="35" t="s">
        <v>2721</v>
      </c>
      <c r="D443" s="35" t="s">
        <v>2722</v>
      </c>
      <c r="E443" s="35" t="s">
        <v>2638</v>
      </c>
      <c r="F443" s="35" t="s">
        <v>300</v>
      </c>
      <c r="H443" s="35" t="s">
        <v>1975</v>
      </c>
      <c r="I443" s="35" t="s">
        <v>1976</v>
      </c>
      <c r="J443" s="35" t="s">
        <v>215</v>
      </c>
      <c r="K443" s="35" t="s">
        <v>215</v>
      </c>
      <c r="N443" s="35">
        <v>0.21</v>
      </c>
    </row>
    <row r="444" spans="1:14" s="35" customFormat="1" ht="25.05" customHeight="1" x14ac:dyDescent="0.4">
      <c r="A444" s="35" t="s">
        <v>2645</v>
      </c>
      <c r="B444" s="35" t="s">
        <v>373</v>
      </c>
      <c r="C444" s="35" t="s">
        <v>2723</v>
      </c>
      <c r="D444" s="35" t="s">
        <v>2724</v>
      </c>
      <c r="E444" s="35" t="s">
        <v>2638</v>
      </c>
      <c r="F444" s="35" t="s">
        <v>300</v>
      </c>
      <c r="H444" s="35" t="s">
        <v>1975</v>
      </c>
      <c r="I444" s="35" t="s">
        <v>1976</v>
      </c>
      <c r="J444" s="35" t="s">
        <v>215</v>
      </c>
      <c r="K444" s="35" t="s">
        <v>215</v>
      </c>
      <c r="N444" s="35">
        <v>0.21</v>
      </c>
    </row>
    <row r="445" spans="1:14" s="35" customFormat="1" ht="25.05" customHeight="1" x14ac:dyDescent="0.4">
      <c r="A445" s="35" t="s">
        <v>2645</v>
      </c>
      <c r="B445" s="35" t="s">
        <v>373</v>
      </c>
      <c r="C445" s="35" t="s">
        <v>2068</v>
      </c>
      <c r="D445" s="35" t="s">
        <v>2725</v>
      </c>
      <c r="E445" s="35" t="s">
        <v>2638</v>
      </c>
      <c r="F445" s="35" t="s">
        <v>300</v>
      </c>
      <c r="H445" s="35" t="s">
        <v>1975</v>
      </c>
      <c r="I445" s="35" t="s">
        <v>1976</v>
      </c>
      <c r="J445" s="35" t="s">
        <v>215</v>
      </c>
      <c r="K445" s="35" t="s">
        <v>215</v>
      </c>
      <c r="N445" s="35">
        <v>0.19</v>
      </c>
    </row>
    <row r="446" spans="1:14" s="35" customFormat="1" ht="25.05" customHeight="1" x14ac:dyDescent="0.4">
      <c r="A446" s="35" t="s">
        <v>2645</v>
      </c>
      <c r="B446" s="35" t="s">
        <v>373</v>
      </c>
      <c r="C446" s="35" t="s">
        <v>2726</v>
      </c>
      <c r="D446" s="35" t="s">
        <v>2727</v>
      </c>
      <c r="E446" s="35" t="s">
        <v>2728</v>
      </c>
      <c r="F446" s="35" t="s">
        <v>300</v>
      </c>
      <c r="H446" s="35" t="s">
        <v>1975</v>
      </c>
      <c r="I446" s="35" t="s">
        <v>1976</v>
      </c>
      <c r="J446" s="35" t="s">
        <v>215</v>
      </c>
      <c r="K446" s="35" t="s">
        <v>215</v>
      </c>
      <c r="N446" s="35">
        <v>8.25</v>
      </c>
    </row>
    <row r="447" spans="1:14" s="35" customFormat="1" ht="25.05" customHeight="1" x14ac:dyDescent="0.4">
      <c r="A447" s="35" t="s">
        <v>2645</v>
      </c>
      <c r="B447" s="35" t="s">
        <v>369</v>
      </c>
      <c r="C447" s="35" t="s">
        <v>2726</v>
      </c>
      <c r="D447" s="35" t="s">
        <v>2729</v>
      </c>
      <c r="E447" s="35" t="s">
        <v>2728</v>
      </c>
      <c r="F447" s="35" t="s">
        <v>300</v>
      </c>
      <c r="J447" s="35" t="s">
        <v>215</v>
      </c>
      <c r="K447" s="35" t="s">
        <v>215</v>
      </c>
      <c r="N447" s="35">
        <v>0.22</v>
      </c>
    </row>
    <row r="448" spans="1:14" s="35" customFormat="1" ht="25.05" customHeight="1" x14ac:dyDescent="0.4">
      <c r="A448" s="35" t="s">
        <v>2645</v>
      </c>
      <c r="B448" s="35" t="s">
        <v>544</v>
      </c>
      <c r="C448" s="35" t="s">
        <v>360</v>
      </c>
      <c r="D448" s="35" t="s">
        <v>2730</v>
      </c>
      <c r="E448" s="35" t="s">
        <v>2731</v>
      </c>
      <c r="F448" s="35" t="s">
        <v>300</v>
      </c>
      <c r="H448" s="35" t="s">
        <v>1980</v>
      </c>
      <c r="I448" s="35" t="s">
        <v>1976</v>
      </c>
      <c r="J448" s="35" t="s">
        <v>215</v>
      </c>
      <c r="K448" s="35" t="s">
        <v>215</v>
      </c>
      <c r="N448" s="35">
        <v>10.06</v>
      </c>
    </row>
    <row r="449" spans="1:14" s="35" customFormat="1" ht="25.05" customHeight="1" x14ac:dyDescent="0.4">
      <c r="A449" s="35" t="s">
        <v>2645</v>
      </c>
      <c r="B449" s="35" t="s">
        <v>1384</v>
      </c>
      <c r="C449" s="35" t="s">
        <v>340</v>
      </c>
      <c r="D449" s="35" t="s">
        <v>2732</v>
      </c>
      <c r="E449" s="35" t="s">
        <v>2733</v>
      </c>
      <c r="F449" s="35" t="s">
        <v>323</v>
      </c>
      <c r="H449" s="35" t="s">
        <v>215</v>
      </c>
      <c r="I449" s="35" t="s">
        <v>215</v>
      </c>
      <c r="J449" s="35" t="s">
        <v>215</v>
      </c>
      <c r="K449" s="35" t="s">
        <v>215</v>
      </c>
    </row>
    <row r="450" spans="1:14" s="35" customFormat="1" ht="25.05" customHeight="1" x14ac:dyDescent="0.4">
      <c r="A450" s="35" t="s">
        <v>2645</v>
      </c>
      <c r="B450" s="35" t="s">
        <v>1388</v>
      </c>
      <c r="C450" s="35" t="s">
        <v>360</v>
      </c>
      <c r="D450" s="35" t="s">
        <v>2734</v>
      </c>
      <c r="E450" s="35" t="s">
        <v>2735</v>
      </c>
      <c r="F450" s="35" t="s">
        <v>303</v>
      </c>
      <c r="H450" s="35" t="s">
        <v>1984</v>
      </c>
      <c r="I450" s="35" t="s">
        <v>1976</v>
      </c>
      <c r="J450" s="35" t="s">
        <v>215</v>
      </c>
      <c r="K450" s="35" t="s">
        <v>215</v>
      </c>
      <c r="N450" s="35">
        <v>4.1100000000000003</v>
      </c>
    </row>
    <row r="451" spans="1:14" s="35" customFormat="1" ht="25.05" customHeight="1" x14ac:dyDescent="0.4">
      <c r="A451" s="35" t="s">
        <v>2736</v>
      </c>
      <c r="B451" s="35" t="s">
        <v>2737</v>
      </c>
      <c r="C451" s="35" t="s">
        <v>340</v>
      </c>
      <c r="D451" s="35" t="s">
        <v>2738</v>
      </c>
      <c r="E451" s="35" t="s">
        <v>2739</v>
      </c>
      <c r="F451" s="35" t="s">
        <v>300</v>
      </c>
      <c r="H451" s="35" t="s">
        <v>2415</v>
      </c>
      <c r="I451" s="35" t="s">
        <v>1981</v>
      </c>
      <c r="J451" s="35" t="s">
        <v>215</v>
      </c>
      <c r="K451" s="35" t="s">
        <v>215</v>
      </c>
      <c r="N451" s="35">
        <v>0.35</v>
      </c>
    </row>
    <row r="452" spans="1:14" s="35" customFormat="1" ht="25.05" customHeight="1" x14ac:dyDescent="0.4">
      <c r="A452" s="35" t="s">
        <v>2736</v>
      </c>
      <c r="B452" s="35" t="s">
        <v>2737</v>
      </c>
      <c r="C452" s="35" t="s">
        <v>346</v>
      </c>
      <c r="D452" s="35" t="s">
        <v>2740</v>
      </c>
      <c r="E452" s="35" t="s">
        <v>2741</v>
      </c>
      <c r="F452" s="35" t="s">
        <v>300</v>
      </c>
      <c r="H452" s="35" t="s">
        <v>2415</v>
      </c>
      <c r="I452" s="35" t="s">
        <v>1981</v>
      </c>
      <c r="J452" s="35" t="s">
        <v>215</v>
      </c>
      <c r="K452" s="35" t="s">
        <v>215</v>
      </c>
      <c r="N452" s="35">
        <v>10.73</v>
      </c>
    </row>
    <row r="453" spans="1:14" s="35" customFormat="1" ht="25.05" customHeight="1" x14ac:dyDescent="0.4">
      <c r="A453" s="35" t="s">
        <v>2736</v>
      </c>
      <c r="B453" s="35" t="s">
        <v>2742</v>
      </c>
      <c r="C453" s="35" t="s">
        <v>340</v>
      </c>
      <c r="D453" s="35" t="s">
        <v>2743</v>
      </c>
      <c r="E453" s="35" t="s">
        <v>2744</v>
      </c>
      <c r="F453" s="35" t="s">
        <v>297</v>
      </c>
      <c r="H453" s="35" t="s">
        <v>1980</v>
      </c>
      <c r="I453" s="35" t="s">
        <v>1976</v>
      </c>
      <c r="J453" s="35" t="s">
        <v>215</v>
      </c>
      <c r="K453" s="35" t="s">
        <v>215</v>
      </c>
      <c r="N453" s="35">
        <v>14.48</v>
      </c>
    </row>
    <row r="454" spans="1:14" s="35" customFormat="1" ht="25.05" customHeight="1" x14ac:dyDescent="0.4">
      <c r="A454" s="35" t="s">
        <v>2736</v>
      </c>
      <c r="B454" s="35" t="s">
        <v>2745</v>
      </c>
      <c r="C454" s="35" t="s">
        <v>340</v>
      </c>
      <c r="D454" s="35" t="s">
        <v>2746</v>
      </c>
      <c r="E454" s="35" t="s">
        <v>2747</v>
      </c>
      <c r="F454" s="35" t="s">
        <v>300</v>
      </c>
      <c r="H454" s="35" t="s">
        <v>2008</v>
      </c>
      <c r="I454" s="35" t="s">
        <v>1976</v>
      </c>
      <c r="J454" s="35" t="s">
        <v>215</v>
      </c>
      <c r="K454" s="35" t="s">
        <v>215</v>
      </c>
      <c r="N454" s="35">
        <v>9.7100000000000009</v>
      </c>
    </row>
    <row r="455" spans="1:14" s="35" customFormat="1" ht="25.05" customHeight="1" x14ac:dyDescent="0.4">
      <c r="A455" s="35" t="s">
        <v>2736</v>
      </c>
      <c r="B455" s="35" t="s">
        <v>2748</v>
      </c>
      <c r="C455" s="35" t="s">
        <v>340</v>
      </c>
      <c r="D455" s="35" t="s">
        <v>2749</v>
      </c>
      <c r="E455" s="35" t="s">
        <v>2750</v>
      </c>
      <c r="F455" s="35" t="s">
        <v>300</v>
      </c>
      <c r="H455" s="35" t="s">
        <v>2008</v>
      </c>
      <c r="I455" s="35" t="s">
        <v>1976</v>
      </c>
      <c r="J455" s="35" t="s">
        <v>215</v>
      </c>
      <c r="K455" s="35" t="s">
        <v>215</v>
      </c>
      <c r="N455" s="35">
        <v>19.829999999999998</v>
      </c>
    </row>
    <row r="456" spans="1:14" s="35" customFormat="1" ht="25.05" customHeight="1" x14ac:dyDescent="0.4">
      <c r="A456" s="35" t="s">
        <v>2736</v>
      </c>
      <c r="B456" s="35" t="s">
        <v>2751</v>
      </c>
      <c r="C456" s="35" t="s">
        <v>340</v>
      </c>
      <c r="D456" s="35" t="s">
        <v>2752</v>
      </c>
      <c r="E456" s="35" t="s">
        <v>2753</v>
      </c>
      <c r="F456" s="35" t="s">
        <v>303</v>
      </c>
      <c r="H456" s="35" t="s">
        <v>2008</v>
      </c>
      <c r="I456" s="35" t="s">
        <v>1976</v>
      </c>
      <c r="J456" s="35" t="s">
        <v>215</v>
      </c>
      <c r="K456" s="35" t="s">
        <v>215</v>
      </c>
      <c r="N456" s="35">
        <v>2.38</v>
      </c>
    </row>
    <row r="457" spans="1:14" s="35" customFormat="1" ht="25.05" customHeight="1" x14ac:dyDescent="0.4">
      <c r="A457" s="35" t="s">
        <v>2736</v>
      </c>
      <c r="B457" s="35" t="s">
        <v>2754</v>
      </c>
      <c r="C457" s="35" t="s">
        <v>340</v>
      </c>
      <c r="D457" s="35" t="s">
        <v>2755</v>
      </c>
      <c r="E457" s="35" t="s">
        <v>2756</v>
      </c>
      <c r="F457" s="35" t="s">
        <v>300</v>
      </c>
      <c r="H457" s="35" t="s">
        <v>2008</v>
      </c>
      <c r="I457" s="35" t="s">
        <v>1976</v>
      </c>
      <c r="J457" s="35" t="s">
        <v>215</v>
      </c>
      <c r="K457" s="35" t="s">
        <v>215</v>
      </c>
      <c r="N457" s="35">
        <v>16.77</v>
      </c>
    </row>
    <row r="458" spans="1:14" s="35" customFormat="1" ht="25.05" customHeight="1" x14ac:dyDescent="0.4">
      <c r="A458" s="35" t="s">
        <v>2736</v>
      </c>
      <c r="B458" s="35" t="s">
        <v>2757</v>
      </c>
      <c r="C458" s="35" t="s">
        <v>340</v>
      </c>
      <c r="D458" s="35" t="s">
        <v>867</v>
      </c>
      <c r="E458" s="35" t="s">
        <v>2758</v>
      </c>
      <c r="F458" s="35" t="s">
        <v>323</v>
      </c>
      <c r="H458" s="35" t="s">
        <v>2008</v>
      </c>
      <c r="I458" s="35" t="s">
        <v>1976</v>
      </c>
      <c r="J458" s="35" t="s">
        <v>215</v>
      </c>
      <c r="K458" s="35" t="s">
        <v>215</v>
      </c>
      <c r="N458" s="35">
        <v>8.48</v>
      </c>
    </row>
    <row r="459" spans="1:14" s="35" customFormat="1" ht="25.05" customHeight="1" x14ac:dyDescent="0.4">
      <c r="A459" s="35" t="s">
        <v>2736</v>
      </c>
      <c r="B459" s="35" t="s">
        <v>2759</v>
      </c>
      <c r="C459" s="35" t="s">
        <v>340</v>
      </c>
      <c r="D459" s="35" t="s">
        <v>2760</v>
      </c>
      <c r="E459" s="35" t="s">
        <v>2761</v>
      </c>
      <c r="F459" s="35" t="s">
        <v>303</v>
      </c>
      <c r="H459" s="35" t="s">
        <v>1984</v>
      </c>
      <c r="I459" s="35" t="s">
        <v>1976</v>
      </c>
      <c r="J459" s="35" t="s">
        <v>215</v>
      </c>
      <c r="K459" s="35" t="s">
        <v>215</v>
      </c>
      <c r="N459" s="35">
        <v>11.53</v>
      </c>
    </row>
    <row r="460" spans="1:14" s="35" customFormat="1" ht="25.05" customHeight="1" x14ac:dyDescent="0.4">
      <c r="A460" s="35" t="s">
        <v>2736</v>
      </c>
      <c r="B460" s="35" t="s">
        <v>2762</v>
      </c>
      <c r="C460" s="35" t="s">
        <v>340</v>
      </c>
      <c r="D460" s="35" t="s">
        <v>2763</v>
      </c>
      <c r="E460" s="35" t="s">
        <v>2764</v>
      </c>
      <c r="F460" s="35" t="s">
        <v>323</v>
      </c>
      <c r="H460" s="35" t="s">
        <v>1975</v>
      </c>
      <c r="I460" s="35" t="s">
        <v>1994</v>
      </c>
      <c r="J460" s="35" t="s">
        <v>215</v>
      </c>
      <c r="K460" s="35" t="s">
        <v>215</v>
      </c>
      <c r="N460" s="35">
        <v>11.48</v>
      </c>
    </row>
    <row r="461" spans="1:14" s="35" customFormat="1" ht="25.05" customHeight="1" x14ac:dyDescent="0.4">
      <c r="A461" s="35" t="s">
        <v>2736</v>
      </c>
      <c r="B461" s="35" t="s">
        <v>2765</v>
      </c>
      <c r="C461" s="35" t="s">
        <v>340</v>
      </c>
      <c r="D461" s="35" t="s">
        <v>2766</v>
      </c>
      <c r="E461" s="35" t="s">
        <v>2767</v>
      </c>
      <c r="F461" s="35" t="s">
        <v>300</v>
      </c>
      <c r="H461" s="35" t="s">
        <v>2008</v>
      </c>
      <c r="I461" s="35" t="s">
        <v>1976</v>
      </c>
      <c r="J461" s="35" t="s">
        <v>215</v>
      </c>
      <c r="K461" s="35" t="s">
        <v>215</v>
      </c>
      <c r="N461" s="35">
        <v>9.44</v>
      </c>
    </row>
    <row r="462" spans="1:14" s="35" customFormat="1" ht="25.05" customHeight="1" x14ac:dyDescent="0.4">
      <c r="A462" s="35" t="s">
        <v>2736</v>
      </c>
      <c r="B462" s="35" t="s">
        <v>2768</v>
      </c>
      <c r="C462" s="35" t="s">
        <v>340</v>
      </c>
      <c r="D462" s="35" t="s">
        <v>2769</v>
      </c>
      <c r="E462" s="35" t="s">
        <v>2770</v>
      </c>
      <c r="F462" s="35" t="s">
        <v>298</v>
      </c>
      <c r="H462" s="35" t="s">
        <v>2008</v>
      </c>
      <c r="I462" s="35" t="s">
        <v>1981</v>
      </c>
      <c r="J462" s="35" t="s">
        <v>215</v>
      </c>
      <c r="K462" s="35" t="s">
        <v>215</v>
      </c>
      <c r="N462" s="35">
        <v>11.07</v>
      </c>
    </row>
    <row r="463" spans="1:14" s="35" customFormat="1" ht="25.05" customHeight="1" x14ac:dyDescent="0.4">
      <c r="A463" s="35" t="s">
        <v>2736</v>
      </c>
      <c r="B463" s="35" t="s">
        <v>2771</v>
      </c>
      <c r="C463" s="35" t="s">
        <v>340</v>
      </c>
      <c r="D463" s="35" t="s">
        <v>2772</v>
      </c>
      <c r="E463" s="35" t="s">
        <v>2773</v>
      </c>
      <c r="F463" s="35" t="s">
        <v>299</v>
      </c>
      <c r="H463" s="35" t="s">
        <v>1980</v>
      </c>
      <c r="I463" s="35" t="s">
        <v>1976</v>
      </c>
      <c r="J463" s="35" t="s">
        <v>215</v>
      </c>
      <c r="K463" s="35" t="s">
        <v>215</v>
      </c>
      <c r="N463" s="35">
        <v>14.35</v>
      </c>
    </row>
    <row r="464" spans="1:14" s="35" customFormat="1" ht="25.05" customHeight="1" x14ac:dyDescent="0.4">
      <c r="A464" s="35" t="s">
        <v>2736</v>
      </c>
      <c r="B464" s="35" t="s">
        <v>2774</v>
      </c>
      <c r="C464" s="35" t="s">
        <v>340</v>
      </c>
      <c r="D464" s="35" t="s">
        <v>2775</v>
      </c>
      <c r="E464" s="35" t="s">
        <v>2776</v>
      </c>
      <c r="F464" s="35" t="s">
        <v>298</v>
      </c>
      <c r="H464" s="35" t="s">
        <v>2008</v>
      </c>
      <c r="I464" s="35" t="s">
        <v>1981</v>
      </c>
      <c r="J464" s="35" t="s">
        <v>215</v>
      </c>
      <c r="K464" s="35" t="s">
        <v>215</v>
      </c>
      <c r="N464" s="35">
        <v>8.57</v>
      </c>
    </row>
    <row r="465" spans="1:14" s="35" customFormat="1" ht="25.05" customHeight="1" x14ac:dyDescent="0.4">
      <c r="A465" s="35" t="s">
        <v>2736</v>
      </c>
      <c r="B465" s="35" t="s">
        <v>2777</v>
      </c>
      <c r="C465" s="35" t="s">
        <v>340</v>
      </c>
      <c r="D465" s="35" t="s">
        <v>2778</v>
      </c>
      <c r="E465" s="35" t="s">
        <v>2779</v>
      </c>
      <c r="F465" s="35" t="s">
        <v>300</v>
      </c>
      <c r="H465" s="35" t="s">
        <v>2008</v>
      </c>
      <c r="I465" s="35" t="s">
        <v>1976</v>
      </c>
      <c r="J465" s="35" t="s">
        <v>215</v>
      </c>
      <c r="K465" s="35" t="s">
        <v>215</v>
      </c>
      <c r="N465" s="35">
        <v>10.52</v>
      </c>
    </row>
    <row r="466" spans="1:14" s="35" customFormat="1" ht="25.05" customHeight="1" x14ac:dyDescent="0.4">
      <c r="A466" s="35" t="s">
        <v>2736</v>
      </c>
      <c r="B466" s="35" t="s">
        <v>2780</v>
      </c>
      <c r="C466" s="35" t="s">
        <v>340</v>
      </c>
      <c r="D466" s="35" t="s">
        <v>2781</v>
      </c>
      <c r="E466" s="35" t="s">
        <v>2782</v>
      </c>
      <c r="F466" s="35" t="s">
        <v>298</v>
      </c>
      <c r="H466" s="35" t="s">
        <v>2008</v>
      </c>
      <c r="I466" s="35" t="s">
        <v>1976</v>
      </c>
      <c r="J466" s="35" t="s">
        <v>215</v>
      </c>
      <c r="K466" s="35" t="s">
        <v>215</v>
      </c>
      <c r="N466" s="35">
        <v>8.85</v>
      </c>
    </row>
    <row r="467" spans="1:14" s="35" customFormat="1" ht="25.05" customHeight="1" x14ac:dyDescent="0.4">
      <c r="A467" s="35" t="s">
        <v>2736</v>
      </c>
      <c r="B467" s="35" t="s">
        <v>2783</v>
      </c>
      <c r="C467" s="35" t="s">
        <v>340</v>
      </c>
      <c r="D467" s="35" t="s">
        <v>2784</v>
      </c>
      <c r="E467" s="35" t="s">
        <v>2785</v>
      </c>
      <c r="F467" s="35" t="s">
        <v>323</v>
      </c>
      <c r="H467" s="35" t="s">
        <v>2008</v>
      </c>
      <c r="I467" s="35" t="s">
        <v>1976</v>
      </c>
      <c r="J467" s="35" t="s">
        <v>215</v>
      </c>
      <c r="K467" s="35" t="s">
        <v>215</v>
      </c>
      <c r="N467" s="35">
        <v>1.72</v>
      </c>
    </row>
    <row r="468" spans="1:14" s="35" customFormat="1" ht="25.05" customHeight="1" x14ac:dyDescent="0.4">
      <c r="A468" s="35" t="s">
        <v>2736</v>
      </c>
      <c r="B468" s="35" t="s">
        <v>2786</v>
      </c>
      <c r="C468" s="35" t="s">
        <v>340</v>
      </c>
      <c r="D468" s="35" t="s">
        <v>2787</v>
      </c>
      <c r="E468" s="35" t="s">
        <v>2788</v>
      </c>
      <c r="F468" s="35" t="s">
        <v>300</v>
      </c>
      <c r="G468" s="35" t="s">
        <v>2789</v>
      </c>
      <c r="J468" s="35" t="s">
        <v>215</v>
      </c>
      <c r="K468" s="35" t="s">
        <v>215</v>
      </c>
    </row>
    <row r="469" spans="1:14" s="35" customFormat="1" ht="25.05" customHeight="1" x14ac:dyDescent="0.4">
      <c r="A469" s="35" t="s">
        <v>2736</v>
      </c>
      <c r="B469" s="35" t="s">
        <v>2790</v>
      </c>
      <c r="C469" s="35" t="s">
        <v>346</v>
      </c>
      <c r="D469" s="35" t="s">
        <v>2791</v>
      </c>
      <c r="E469" s="35" t="s">
        <v>2792</v>
      </c>
      <c r="F469" s="35" t="s">
        <v>300</v>
      </c>
      <c r="H469" s="35" t="s">
        <v>2008</v>
      </c>
      <c r="I469" s="35" t="s">
        <v>1981</v>
      </c>
      <c r="J469" s="35" t="s">
        <v>215</v>
      </c>
      <c r="K469" s="35" t="s">
        <v>215</v>
      </c>
      <c r="N469" s="35">
        <v>13.44</v>
      </c>
    </row>
    <row r="470" spans="1:14" s="35" customFormat="1" ht="25.05" customHeight="1" x14ac:dyDescent="0.4">
      <c r="A470" s="35" t="s">
        <v>2736</v>
      </c>
      <c r="B470" s="35" t="s">
        <v>537</v>
      </c>
      <c r="C470" s="35" t="s">
        <v>340</v>
      </c>
      <c r="D470" s="35" t="s">
        <v>2793</v>
      </c>
      <c r="E470" s="35" t="s">
        <v>2794</v>
      </c>
      <c r="F470" s="35" t="s">
        <v>323</v>
      </c>
      <c r="H470" s="35" t="s">
        <v>1980</v>
      </c>
      <c r="I470" s="35" t="s">
        <v>1976</v>
      </c>
      <c r="J470" s="35" t="s">
        <v>215</v>
      </c>
      <c r="K470" s="35" t="s">
        <v>215</v>
      </c>
      <c r="N470" s="35">
        <v>11.55</v>
      </c>
    </row>
    <row r="471" spans="1:14" s="35" customFormat="1" ht="25.05" customHeight="1" x14ac:dyDescent="0.4">
      <c r="A471" s="35" t="s">
        <v>2736</v>
      </c>
      <c r="B471" s="35" t="s">
        <v>2795</v>
      </c>
      <c r="C471" s="35" t="s">
        <v>340</v>
      </c>
      <c r="D471" s="35" t="s">
        <v>2796</v>
      </c>
      <c r="E471" s="35" t="s">
        <v>2797</v>
      </c>
      <c r="F471" s="35" t="s">
        <v>300</v>
      </c>
      <c r="H471" s="35" t="s">
        <v>1980</v>
      </c>
      <c r="I471" s="35" t="s">
        <v>1981</v>
      </c>
      <c r="J471" s="35" t="s">
        <v>215</v>
      </c>
      <c r="K471" s="35" t="s">
        <v>215</v>
      </c>
      <c r="N471" s="35">
        <v>5.16</v>
      </c>
    </row>
    <row r="472" spans="1:14" s="35" customFormat="1" ht="25.05" customHeight="1" x14ac:dyDescent="0.4">
      <c r="A472" s="35" t="s">
        <v>2736</v>
      </c>
      <c r="B472" s="35" t="s">
        <v>2798</v>
      </c>
      <c r="C472" s="35" t="s">
        <v>340</v>
      </c>
      <c r="D472" s="35" t="s">
        <v>2799</v>
      </c>
      <c r="E472" s="35" t="s">
        <v>2800</v>
      </c>
      <c r="F472" s="35" t="s">
        <v>300</v>
      </c>
      <c r="H472" s="35" t="s">
        <v>2008</v>
      </c>
      <c r="I472" s="35" t="s">
        <v>1981</v>
      </c>
      <c r="J472" s="35" t="s">
        <v>215</v>
      </c>
      <c r="K472" s="35" t="s">
        <v>215</v>
      </c>
      <c r="N472" s="35">
        <v>16.02</v>
      </c>
    </row>
    <row r="473" spans="1:14" s="35" customFormat="1" ht="25.05" customHeight="1" x14ac:dyDescent="0.4">
      <c r="A473" s="35" t="s">
        <v>2736</v>
      </c>
      <c r="B473" s="35" t="s">
        <v>2801</v>
      </c>
      <c r="C473" s="35" t="s">
        <v>346</v>
      </c>
      <c r="D473" s="35" t="s">
        <v>2802</v>
      </c>
      <c r="E473" s="35" t="s">
        <v>2803</v>
      </c>
      <c r="F473" s="35" t="s">
        <v>300</v>
      </c>
      <c r="J473" s="35" t="s">
        <v>215</v>
      </c>
      <c r="K473" s="35" t="s">
        <v>215</v>
      </c>
      <c r="N473" s="35">
        <v>6.68</v>
      </c>
    </row>
    <row r="474" spans="1:14" s="35" customFormat="1" ht="25.05" customHeight="1" x14ac:dyDescent="0.4">
      <c r="A474" s="35" t="s">
        <v>2736</v>
      </c>
      <c r="B474" s="35" t="s">
        <v>2804</v>
      </c>
      <c r="C474" s="35" t="s">
        <v>340</v>
      </c>
      <c r="D474" s="35" t="s">
        <v>2805</v>
      </c>
      <c r="E474" s="35" t="s">
        <v>2806</v>
      </c>
      <c r="F474" s="35" t="s">
        <v>300</v>
      </c>
      <c r="H474" s="35" t="s">
        <v>1980</v>
      </c>
      <c r="I474" s="35" t="s">
        <v>1981</v>
      </c>
      <c r="J474" s="35" t="s">
        <v>215</v>
      </c>
      <c r="K474" s="35" t="s">
        <v>215</v>
      </c>
      <c r="N474" s="35">
        <v>5.82</v>
      </c>
    </row>
    <row r="475" spans="1:14" s="35" customFormat="1" ht="25.05" customHeight="1" x14ac:dyDescent="0.4">
      <c r="A475" s="35" t="s">
        <v>2736</v>
      </c>
      <c r="B475" s="35" t="s">
        <v>2807</v>
      </c>
      <c r="C475" s="35" t="s">
        <v>340</v>
      </c>
      <c r="D475" s="35" t="s">
        <v>2808</v>
      </c>
      <c r="E475" s="35" t="s">
        <v>2809</v>
      </c>
      <c r="F475" s="35" t="s">
        <v>323</v>
      </c>
      <c r="G475" s="35" t="s">
        <v>2810</v>
      </c>
      <c r="J475" s="35" t="s">
        <v>215</v>
      </c>
      <c r="K475" s="35" t="s">
        <v>215</v>
      </c>
    </row>
    <row r="476" spans="1:14" s="35" customFormat="1" ht="25.05" customHeight="1" x14ac:dyDescent="0.4">
      <c r="A476" s="35" t="s">
        <v>2736</v>
      </c>
      <c r="B476" s="35" t="s">
        <v>2811</v>
      </c>
      <c r="C476" s="35" t="s">
        <v>340</v>
      </c>
      <c r="D476" s="35" t="s">
        <v>2812</v>
      </c>
      <c r="E476" s="35" t="s">
        <v>2813</v>
      </c>
      <c r="F476" s="35" t="s">
        <v>300</v>
      </c>
      <c r="H476" s="35" t="s">
        <v>1980</v>
      </c>
      <c r="I476" s="35" t="s">
        <v>1976</v>
      </c>
      <c r="J476" s="35" t="s">
        <v>215</v>
      </c>
      <c r="K476" s="35" t="s">
        <v>215</v>
      </c>
      <c r="N476" s="35">
        <v>15.33</v>
      </c>
    </row>
    <row r="477" spans="1:14" s="35" customFormat="1" ht="25.05" customHeight="1" x14ac:dyDescent="0.4">
      <c r="A477" s="35" t="s">
        <v>2736</v>
      </c>
      <c r="B477" s="35" t="s">
        <v>2814</v>
      </c>
      <c r="C477" s="35" t="s">
        <v>340</v>
      </c>
      <c r="D477" s="35" t="s">
        <v>2815</v>
      </c>
      <c r="E477" s="35" t="s">
        <v>2816</v>
      </c>
      <c r="F477" s="35" t="s">
        <v>300</v>
      </c>
      <c r="H477" s="35" t="s">
        <v>2008</v>
      </c>
      <c r="I477" s="35" t="s">
        <v>1976</v>
      </c>
      <c r="J477" s="35" t="s">
        <v>215</v>
      </c>
      <c r="K477" s="35" t="s">
        <v>215</v>
      </c>
      <c r="N477" s="35">
        <v>6.7</v>
      </c>
    </row>
    <row r="478" spans="1:14" s="35" customFormat="1" ht="25.05" customHeight="1" x14ac:dyDescent="0.4">
      <c r="A478" s="35" t="s">
        <v>2736</v>
      </c>
      <c r="B478" s="35" t="s">
        <v>2817</v>
      </c>
      <c r="C478" s="35" t="s">
        <v>340</v>
      </c>
      <c r="D478" s="35" t="s">
        <v>2818</v>
      </c>
      <c r="E478" s="35" t="s">
        <v>2819</v>
      </c>
      <c r="F478" s="35" t="s">
        <v>323</v>
      </c>
      <c r="H478" s="35" t="s">
        <v>2205</v>
      </c>
      <c r="I478" s="35" t="s">
        <v>1976</v>
      </c>
      <c r="J478" s="35" t="s">
        <v>215</v>
      </c>
      <c r="K478" s="35" t="s">
        <v>215</v>
      </c>
      <c r="N478" s="35">
        <v>6.62</v>
      </c>
    </row>
    <row r="479" spans="1:14" s="35" customFormat="1" ht="25.05" customHeight="1" x14ac:dyDescent="0.4">
      <c r="A479" s="35" t="s">
        <v>2736</v>
      </c>
      <c r="B479" s="35" t="s">
        <v>2820</v>
      </c>
      <c r="C479" s="35" t="s">
        <v>340</v>
      </c>
      <c r="D479" s="35" t="s">
        <v>2821</v>
      </c>
      <c r="E479" s="35" t="s">
        <v>2822</v>
      </c>
      <c r="F479" s="35" t="s">
        <v>300</v>
      </c>
      <c r="H479" s="35" t="s">
        <v>215</v>
      </c>
      <c r="I479" s="35" t="s">
        <v>215</v>
      </c>
      <c r="J479" s="35" t="s">
        <v>215</v>
      </c>
      <c r="K479" s="35" t="s">
        <v>215</v>
      </c>
    </row>
    <row r="480" spans="1:14" s="35" customFormat="1" ht="25.05" customHeight="1" x14ac:dyDescent="0.4">
      <c r="A480" s="35" t="s">
        <v>2736</v>
      </c>
      <c r="B480" s="35" t="s">
        <v>418</v>
      </c>
      <c r="C480" s="35" t="s">
        <v>2823</v>
      </c>
      <c r="D480" s="35" t="s">
        <v>2824</v>
      </c>
      <c r="E480" s="35" t="s">
        <v>2825</v>
      </c>
      <c r="F480" s="35" t="s">
        <v>300</v>
      </c>
      <c r="H480" s="35" t="s">
        <v>2004</v>
      </c>
      <c r="I480" s="35" t="s">
        <v>1976</v>
      </c>
      <c r="J480" s="35" t="s">
        <v>215</v>
      </c>
      <c r="K480" s="35" t="s">
        <v>215</v>
      </c>
      <c r="N480" s="35">
        <v>1.1000000000000001</v>
      </c>
    </row>
    <row r="481" spans="1:14" s="35" customFormat="1" ht="25.05" customHeight="1" x14ac:dyDescent="0.4">
      <c r="A481" s="35" t="s">
        <v>2736</v>
      </c>
      <c r="B481" s="35" t="s">
        <v>418</v>
      </c>
      <c r="C481" s="35" t="s">
        <v>2826</v>
      </c>
      <c r="D481" s="35" t="s">
        <v>2827</v>
      </c>
      <c r="E481" s="35" t="s">
        <v>2828</v>
      </c>
      <c r="F481" s="35" t="s">
        <v>300</v>
      </c>
      <c r="H481" s="35" t="s">
        <v>215</v>
      </c>
      <c r="I481" s="35" t="s">
        <v>215</v>
      </c>
      <c r="J481" s="35" t="s">
        <v>215</v>
      </c>
      <c r="K481" s="35" t="s">
        <v>215</v>
      </c>
    </row>
    <row r="482" spans="1:14" s="35" customFormat="1" ht="25.05" customHeight="1" x14ac:dyDescent="0.4">
      <c r="A482" s="35" t="s">
        <v>2736</v>
      </c>
      <c r="B482" s="35" t="s">
        <v>418</v>
      </c>
      <c r="C482" s="35" t="s">
        <v>2829</v>
      </c>
      <c r="D482" s="35" t="s">
        <v>2830</v>
      </c>
      <c r="E482" s="35" t="s">
        <v>2831</v>
      </c>
      <c r="F482" s="35" t="s">
        <v>300</v>
      </c>
      <c r="H482" s="35" t="s">
        <v>215</v>
      </c>
      <c r="I482" s="35" t="s">
        <v>215</v>
      </c>
      <c r="J482" s="35" t="s">
        <v>215</v>
      </c>
      <c r="K482" s="35" t="s">
        <v>215</v>
      </c>
    </row>
    <row r="483" spans="1:14" s="35" customFormat="1" ht="25.05" customHeight="1" x14ac:dyDescent="0.4">
      <c r="A483" s="35" t="s">
        <v>2736</v>
      </c>
      <c r="B483" s="35" t="s">
        <v>418</v>
      </c>
      <c r="C483" s="35" t="s">
        <v>2832</v>
      </c>
      <c r="D483" s="35" t="s">
        <v>2833</v>
      </c>
      <c r="E483" s="35" t="s">
        <v>2834</v>
      </c>
      <c r="F483" s="35" t="s">
        <v>300</v>
      </c>
      <c r="H483" s="35" t="s">
        <v>215</v>
      </c>
      <c r="I483" s="35" t="s">
        <v>215</v>
      </c>
      <c r="J483" s="35" t="s">
        <v>215</v>
      </c>
      <c r="K483" s="35" t="s">
        <v>215</v>
      </c>
    </row>
    <row r="484" spans="1:14" s="35" customFormat="1" ht="25.05" customHeight="1" x14ac:dyDescent="0.4">
      <c r="A484" s="35" t="s">
        <v>2736</v>
      </c>
      <c r="B484" s="35" t="s">
        <v>2157</v>
      </c>
      <c r="C484" s="35" t="s">
        <v>342</v>
      </c>
      <c r="D484" s="35" t="s">
        <v>2835</v>
      </c>
      <c r="E484" s="35" t="s">
        <v>2836</v>
      </c>
      <c r="F484" s="35" t="s">
        <v>302</v>
      </c>
      <c r="H484" s="35" t="s">
        <v>1975</v>
      </c>
      <c r="I484" s="35" t="s">
        <v>1976</v>
      </c>
      <c r="J484" s="35" t="s">
        <v>215</v>
      </c>
      <c r="K484" s="35" t="s">
        <v>215</v>
      </c>
      <c r="N484" s="35">
        <v>102.95</v>
      </c>
    </row>
    <row r="485" spans="1:14" s="35" customFormat="1" ht="25.05" customHeight="1" x14ac:dyDescent="0.4">
      <c r="A485" s="35" t="s">
        <v>2736</v>
      </c>
      <c r="B485" s="35" t="s">
        <v>371</v>
      </c>
      <c r="C485" s="35" t="s">
        <v>2837</v>
      </c>
      <c r="D485" s="35" t="s">
        <v>2838</v>
      </c>
      <c r="E485" s="35" t="s">
        <v>2839</v>
      </c>
      <c r="F485" s="35" t="s">
        <v>300</v>
      </c>
      <c r="H485" s="35" t="s">
        <v>215</v>
      </c>
      <c r="I485" s="35" t="s">
        <v>215</v>
      </c>
      <c r="J485" s="35" t="s">
        <v>215</v>
      </c>
      <c r="K485" s="35" t="s">
        <v>215</v>
      </c>
    </row>
    <row r="486" spans="1:14" s="35" customFormat="1" ht="25.05" customHeight="1" x14ac:dyDescent="0.4">
      <c r="A486" s="35" t="s">
        <v>2736</v>
      </c>
      <c r="B486" s="35" t="s">
        <v>1514</v>
      </c>
      <c r="C486" s="35" t="s">
        <v>340</v>
      </c>
      <c r="D486" s="35" t="s">
        <v>2840</v>
      </c>
      <c r="E486" s="35" t="s">
        <v>2841</v>
      </c>
      <c r="F486" s="35" t="s">
        <v>303</v>
      </c>
      <c r="H486" s="35" t="s">
        <v>1984</v>
      </c>
      <c r="I486" s="35" t="s">
        <v>1976</v>
      </c>
      <c r="J486" s="35" t="s">
        <v>215</v>
      </c>
      <c r="K486" s="35" t="s">
        <v>215</v>
      </c>
      <c r="N486" s="35">
        <v>0.12</v>
      </c>
    </row>
    <row r="487" spans="1:14" s="35" customFormat="1" ht="25.05" customHeight="1" x14ac:dyDescent="0.4">
      <c r="A487" s="35" t="s">
        <v>2736</v>
      </c>
      <c r="B487" s="35" t="s">
        <v>1629</v>
      </c>
      <c r="C487" s="35" t="s">
        <v>358</v>
      </c>
      <c r="D487" s="35" t="s">
        <v>2842</v>
      </c>
      <c r="E487" s="35" t="s">
        <v>2843</v>
      </c>
      <c r="F487" s="35" t="s">
        <v>303</v>
      </c>
      <c r="H487" s="35" t="s">
        <v>1984</v>
      </c>
      <c r="I487" s="35" t="s">
        <v>1976</v>
      </c>
      <c r="J487" s="35" t="s">
        <v>215</v>
      </c>
      <c r="K487" s="35" t="s">
        <v>215</v>
      </c>
      <c r="N487" s="35">
        <v>4.92</v>
      </c>
    </row>
    <row r="488" spans="1:14" s="35" customFormat="1" ht="25.05" customHeight="1" x14ac:dyDescent="0.4">
      <c r="A488" s="35" t="s">
        <v>2736</v>
      </c>
      <c r="B488" s="35" t="s">
        <v>2844</v>
      </c>
      <c r="C488" s="35" t="s">
        <v>340</v>
      </c>
      <c r="D488" s="35" t="s">
        <v>2845</v>
      </c>
      <c r="E488" s="35" t="s">
        <v>2846</v>
      </c>
      <c r="F488" s="35" t="s">
        <v>300</v>
      </c>
      <c r="H488" s="35" t="s">
        <v>2008</v>
      </c>
      <c r="I488" s="35" t="s">
        <v>1976</v>
      </c>
      <c r="J488" s="35" t="s">
        <v>215</v>
      </c>
      <c r="K488" s="35" t="s">
        <v>215</v>
      </c>
      <c r="N488" s="35">
        <v>14.52</v>
      </c>
    </row>
    <row r="489" spans="1:14" s="35" customFormat="1" ht="25.05" customHeight="1" x14ac:dyDescent="0.4">
      <c r="A489" s="35" t="s">
        <v>2847</v>
      </c>
      <c r="B489" s="35" t="s">
        <v>2848</v>
      </c>
      <c r="C489" s="35" t="s">
        <v>340</v>
      </c>
      <c r="D489" s="35" t="s">
        <v>2849</v>
      </c>
      <c r="E489" s="35" t="s">
        <v>2850</v>
      </c>
      <c r="F489" s="35" t="s">
        <v>298</v>
      </c>
      <c r="H489" s="35" t="s">
        <v>2008</v>
      </c>
      <c r="I489" s="35" t="s">
        <v>1976</v>
      </c>
      <c r="J489" s="35" t="s">
        <v>215</v>
      </c>
      <c r="K489" s="35" t="s">
        <v>215</v>
      </c>
      <c r="N489" s="35">
        <v>3.53</v>
      </c>
    </row>
    <row r="490" spans="1:14" s="35" customFormat="1" ht="25.05" customHeight="1" x14ac:dyDescent="0.4">
      <c r="A490" s="35" t="s">
        <v>2847</v>
      </c>
      <c r="B490" s="35" t="s">
        <v>2737</v>
      </c>
      <c r="C490" s="35" t="s">
        <v>360</v>
      </c>
      <c r="D490" s="35" t="s">
        <v>2851</v>
      </c>
      <c r="E490" s="35" t="s">
        <v>2741</v>
      </c>
      <c r="F490" s="35" t="s">
        <v>300</v>
      </c>
      <c r="H490" s="35" t="s">
        <v>2415</v>
      </c>
      <c r="I490" s="35" t="s">
        <v>1976</v>
      </c>
      <c r="J490" s="35" t="s">
        <v>215</v>
      </c>
      <c r="K490" s="35" t="s">
        <v>215</v>
      </c>
      <c r="N490" s="35">
        <v>19.21</v>
      </c>
    </row>
    <row r="491" spans="1:14" s="35" customFormat="1" ht="25.05" customHeight="1" x14ac:dyDescent="0.4">
      <c r="A491" s="35" t="s">
        <v>2847</v>
      </c>
      <c r="B491" s="35" t="s">
        <v>2737</v>
      </c>
      <c r="C491" s="35" t="s">
        <v>347</v>
      </c>
      <c r="D491" s="35" t="s">
        <v>2852</v>
      </c>
      <c r="E491" s="35" t="s">
        <v>2741</v>
      </c>
      <c r="F491" s="35" t="s">
        <v>300</v>
      </c>
      <c r="H491" s="35" t="s">
        <v>2008</v>
      </c>
      <c r="I491" s="35" t="s">
        <v>1976</v>
      </c>
      <c r="J491" s="35" t="s">
        <v>215</v>
      </c>
      <c r="K491" s="35" t="s">
        <v>215</v>
      </c>
      <c r="N491" s="35">
        <v>12.33</v>
      </c>
    </row>
    <row r="492" spans="1:14" s="35" customFormat="1" ht="25.05" customHeight="1" x14ac:dyDescent="0.4">
      <c r="A492" s="35" t="s">
        <v>2847</v>
      </c>
      <c r="B492" s="35" t="s">
        <v>2853</v>
      </c>
      <c r="C492" s="35" t="s">
        <v>340</v>
      </c>
      <c r="D492" s="35" t="s">
        <v>2854</v>
      </c>
      <c r="E492" s="35" t="s">
        <v>2855</v>
      </c>
      <c r="F492" s="35" t="s">
        <v>298</v>
      </c>
      <c r="H492" s="35" t="s">
        <v>1980</v>
      </c>
      <c r="I492" s="35" t="s">
        <v>1981</v>
      </c>
      <c r="J492" s="35" t="s">
        <v>215</v>
      </c>
      <c r="K492" s="35" t="s">
        <v>215</v>
      </c>
      <c r="N492" s="35">
        <v>1.4</v>
      </c>
    </row>
    <row r="493" spans="1:14" s="35" customFormat="1" ht="25.05" customHeight="1" x14ac:dyDescent="0.4">
      <c r="A493" s="35" t="s">
        <v>2847</v>
      </c>
      <c r="B493" s="35" t="s">
        <v>2856</v>
      </c>
      <c r="C493" s="35" t="s">
        <v>340</v>
      </c>
      <c r="D493" s="35" t="s">
        <v>2857</v>
      </c>
      <c r="E493" s="35" t="s">
        <v>2858</v>
      </c>
      <c r="F493" s="35" t="s">
        <v>300</v>
      </c>
      <c r="G493" s="35" t="s">
        <v>2859</v>
      </c>
      <c r="H493" s="35" t="s">
        <v>1980</v>
      </c>
      <c r="I493" s="35" t="s">
        <v>1981</v>
      </c>
      <c r="J493" s="35" t="s">
        <v>215</v>
      </c>
      <c r="K493" s="35" t="s">
        <v>215</v>
      </c>
      <c r="N493" s="35">
        <v>23.54</v>
      </c>
    </row>
    <row r="494" spans="1:14" s="35" customFormat="1" ht="25.05" customHeight="1" x14ac:dyDescent="0.4">
      <c r="A494" s="35" t="s">
        <v>2847</v>
      </c>
      <c r="B494" s="35" t="s">
        <v>2860</v>
      </c>
      <c r="C494" s="35" t="s">
        <v>340</v>
      </c>
      <c r="D494" s="35" t="s">
        <v>2861</v>
      </c>
      <c r="E494" s="35" t="s">
        <v>2862</v>
      </c>
      <c r="F494" s="35" t="s">
        <v>298</v>
      </c>
      <c r="H494" s="35" t="s">
        <v>2008</v>
      </c>
      <c r="I494" s="35" t="s">
        <v>1976</v>
      </c>
      <c r="J494" s="35" t="s">
        <v>215</v>
      </c>
      <c r="K494" s="35" t="s">
        <v>215</v>
      </c>
      <c r="N494" s="35">
        <v>2.65</v>
      </c>
    </row>
    <row r="495" spans="1:14" s="35" customFormat="1" ht="25.05" customHeight="1" x14ac:dyDescent="0.4">
      <c r="A495" s="35" t="s">
        <v>2847</v>
      </c>
      <c r="B495" s="35" t="s">
        <v>2863</v>
      </c>
      <c r="C495" s="35" t="s">
        <v>340</v>
      </c>
      <c r="D495" s="35" t="s">
        <v>2864</v>
      </c>
      <c r="E495" s="35" t="s">
        <v>2865</v>
      </c>
      <c r="F495" s="35" t="s">
        <v>300</v>
      </c>
      <c r="H495" s="35" t="s">
        <v>2008</v>
      </c>
      <c r="I495" s="35" t="s">
        <v>1976</v>
      </c>
      <c r="J495" s="35" t="s">
        <v>215</v>
      </c>
      <c r="K495" s="35" t="s">
        <v>215</v>
      </c>
      <c r="N495" s="35">
        <v>1.62</v>
      </c>
    </row>
    <row r="496" spans="1:14" s="35" customFormat="1" ht="25.05" customHeight="1" x14ac:dyDescent="0.4">
      <c r="A496" s="35" t="s">
        <v>2847</v>
      </c>
      <c r="B496" s="35" t="s">
        <v>2866</v>
      </c>
      <c r="C496" s="35" t="s">
        <v>340</v>
      </c>
      <c r="D496" s="35" t="s">
        <v>2867</v>
      </c>
      <c r="E496" s="35" t="s">
        <v>2868</v>
      </c>
      <c r="F496" s="35" t="s">
        <v>323</v>
      </c>
      <c r="H496" s="35" t="s">
        <v>2008</v>
      </c>
      <c r="I496" s="35" t="s">
        <v>1976</v>
      </c>
      <c r="J496" s="35" t="s">
        <v>215</v>
      </c>
      <c r="K496" s="35" t="s">
        <v>215</v>
      </c>
      <c r="N496" s="35">
        <v>3.75</v>
      </c>
    </row>
    <row r="497" spans="1:14" s="35" customFormat="1" ht="25.05" customHeight="1" x14ac:dyDescent="0.4">
      <c r="A497" s="35" t="s">
        <v>2847</v>
      </c>
      <c r="B497" s="35" t="s">
        <v>2869</v>
      </c>
      <c r="C497" s="35" t="s">
        <v>340</v>
      </c>
      <c r="D497" s="35" t="s">
        <v>2870</v>
      </c>
      <c r="E497" s="35" t="s">
        <v>2871</v>
      </c>
      <c r="F497" s="35" t="s">
        <v>303</v>
      </c>
      <c r="J497" s="35" t="s">
        <v>215</v>
      </c>
      <c r="K497" s="35" t="s">
        <v>215</v>
      </c>
      <c r="N497" s="35">
        <v>8.49</v>
      </c>
    </row>
    <row r="498" spans="1:14" s="35" customFormat="1" ht="25.05" customHeight="1" x14ac:dyDescent="0.4">
      <c r="A498" s="35" t="s">
        <v>2847</v>
      </c>
      <c r="B498" s="35" t="s">
        <v>2872</v>
      </c>
      <c r="C498" s="35" t="s">
        <v>340</v>
      </c>
      <c r="D498" s="35" t="s">
        <v>2873</v>
      </c>
      <c r="E498" s="35" t="s">
        <v>2874</v>
      </c>
      <c r="F498" s="35" t="s">
        <v>299</v>
      </c>
      <c r="H498" s="35" t="s">
        <v>2008</v>
      </c>
      <c r="I498" s="35" t="s">
        <v>1976</v>
      </c>
      <c r="J498" s="35" t="s">
        <v>215</v>
      </c>
      <c r="K498" s="35" t="s">
        <v>215</v>
      </c>
      <c r="N498" s="35">
        <v>2.9</v>
      </c>
    </row>
    <row r="499" spans="1:14" s="35" customFormat="1" ht="25.05" customHeight="1" x14ac:dyDescent="0.4">
      <c r="A499" s="35" t="s">
        <v>2847</v>
      </c>
      <c r="B499" s="35" t="s">
        <v>2875</v>
      </c>
      <c r="C499" s="35" t="s">
        <v>340</v>
      </c>
      <c r="D499" s="35" t="s">
        <v>2876</v>
      </c>
      <c r="E499" s="35" t="s">
        <v>2877</v>
      </c>
      <c r="F499" s="35" t="s">
        <v>297</v>
      </c>
      <c r="H499" s="35" t="s">
        <v>1984</v>
      </c>
      <c r="I499" s="35" t="s">
        <v>1976</v>
      </c>
      <c r="J499" s="35" t="s">
        <v>215</v>
      </c>
      <c r="K499" s="35" t="s">
        <v>215</v>
      </c>
      <c r="N499" s="35">
        <v>13.6</v>
      </c>
    </row>
    <row r="500" spans="1:14" s="35" customFormat="1" ht="25.05" customHeight="1" x14ac:dyDescent="0.4">
      <c r="A500" s="35" t="s">
        <v>2847</v>
      </c>
      <c r="B500" s="35" t="s">
        <v>2878</v>
      </c>
      <c r="C500" s="35" t="s">
        <v>340</v>
      </c>
      <c r="D500" s="35" t="s">
        <v>2879</v>
      </c>
      <c r="E500" s="35" t="s">
        <v>2880</v>
      </c>
      <c r="F500" s="35" t="s">
        <v>297</v>
      </c>
      <c r="H500" s="35" t="s">
        <v>1980</v>
      </c>
      <c r="I500" s="35" t="s">
        <v>1976</v>
      </c>
      <c r="J500" s="35" t="s">
        <v>215</v>
      </c>
      <c r="K500" s="35" t="s">
        <v>215</v>
      </c>
      <c r="N500" s="35">
        <v>5.37</v>
      </c>
    </row>
    <row r="501" spans="1:14" s="35" customFormat="1" ht="25.05" customHeight="1" x14ac:dyDescent="0.4">
      <c r="A501" s="35" t="s">
        <v>2847</v>
      </c>
      <c r="B501" s="35" t="s">
        <v>2881</v>
      </c>
      <c r="C501" s="35" t="s">
        <v>340</v>
      </c>
      <c r="D501" s="35" t="s">
        <v>2882</v>
      </c>
      <c r="E501" s="35" t="s">
        <v>2883</v>
      </c>
      <c r="F501" s="35" t="s">
        <v>323</v>
      </c>
      <c r="H501" s="35" t="s">
        <v>1980</v>
      </c>
      <c r="I501" s="35" t="s">
        <v>1976</v>
      </c>
      <c r="J501" s="35" t="s">
        <v>215</v>
      </c>
      <c r="K501" s="35" t="s">
        <v>215</v>
      </c>
      <c r="N501" s="35">
        <v>9.27</v>
      </c>
    </row>
    <row r="502" spans="1:14" s="35" customFormat="1" ht="25.05" customHeight="1" x14ac:dyDescent="0.4">
      <c r="A502" s="35" t="s">
        <v>2847</v>
      </c>
      <c r="B502" s="35" t="s">
        <v>2884</v>
      </c>
      <c r="C502" s="35" t="s">
        <v>340</v>
      </c>
      <c r="D502" s="35" t="s">
        <v>2885</v>
      </c>
      <c r="E502" s="35" t="s">
        <v>2886</v>
      </c>
      <c r="F502" s="35" t="s">
        <v>297</v>
      </c>
      <c r="H502" s="35" t="s">
        <v>2004</v>
      </c>
      <c r="I502" s="35" t="s">
        <v>1976</v>
      </c>
      <c r="J502" s="35" t="s">
        <v>215</v>
      </c>
      <c r="K502" s="35" t="s">
        <v>215</v>
      </c>
      <c r="N502" s="35">
        <v>4.53</v>
      </c>
    </row>
    <row r="503" spans="1:14" s="35" customFormat="1" ht="25.05" customHeight="1" x14ac:dyDescent="0.4">
      <c r="A503" s="35" t="s">
        <v>2847</v>
      </c>
      <c r="B503" s="35" t="s">
        <v>2887</v>
      </c>
      <c r="C503" s="35" t="s">
        <v>340</v>
      </c>
      <c r="D503" s="35" t="s">
        <v>2888</v>
      </c>
      <c r="E503" s="35" t="s">
        <v>2889</v>
      </c>
      <c r="F503" s="35" t="s">
        <v>300</v>
      </c>
      <c r="H503" s="35" t="s">
        <v>2008</v>
      </c>
      <c r="I503" s="35" t="s">
        <v>1976</v>
      </c>
      <c r="J503" s="35" t="s">
        <v>215</v>
      </c>
      <c r="K503" s="35" t="s">
        <v>215</v>
      </c>
      <c r="N503" s="35">
        <v>6.93</v>
      </c>
    </row>
    <row r="504" spans="1:14" s="35" customFormat="1" ht="25.05" customHeight="1" x14ac:dyDescent="0.4">
      <c r="A504" s="35" t="s">
        <v>2847</v>
      </c>
      <c r="B504" s="35" t="s">
        <v>2890</v>
      </c>
      <c r="C504" s="35" t="s">
        <v>340</v>
      </c>
      <c r="D504" s="35" t="s">
        <v>2891</v>
      </c>
      <c r="E504" s="35" t="s">
        <v>2892</v>
      </c>
      <c r="F504" s="35" t="s">
        <v>323</v>
      </c>
      <c r="H504" s="35" t="s">
        <v>1984</v>
      </c>
      <c r="I504" s="35" t="s">
        <v>1976</v>
      </c>
      <c r="J504" s="35" t="s">
        <v>215</v>
      </c>
      <c r="K504" s="35" t="s">
        <v>215</v>
      </c>
      <c r="N504" s="35">
        <v>11.68</v>
      </c>
    </row>
    <row r="505" spans="1:14" s="35" customFormat="1" ht="25.05" customHeight="1" x14ac:dyDescent="0.4">
      <c r="A505" s="35" t="s">
        <v>2847</v>
      </c>
      <c r="B505" s="35" t="s">
        <v>537</v>
      </c>
      <c r="C505" s="35" t="s">
        <v>2493</v>
      </c>
      <c r="D505" s="35" t="s">
        <v>2893</v>
      </c>
      <c r="E505" s="35" t="s">
        <v>2894</v>
      </c>
      <c r="F505" s="35" t="s">
        <v>323</v>
      </c>
      <c r="H505" s="35" t="s">
        <v>215</v>
      </c>
      <c r="I505" s="35" t="s">
        <v>215</v>
      </c>
      <c r="J505" s="35" t="s">
        <v>215</v>
      </c>
      <c r="K505" s="35" t="s">
        <v>215</v>
      </c>
    </row>
    <row r="506" spans="1:14" s="35" customFormat="1" ht="25.05" customHeight="1" x14ac:dyDescent="0.4">
      <c r="A506" s="35" t="s">
        <v>2847</v>
      </c>
      <c r="B506" s="35" t="s">
        <v>2895</v>
      </c>
      <c r="C506" s="35" t="s">
        <v>346</v>
      </c>
      <c r="D506" s="35" t="s">
        <v>2896</v>
      </c>
      <c r="E506" s="35" t="s">
        <v>2897</v>
      </c>
      <c r="F506" s="35" t="s">
        <v>300</v>
      </c>
      <c r="J506" s="35" t="s">
        <v>215</v>
      </c>
      <c r="K506" s="35" t="s">
        <v>215</v>
      </c>
      <c r="N506" s="35">
        <v>13.1</v>
      </c>
    </row>
    <row r="507" spans="1:14" s="35" customFormat="1" ht="25.05" customHeight="1" x14ac:dyDescent="0.4">
      <c r="A507" s="35" t="s">
        <v>2847</v>
      </c>
      <c r="B507" s="35" t="s">
        <v>2898</v>
      </c>
      <c r="C507" s="35" t="s">
        <v>340</v>
      </c>
      <c r="D507" s="35" t="s">
        <v>2899</v>
      </c>
      <c r="E507" s="35" t="s">
        <v>2900</v>
      </c>
      <c r="F507" s="35" t="s">
        <v>299</v>
      </c>
      <c r="H507" s="35" t="s">
        <v>1980</v>
      </c>
      <c r="I507" s="35" t="s">
        <v>1981</v>
      </c>
      <c r="J507" s="35" t="s">
        <v>215</v>
      </c>
      <c r="K507" s="35" t="s">
        <v>215</v>
      </c>
      <c r="N507" s="35">
        <v>12.92</v>
      </c>
    </row>
    <row r="508" spans="1:14" s="35" customFormat="1" ht="25.05" customHeight="1" x14ac:dyDescent="0.4">
      <c r="A508" s="35" t="s">
        <v>2847</v>
      </c>
      <c r="B508" s="35" t="s">
        <v>2901</v>
      </c>
      <c r="C508" s="35" t="s">
        <v>340</v>
      </c>
      <c r="D508" s="35" t="s">
        <v>2902</v>
      </c>
      <c r="E508" s="35" t="s">
        <v>2903</v>
      </c>
      <c r="F508" s="35" t="s">
        <v>300</v>
      </c>
      <c r="H508" s="35" t="s">
        <v>2008</v>
      </c>
      <c r="I508" s="35" t="s">
        <v>1976</v>
      </c>
      <c r="J508" s="35" t="s">
        <v>215</v>
      </c>
      <c r="K508" s="35" t="s">
        <v>215</v>
      </c>
      <c r="N508" s="35">
        <v>18.13</v>
      </c>
    </row>
    <row r="509" spans="1:14" s="35" customFormat="1" ht="25.05" customHeight="1" x14ac:dyDescent="0.4">
      <c r="A509" s="35" t="s">
        <v>2847</v>
      </c>
      <c r="B509" s="35" t="s">
        <v>2904</v>
      </c>
      <c r="C509" s="35" t="s">
        <v>340</v>
      </c>
      <c r="D509" s="35" t="s">
        <v>2905</v>
      </c>
      <c r="E509" s="35" t="s">
        <v>2906</v>
      </c>
      <c r="F509" s="35" t="s">
        <v>323</v>
      </c>
      <c r="J509" s="35" t="s">
        <v>215</v>
      </c>
      <c r="K509" s="35" t="s">
        <v>215</v>
      </c>
      <c r="N509" s="35">
        <v>5.17</v>
      </c>
    </row>
    <row r="510" spans="1:14" s="35" customFormat="1" ht="25.05" customHeight="1" x14ac:dyDescent="0.4">
      <c r="A510" s="35" t="s">
        <v>2847</v>
      </c>
      <c r="B510" s="35" t="s">
        <v>2907</v>
      </c>
      <c r="C510" s="35" t="s">
        <v>340</v>
      </c>
      <c r="D510" s="35" t="s">
        <v>2908</v>
      </c>
      <c r="E510" s="35" t="s">
        <v>2909</v>
      </c>
      <c r="F510" s="35" t="s">
        <v>302</v>
      </c>
      <c r="H510" s="35" t="s">
        <v>2008</v>
      </c>
      <c r="I510" s="35" t="s">
        <v>1976</v>
      </c>
      <c r="J510" s="35" t="s">
        <v>215</v>
      </c>
      <c r="K510" s="35" t="s">
        <v>215</v>
      </c>
      <c r="N510" s="35">
        <v>0.72</v>
      </c>
    </row>
    <row r="511" spans="1:14" s="35" customFormat="1" ht="25.05" customHeight="1" x14ac:dyDescent="0.4">
      <c r="A511" s="35" t="s">
        <v>2847</v>
      </c>
      <c r="B511" s="35" t="s">
        <v>1353</v>
      </c>
      <c r="C511" s="35" t="s">
        <v>346</v>
      </c>
      <c r="D511" s="35" t="s">
        <v>2910</v>
      </c>
      <c r="E511" s="35" t="s">
        <v>2911</v>
      </c>
      <c r="F511" s="35" t="s">
        <v>300</v>
      </c>
      <c r="H511" s="35" t="s">
        <v>1975</v>
      </c>
      <c r="I511" s="35" t="s">
        <v>1976</v>
      </c>
      <c r="J511" s="35" t="s">
        <v>215</v>
      </c>
      <c r="K511" s="35" t="s">
        <v>215</v>
      </c>
      <c r="N511" s="35">
        <v>9.1</v>
      </c>
    </row>
    <row r="512" spans="1:14" s="35" customFormat="1" ht="25.05" customHeight="1" x14ac:dyDescent="0.4">
      <c r="A512" s="35" t="s">
        <v>2847</v>
      </c>
      <c r="B512" s="35" t="s">
        <v>2912</v>
      </c>
      <c r="C512" s="35" t="s">
        <v>340</v>
      </c>
      <c r="D512" s="35" t="s">
        <v>2913</v>
      </c>
      <c r="E512" s="35" t="s">
        <v>2914</v>
      </c>
      <c r="F512" s="35" t="s">
        <v>297</v>
      </c>
      <c r="H512" s="35" t="s">
        <v>2004</v>
      </c>
      <c r="I512" s="35" t="s">
        <v>1976</v>
      </c>
      <c r="J512" s="35" t="s">
        <v>215</v>
      </c>
      <c r="K512" s="35" t="s">
        <v>215</v>
      </c>
      <c r="N512" s="35">
        <v>0.33</v>
      </c>
    </row>
    <row r="513" spans="1:15" s="35" customFormat="1" ht="25.05" customHeight="1" x14ac:dyDescent="0.4">
      <c r="A513" s="35" t="s">
        <v>2847</v>
      </c>
      <c r="B513" s="35" t="s">
        <v>2915</v>
      </c>
      <c r="C513" s="35" t="s">
        <v>340</v>
      </c>
      <c r="D513" s="35" t="s">
        <v>2916</v>
      </c>
      <c r="E513" s="35" t="s">
        <v>2917</v>
      </c>
      <c r="F513" s="35" t="s">
        <v>297</v>
      </c>
      <c r="J513" s="35" t="s">
        <v>215</v>
      </c>
      <c r="K513" s="35" t="s">
        <v>215</v>
      </c>
      <c r="N513" s="35">
        <v>1.9</v>
      </c>
    </row>
    <row r="514" spans="1:15" s="35" customFormat="1" ht="25.05" customHeight="1" x14ac:dyDescent="0.4">
      <c r="A514" s="35" t="s">
        <v>2847</v>
      </c>
      <c r="B514" s="35" t="s">
        <v>2918</v>
      </c>
      <c r="C514" s="35" t="s">
        <v>340</v>
      </c>
      <c r="D514" s="35" t="s">
        <v>2919</v>
      </c>
      <c r="E514" s="35" t="s">
        <v>2920</v>
      </c>
      <c r="F514" s="35" t="s">
        <v>298</v>
      </c>
      <c r="H514" s="35" t="s">
        <v>1980</v>
      </c>
      <c r="I514" s="35" t="s">
        <v>2921</v>
      </c>
      <c r="J514" s="35" t="s">
        <v>215</v>
      </c>
      <c r="K514" s="35" t="s">
        <v>215</v>
      </c>
      <c r="N514" s="35">
        <v>5.98</v>
      </c>
    </row>
    <row r="515" spans="1:15" s="35" customFormat="1" ht="25.05" customHeight="1" x14ac:dyDescent="0.4">
      <c r="A515" s="35" t="s">
        <v>2847</v>
      </c>
      <c r="B515" s="35" t="s">
        <v>2922</v>
      </c>
      <c r="C515" s="35" t="s">
        <v>340</v>
      </c>
      <c r="D515" s="35" t="s">
        <v>2923</v>
      </c>
      <c r="E515" s="35" t="s">
        <v>2924</v>
      </c>
      <c r="F515" s="35" t="s">
        <v>323</v>
      </c>
      <c r="H515" s="35" t="s">
        <v>1980</v>
      </c>
      <c r="I515" s="35" t="s">
        <v>1981</v>
      </c>
      <c r="J515" s="35" t="s">
        <v>215</v>
      </c>
      <c r="K515" s="35" t="s">
        <v>215</v>
      </c>
      <c r="N515" s="35">
        <v>11.44</v>
      </c>
    </row>
    <row r="516" spans="1:15" s="35" customFormat="1" ht="25.05" customHeight="1" x14ac:dyDescent="0.4">
      <c r="A516" s="35" t="s">
        <v>2847</v>
      </c>
      <c r="B516" s="35" t="s">
        <v>418</v>
      </c>
      <c r="C516" s="35" t="s">
        <v>2925</v>
      </c>
      <c r="D516" s="35" t="s">
        <v>2926</v>
      </c>
      <c r="E516" s="35" t="s">
        <v>2927</v>
      </c>
      <c r="F516" s="35" t="s">
        <v>300</v>
      </c>
      <c r="H516" s="35" t="s">
        <v>1975</v>
      </c>
      <c r="I516" s="35" t="s">
        <v>1976</v>
      </c>
      <c r="J516" s="35" t="s">
        <v>215</v>
      </c>
      <c r="K516" s="35" t="s">
        <v>215</v>
      </c>
      <c r="N516" s="35">
        <v>16.739999999999998</v>
      </c>
    </row>
    <row r="517" spans="1:15" s="35" customFormat="1" ht="25.05" customHeight="1" x14ac:dyDescent="0.4">
      <c r="A517" s="35" t="s">
        <v>2847</v>
      </c>
      <c r="B517" s="35" t="s">
        <v>418</v>
      </c>
      <c r="C517" s="35" t="s">
        <v>2928</v>
      </c>
      <c r="D517" s="35" t="s">
        <v>2929</v>
      </c>
      <c r="E517" s="35" t="s">
        <v>2930</v>
      </c>
      <c r="F517" s="35" t="s">
        <v>300</v>
      </c>
      <c r="H517" s="35" t="s">
        <v>1975</v>
      </c>
      <c r="I517" s="35" t="s">
        <v>1976</v>
      </c>
      <c r="J517" s="35" t="s">
        <v>215</v>
      </c>
      <c r="K517" s="35" t="s">
        <v>215</v>
      </c>
      <c r="N517" s="35">
        <v>9.3800000000000008</v>
      </c>
    </row>
    <row r="518" spans="1:15" s="35" customFormat="1" ht="25.05" customHeight="1" x14ac:dyDescent="0.4">
      <c r="A518" s="35" t="s">
        <v>2847</v>
      </c>
      <c r="B518" s="35" t="s">
        <v>1449</v>
      </c>
      <c r="C518" s="35" t="s">
        <v>340</v>
      </c>
      <c r="D518" s="35" t="s">
        <v>2931</v>
      </c>
      <c r="E518" s="35" t="s">
        <v>2932</v>
      </c>
      <c r="F518" s="35" t="s">
        <v>300</v>
      </c>
      <c r="H518" s="35" t="s">
        <v>1980</v>
      </c>
      <c r="I518" s="35" t="s">
        <v>1981</v>
      </c>
      <c r="J518" s="35" t="s">
        <v>215</v>
      </c>
      <c r="K518" s="35" t="s">
        <v>215</v>
      </c>
      <c r="N518" s="35">
        <v>7.97</v>
      </c>
    </row>
    <row r="519" spans="1:15" s="35" customFormat="1" ht="25.05" customHeight="1" x14ac:dyDescent="0.4">
      <c r="A519" s="35" t="s">
        <v>2847</v>
      </c>
      <c r="B519" s="35" t="s">
        <v>1449</v>
      </c>
      <c r="C519" s="35" t="s">
        <v>360</v>
      </c>
      <c r="D519" s="35" t="s">
        <v>2933</v>
      </c>
      <c r="E519" s="35" t="s">
        <v>2934</v>
      </c>
      <c r="F519" s="35" t="s">
        <v>300</v>
      </c>
      <c r="H519" s="35" t="s">
        <v>2008</v>
      </c>
      <c r="I519" s="35" t="s">
        <v>1981</v>
      </c>
      <c r="J519" s="35" t="s">
        <v>215</v>
      </c>
      <c r="K519" s="35" t="s">
        <v>215</v>
      </c>
      <c r="N519" s="35">
        <v>3.71</v>
      </c>
    </row>
    <row r="520" spans="1:15" s="35" customFormat="1" ht="25.05" customHeight="1" x14ac:dyDescent="0.4">
      <c r="A520" s="35" t="s">
        <v>2847</v>
      </c>
      <c r="B520" s="35" t="s">
        <v>1449</v>
      </c>
      <c r="C520" s="35" t="s">
        <v>368</v>
      </c>
      <c r="D520" s="35" t="s">
        <v>2935</v>
      </c>
      <c r="E520" s="35" t="s">
        <v>2936</v>
      </c>
      <c r="F520" s="35" t="s">
        <v>300</v>
      </c>
      <c r="H520" s="35" t="s">
        <v>1980</v>
      </c>
      <c r="I520" s="35" t="s">
        <v>1981</v>
      </c>
      <c r="J520" s="35" t="s">
        <v>215</v>
      </c>
      <c r="K520" s="35" t="s">
        <v>215</v>
      </c>
      <c r="N520" s="35">
        <v>10.84</v>
      </c>
    </row>
    <row r="521" spans="1:15" s="35" customFormat="1" ht="25.05" customHeight="1" x14ac:dyDescent="0.4">
      <c r="A521" s="35" t="s">
        <v>2847</v>
      </c>
      <c r="B521" s="35" t="s">
        <v>2058</v>
      </c>
      <c r="C521" s="35" t="s">
        <v>2937</v>
      </c>
      <c r="D521" s="35" t="s">
        <v>61</v>
      </c>
      <c r="E521" s="35" t="s">
        <v>2938</v>
      </c>
      <c r="F521" s="35" t="s">
        <v>303</v>
      </c>
      <c r="H521" s="35" t="s">
        <v>2008</v>
      </c>
      <c r="I521" s="35" t="s">
        <v>1981</v>
      </c>
      <c r="J521" s="35" t="s">
        <v>215</v>
      </c>
      <c r="K521" s="35" t="s">
        <v>215</v>
      </c>
      <c r="N521" s="35">
        <v>3.61</v>
      </c>
    </row>
    <row r="522" spans="1:15" s="35" customFormat="1" ht="25.05" customHeight="1" x14ac:dyDescent="0.4">
      <c r="A522" s="35" t="s">
        <v>2847</v>
      </c>
      <c r="B522" s="35" t="s">
        <v>371</v>
      </c>
      <c r="C522" s="35" t="s">
        <v>1377</v>
      </c>
      <c r="D522" s="35" t="s">
        <v>2939</v>
      </c>
      <c r="E522" s="35" t="s">
        <v>2940</v>
      </c>
      <c r="F522" s="35" t="s">
        <v>302</v>
      </c>
      <c r="H522" s="35" t="s">
        <v>215</v>
      </c>
      <c r="I522" s="35" t="s">
        <v>215</v>
      </c>
      <c r="J522" s="35" t="s">
        <v>215</v>
      </c>
      <c r="K522" s="35" t="s">
        <v>215</v>
      </c>
    </row>
    <row r="523" spans="1:15" s="35" customFormat="1" ht="25.05" customHeight="1" x14ac:dyDescent="0.4">
      <c r="A523" s="35" t="s">
        <v>2847</v>
      </c>
      <c r="B523" s="35" t="s">
        <v>2941</v>
      </c>
      <c r="C523" s="35" t="s">
        <v>340</v>
      </c>
      <c r="D523" s="35" t="s">
        <v>2942</v>
      </c>
      <c r="E523" s="35" t="s">
        <v>2943</v>
      </c>
      <c r="F523" s="35" t="s">
        <v>302</v>
      </c>
      <c r="H523" s="35" t="s">
        <v>1984</v>
      </c>
      <c r="I523" s="35" t="s">
        <v>1976</v>
      </c>
      <c r="J523" s="35" t="s">
        <v>215</v>
      </c>
      <c r="K523" s="35" t="s">
        <v>215</v>
      </c>
      <c r="N523" s="35">
        <v>14.22</v>
      </c>
    </row>
    <row r="524" spans="1:15" s="35" customFormat="1" ht="25.05" customHeight="1" x14ac:dyDescent="0.4">
      <c r="A524" s="35" t="s">
        <v>2847</v>
      </c>
      <c r="B524" s="35" t="s">
        <v>2941</v>
      </c>
      <c r="C524" s="35" t="s">
        <v>346</v>
      </c>
      <c r="D524" s="35" t="s">
        <v>2942</v>
      </c>
      <c r="E524" s="35" t="s">
        <v>2944</v>
      </c>
      <c r="F524" s="35" t="s">
        <v>302</v>
      </c>
      <c r="H524" s="35" t="s">
        <v>1984</v>
      </c>
      <c r="I524" s="35" t="s">
        <v>1976</v>
      </c>
      <c r="J524" s="35" t="s">
        <v>215</v>
      </c>
      <c r="K524" s="35" t="s">
        <v>215</v>
      </c>
      <c r="N524" s="35">
        <v>38.32</v>
      </c>
    </row>
    <row r="525" spans="1:15" s="35" customFormat="1" ht="25.05" customHeight="1" x14ac:dyDescent="0.4">
      <c r="F525" s="36"/>
      <c r="G525" s="40"/>
      <c r="N525" s="36"/>
      <c r="O525" s="36"/>
    </row>
    <row r="526" spans="1:15" s="35" customFormat="1" ht="25.05" customHeight="1" x14ac:dyDescent="0.4">
      <c r="F526" s="36"/>
      <c r="G526" s="40"/>
      <c r="N526" s="36"/>
      <c r="O526" s="36"/>
    </row>
    <row r="527" spans="1:15" s="35" customFormat="1" ht="25.05" customHeight="1" x14ac:dyDescent="0.4">
      <c r="F527" s="36"/>
      <c r="G527" s="40"/>
      <c r="N527" s="36"/>
      <c r="O527" s="36"/>
    </row>
    <row r="528" spans="1:15" s="35" customFormat="1" ht="25.05" customHeight="1" x14ac:dyDescent="0.4">
      <c r="F528" s="36"/>
      <c r="G528" s="40"/>
      <c r="N528" s="36"/>
      <c r="O528" s="36"/>
    </row>
    <row r="529" spans="6:15" s="35" customFormat="1" ht="25.05" customHeight="1" x14ac:dyDescent="0.4">
      <c r="F529" s="36"/>
      <c r="G529" s="40"/>
      <c r="N529" s="36"/>
      <c r="O529" s="36"/>
    </row>
    <row r="530" spans="6:15" s="35" customFormat="1" ht="25.05" customHeight="1" x14ac:dyDescent="0.4">
      <c r="F530" s="36"/>
      <c r="G530" s="40"/>
      <c r="N530" s="36"/>
      <c r="O530" s="36"/>
    </row>
    <row r="531" spans="6:15" s="35" customFormat="1" ht="25.05" customHeight="1" x14ac:dyDescent="0.4">
      <c r="F531" s="36"/>
      <c r="G531" s="40"/>
      <c r="N531" s="36"/>
      <c r="O531" s="36"/>
    </row>
    <row r="532" spans="6:15" s="35" customFormat="1" ht="25.05" customHeight="1" x14ac:dyDescent="0.4">
      <c r="F532" s="36"/>
      <c r="G532" s="40"/>
      <c r="N532" s="36"/>
      <c r="O532" s="36"/>
    </row>
    <row r="533" spans="6:15" s="35" customFormat="1" ht="25.05" customHeight="1" x14ac:dyDescent="0.4">
      <c r="F533" s="36"/>
      <c r="G533" s="40"/>
      <c r="N533" s="36"/>
      <c r="O533" s="36"/>
    </row>
    <row r="534" spans="6:15" s="35" customFormat="1" ht="25.05" customHeight="1" x14ac:dyDescent="0.4">
      <c r="F534" s="36"/>
      <c r="G534" s="40"/>
      <c r="N534" s="36"/>
      <c r="O534" s="36"/>
    </row>
    <row r="535" spans="6:15" s="35" customFormat="1" ht="25.05" customHeight="1" x14ac:dyDescent="0.4">
      <c r="F535" s="36"/>
      <c r="G535" s="40"/>
      <c r="N535" s="36"/>
      <c r="O535" s="36"/>
    </row>
    <row r="536" spans="6:15" s="35" customFormat="1" ht="25.05" customHeight="1" x14ac:dyDescent="0.4">
      <c r="F536" s="36"/>
      <c r="G536" s="40"/>
      <c r="N536" s="36"/>
      <c r="O536" s="36"/>
    </row>
    <row r="537" spans="6:15" s="35" customFormat="1" ht="25.05" customHeight="1" x14ac:dyDescent="0.4">
      <c r="F537" s="36"/>
      <c r="G537" s="40"/>
      <c r="N537" s="36"/>
      <c r="O537" s="36"/>
    </row>
    <row r="538" spans="6:15" s="35" customFormat="1" ht="25.05" customHeight="1" x14ac:dyDescent="0.4">
      <c r="F538" s="36"/>
      <c r="G538" s="40"/>
      <c r="N538" s="36"/>
      <c r="O538" s="36"/>
    </row>
    <row r="539" spans="6:15" s="35" customFormat="1" ht="25.05" customHeight="1" x14ac:dyDescent="0.4">
      <c r="F539" s="36"/>
      <c r="G539" s="40"/>
      <c r="N539" s="36"/>
      <c r="O539" s="36"/>
    </row>
    <row r="540" spans="6:15" s="35" customFormat="1" ht="25.05" customHeight="1" x14ac:dyDescent="0.4">
      <c r="F540" s="36"/>
      <c r="G540" s="40"/>
      <c r="N540" s="36"/>
      <c r="O540" s="36"/>
    </row>
    <row r="541" spans="6:15" s="35" customFormat="1" ht="25.05" customHeight="1" x14ac:dyDescent="0.4">
      <c r="F541" s="36"/>
      <c r="G541" s="40"/>
      <c r="N541" s="36"/>
      <c r="O541" s="36"/>
    </row>
    <row r="542" spans="6:15" s="35" customFormat="1" ht="25.05" customHeight="1" x14ac:dyDescent="0.4">
      <c r="F542" s="36"/>
      <c r="G542" s="40"/>
      <c r="N542" s="36"/>
      <c r="O542" s="36"/>
    </row>
    <row r="543" spans="6:15" s="35" customFormat="1" ht="25.05" customHeight="1" x14ac:dyDescent="0.4">
      <c r="F543" s="36"/>
      <c r="G543" s="40"/>
      <c r="N543" s="36"/>
      <c r="O543" s="36"/>
    </row>
    <row r="544" spans="6:15" s="35" customFormat="1" ht="25.05" customHeight="1" x14ac:dyDescent="0.4">
      <c r="F544" s="36"/>
      <c r="G544" s="40"/>
      <c r="N544" s="36"/>
      <c r="O544" s="36"/>
    </row>
    <row r="545" spans="6:15" s="35" customFormat="1" ht="25.05" customHeight="1" x14ac:dyDescent="0.4">
      <c r="F545" s="36"/>
      <c r="G545" s="40"/>
      <c r="N545" s="36"/>
      <c r="O545" s="36"/>
    </row>
    <row r="546" spans="6:15" s="35" customFormat="1" ht="25.05" customHeight="1" x14ac:dyDescent="0.4">
      <c r="F546" s="36"/>
      <c r="G546" s="40"/>
      <c r="N546" s="36"/>
      <c r="O546" s="36"/>
    </row>
    <row r="547" spans="6:15" s="35" customFormat="1" ht="25.05" customHeight="1" x14ac:dyDescent="0.4">
      <c r="F547" s="36"/>
      <c r="G547" s="40"/>
      <c r="N547" s="36"/>
      <c r="O547" s="36"/>
    </row>
    <row r="548" spans="6:15" s="35" customFormat="1" ht="25.05" customHeight="1" x14ac:dyDescent="0.4">
      <c r="F548" s="36"/>
      <c r="G548" s="40"/>
      <c r="N548" s="36"/>
      <c r="O548" s="36"/>
    </row>
    <row r="549" spans="6:15" s="35" customFormat="1" ht="25.05" customHeight="1" x14ac:dyDescent="0.4">
      <c r="F549" s="36"/>
      <c r="G549" s="40"/>
      <c r="N549" s="36"/>
      <c r="O549" s="36"/>
    </row>
    <row r="550" spans="6:15" s="35" customFormat="1" ht="25.05" customHeight="1" x14ac:dyDescent="0.4">
      <c r="F550" s="36"/>
      <c r="G550" s="40"/>
      <c r="N550" s="36"/>
      <c r="O550" s="36"/>
    </row>
    <row r="551" spans="6:15" s="35" customFormat="1" ht="25.05" customHeight="1" x14ac:dyDescent="0.4">
      <c r="F551" s="36"/>
      <c r="G551" s="40"/>
      <c r="N551" s="36"/>
      <c r="O551" s="36"/>
    </row>
    <row r="552" spans="6:15" s="35" customFormat="1" ht="25.05" customHeight="1" x14ac:dyDescent="0.4">
      <c r="F552" s="36"/>
      <c r="G552" s="40"/>
      <c r="N552" s="36"/>
      <c r="O552" s="36"/>
    </row>
    <row r="553" spans="6:15" s="35" customFormat="1" ht="25.05" customHeight="1" x14ac:dyDescent="0.4">
      <c r="F553" s="36"/>
      <c r="G553" s="40"/>
      <c r="N553" s="36"/>
      <c r="O553" s="36"/>
    </row>
    <row r="554" spans="6:15" s="35" customFormat="1" ht="25.05" customHeight="1" x14ac:dyDescent="0.4">
      <c r="F554" s="36"/>
      <c r="G554" s="40"/>
      <c r="N554" s="36"/>
      <c r="O554" s="36"/>
    </row>
    <row r="555" spans="6:15" s="35" customFormat="1" ht="25.05" customHeight="1" x14ac:dyDescent="0.4">
      <c r="F555" s="36"/>
      <c r="G555" s="40"/>
      <c r="N555" s="36"/>
      <c r="O555" s="36"/>
    </row>
    <row r="556" spans="6:15" s="35" customFormat="1" ht="25.05" customHeight="1" x14ac:dyDescent="0.4">
      <c r="F556" s="36"/>
      <c r="G556" s="40"/>
      <c r="N556" s="36"/>
      <c r="O556" s="36"/>
    </row>
    <row r="557" spans="6:15" s="35" customFormat="1" ht="25.05" customHeight="1" x14ac:dyDescent="0.4">
      <c r="F557" s="36"/>
      <c r="G557" s="40"/>
      <c r="N557" s="36"/>
      <c r="O557" s="36"/>
    </row>
    <row r="558" spans="6:15" s="35" customFormat="1" ht="25.05" customHeight="1" x14ac:dyDescent="0.4">
      <c r="F558" s="36"/>
      <c r="G558" s="40"/>
      <c r="N558" s="36"/>
      <c r="O558" s="36"/>
    </row>
    <row r="559" spans="6:15" s="35" customFormat="1" ht="25.05" customHeight="1" x14ac:dyDescent="0.4">
      <c r="F559" s="36"/>
      <c r="G559" s="40"/>
      <c r="N559" s="36"/>
      <c r="O559" s="36"/>
    </row>
    <row r="560" spans="6:15" s="35" customFormat="1" ht="25.05" customHeight="1" x14ac:dyDescent="0.4">
      <c r="F560" s="36"/>
      <c r="G560" s="40"/>
      <c r="N560" s="36"/>
      <c r="O560" s="36"/>
    </row>
    <row r="561" spans="6:15" s="35" customFormat="1" ht="25.05" customHeight="1" x14ac:dyDescent="0.4">
      <c r="F561" s="36"/>
      <c r="G561" s="40"/>
      <c r="N561" s="36"/>
      <c r="O561" s="36"/>
    </row>
    <row r="562" spans="6:15" s="35" customFormat="1" ht="25.05" customHeight="1" x14ac:dyDescent="0.4">
      <c r="F562" s="36"/>
      <c r="G562" s="40"/>
      <c r="N562" s="36"/>
      <c r="O562" s="36"/>
    </row>
    <row r="563" spans="6:15" s="35" customFormat="1" ht="25.05" customHeight="1" x14ac:dyDescent="0.4">
      <c r="F563" s="36"/>
      <c r="G563" s="40"/>
      <c r="N563" s="36"/>
      <c r="O563" s="36"/>
    </row>
    <row r="564" spans="6:15" s="35" customFormat="1" ht="25.05" customHeight="1" x14ac:dyDescent="0.4">
      <c r="F564" s="36"/>
      <c r="G564" s="40"/>
      <c r="N564" s="36"/>
      <c r="O564" s="36"/>
    </row>
    <row r="565" spans="6:15" s="35" customFormat="1" ht="25.05" customHeight="1" x14ac:dyDescent="0.4">
      <c r="F565" s="36"/>
      <c r="G565" s="40"/>
      <c r="N565" s="36"/>
      <c r="O565" s="36"/>
    </row>
    <row r="566" spans="6:15" s="35" customFormat="1" ht="25.05" customHeight="1" x14ac:dyDescent="0.4">
      <c r="F566" s="36"/>
      <c r="G566" s="40"/>
      <c r="N566" s="36"/>
      <c r="O566" s="36"/>
    </row>
    <row r="567" spans="6:15" s="35" customFormat="1" ht="25.05" customHeight="1" x14ac:dyDescent="0.4">
      <c r="F567" s="36"/>
      <c r="G567" s="40"/>
      <c r="N567" s="36"/>
      <c r="O567" s="36"/>
    </row>
    <row r="568" spans="6:15" s="35" customFormat="1" ht="25.05" customHeight="1" x14ac:dyDescent="0.4">
      <c r="F568" s="36"/>
      <c r="G568" s="40"/>
      <c r="N568" s="36"/>
      <c r="O568" s="36"/>
    </row>
    <row r="569" spans="6:15" s="35" customFormat="1" ht="25.05" customHeight="1" x14ac:dyDescent="0.4">
      <c r="F569" s="36"/>
      <c r="G569" s="40"/>
      <c r="N569" s="36"/>
      <c r="O569" s="36"/>
    </row>
    <row r="570" spans="6:15" s="35" customFormat="1" ht="25.05" customHeight="1" x14ac:dyDescent="0.4">
      <c r="F570" s="36"/>
      <c r="G570" s="40"/>
      <c r="N570" s="36"/>
      <c r="O570" s="36"/>
    </row>
    <row r="571" spans="6:15" s="35" customFormat="1" ht="25.05" customHeight="1" x14ac:dyDescent="0.4">
      <c r="F571" s="36"/>
      <c r="G571" s="40"/>
      <c r="N571" s="36"/>
      <c r="O571" s="36"/>
    </row>
    <row r="572" spans="6:15" s="35" customFormat="1" ht="25.05" customHeight="1" x14ac:dyDescent="0.4">
      <c r="F572" s="36"/>
      <c r="G572" s="40"/>
      <c r="N572" s="36"/>
      <c r="O572" s="36"/>
    </row>
    <row r="573" spans="6:15" s="35" customFormat="1" ht="25.05" customHeight="1" x14ac:dyDescent="0.4">
      <c r="F573" s="36"/>
      <c r="G573" s="40"/>
      <c r="N573" s="36"/>
      <c r="O573" s="36"/>
    </row>
    <row r="574" spans="6:15" s="35" customFormat="1" ht="25.05" customHeight="1" x14ac:dyDescent="0.4">
      <c r="F574" s="36"/>
      <c r="G574" s="40"/>
      <c r="N574" s="36"/>
      <c r="O574" s="36"/>
    </row>
    <row r="575" spans="6:15" s="35" customFormat="1" ht="25.05" customHeight="1" x14ac:dyDescent="0.4">
      <c r="F575" s="36"/>
      <c r="G575" s="40"/>
      <c r="N575" s="36"/>
      <c r="O575" s="36"/>
    </row>
    <row r="576" spans="6:15" s="35" customFormat="1" ht="25.05" customHeight="1" x14ac:dyDescent="0.4">
      <c r="F576" s="36"/>
      <c r="G576" s="40"/>
      <c r="N576" s="36"/>
      <c r="O576" s="36"/>
    </row>
    <row r="577" spans="6:15" s="35" customFormat="1" ht="25.05" customHeight="1" x14ac:dyDescent="0.4">
      <c r="F577" s="36"/>
      <c r="G577" s="40"/>
      <c r="N577" s="36"/>
      <c r="O577" s="36"/>
    </row>
    <row r="578" spans="6:15" s="35" customFormat="1" ht="25.05" customHeight="1" x14ac:dyDescent="0.4">
      <c r="F578" s="36"/>
      <c r="G578" s="40"/>
      <c r="N578" s="36"/>
      <c r="O578" s="36"/>
    </row>
    <row r="579" spans="6:15" s="35" customFormat="1" ht="25.05" customHeight="1" x14ac:dyDescent="0.4">
      <c r="F579" s="36"/>
      <c r="G579" s="40"/>
      <c r="N579" s="36"/>
      <c r="O579" s="36"/>
    </row>
    <row r="580" spans="6:15" s="35" customFormat="1" ht="25.05" customHeight="1" x14ac:dyDescent="0.4">
      <c r="F580" s="36"/>
      <c r="G580" s="40"/>
      <c r="N580" s="36"/>
      <c r="O580" s="36"/>
    </row>
    <row r="581" spans="6:15" s="35" customFormat="1" ht="25.05" customHeight="1" x14ac:dyDescent="0.4">
      <c r="F581" s="36"/>
      <c r="G581" s="40"/>
      <c r="N581" s="36"/>
      <c r="O581" s="36"/>
    </row>
    <row r="582" spans="6:15" s="35" customFormat="1" ht="25.05" customHeight="1" x14ac:dyDescent="0.4">
      <c r="F582" s="36"/>
      <c r="G582" s="40"/>
      <c r="N582" s="36"/>
      <c r="O582" s="36"/>
    </row>
    <row r="583" spans="6:15" s="35" customFormat="1" ht="25.05" customHeight="1" x14ac:dyDescent="0.4">
      <c r="F583" s="36"/>
      <c r="G583" s="40"/>
      <c r="N583" s="36"/>
      <c r="O583" s="36"/>
    </row>
    <row r="584" spans="6:15" s="35" customFormat="1" ht="25.05" customHeight="1" x14ac:dyDescent="0.4">
      <c r="F584" s="36"/>
      <c r="G584" s="40"/>
      <c r="N584" s="36"/>
      <c r="O584" s="36"/>
    </row>
    <row r="585" spans="6:15" s="35" customFormat="1" ht="25.05" customHeight="1" x14ac:dyDescent="0.4">
      <c r="F585" s="36"/>
      <c r="G585" s="40"/>
      <c r="N585" s="36"/>
      <c r="O585" s="36"/>
    </row>
    <row r="586" spans="6:15" s="35" customFormat="1" ht="25.05" customHeight="1" x14ac:dyDescent="0.4">
      <c r="F586" s="36"/>
      <c r="G586" s="40"/>
      <c r="N586" s="36"/>
      <c r="O586" s="36"/>
    </row>
    <row r="587" spans="6:15" s="35" customFormat="1" ht="25.05" customHeight="1" x14ac:dyDescent="0.4">
      <c r="F587" s="36"/>
      <c r="G587" s="40"/>
      <c r="N587" s="36"/>
      <c r="O587" s="36"/>
    </row>
    <row r="588" spans="6:15" s="35" customFormat="1" ht="25.05" customHeight="1" x14ac:dyDescent="0.4">
      <c r="F588" s="36"/>
      <c r="G588" s="40"/>
      <c r="N588" s="36"/>
      <c r="O588" s="36"/>
    </row>
    <row r="589" spans="6:15" s="35" customFormat="1" ht="25.05" customHeight="1" x14ac:dyDescent="0.4"/>
    <row r="590" spans="6:15" s="35" customFormat="1" ht="25.05" customHeight="1" x14ac:dyDescent="0.4"/>
    <row r="591" spans="6:15" s="35" customFormat="1" ht="25.05" customHeight="1" x14ac:dyDescent="0.4"/>
    <row r="592" spans="6:15" s="35" customFormat="1" ht="25.05" customHeight="1" x14ac:dyDescent="0.4"/>
    <row r="593" s="35" customFormat="1" ht="25.05" customHeight="1" x14ac:dyDescent="0.4"/>
    <row r="594" s="35" customFormat="1" ht="25.05" customHeight="1" x14ac:dyDescent="0.4"/>
    <row r="595" s="35" customFormat="1" ht="25.05" customHeight="1" x14ac:dyDescent="0.4"/>
    <row r="596" s="35" customFormat="1" ht="25.05" customHeight="1" x14ac:dyDescent="0.4"/>
    <row r="597" s="35" customFormat="1" ht="25.05" customHeight="1" x14ac:dyDescent="0.4"/>
    <row r="598" s="35" customFormat="1" ht="25.05" customHeight="1" x14ac:dyDescent="0.4"/>
    <row r="599" s="35" customFormat="1" ht="25.05" customHeight="1" x14ac:dyDescent="0.4"/>
    <row r="600" s="35" customFormat="1" ht="25.05" customHeight="1" x14ac:dyDescent="0.4"/>
    <row r="601" s="35" customFormat="1" ht="25.05" customHeight="1" x14ac:dyDescent="0.4"/>
    <row r="602" s="35" customFormat="1" ht="25.05" customHeight="1" x14ac:dyDescent="0.4"/>
    <row r="603" s="35" customFormat="1" ht="25.05" customHeight="1" x14ac:dyDescent="0.4"/>
    <row r="604" s="35" customFormat="1" ht="25.05" customHeight="1" x14ac:dyDescent="0.4"/>
    <row r="605" s="35" customFormat="1" ht="25.05" customHeight="1" x14ac:dyDescent="0.4"/>
    <row r="606" s="35" customFormat="1" ht="25.05" customHeight="1" x14ac:dyDescent="0.4"/>
    <row r="607" s="35" customFormat="1" ht="25.05" customHeight="1" x14ac:dyDescent="0.4"/>
    <row r="608" s="35" customFormat="1" ht="25.05" customHeight="1" x14ac:dyDescent="0.4"/>
    <row r="609" s="35" customFormat="1" ht="25.05" customHeight="1" x14ac:dyDescent="0.4"/>
    <row r="610" s="35" customFormat="1" ht="25.05" customHeight="1" x14ac:dyDescent="0.4"/>
    <row r="611" s="35" customFormat="1" ht="25.05" customHeight="1" x14ac:dyDescent="0.4"/>
    <row r="612" s="35" customFormat="1" ht="25.05" customHeight="1" x14ac:dyDescent="0.4"/>
    <row r="613" s="35" customFormat="1" ht="25.05" customHeight="1" x14ac:dyDescent="0.4"/>
    <row r="614" s="35" customFormat="1" ht="25.05" customHeight="1" x14ac:dyDescent="0.4"/>
    <row r="615" s="35" customFormat="1" ht="25.05" customHeight="1" x14ac:dyDescent="0.4"/>
    <row r="616" s="35" customFormat="1" ht="25.05" customHeight="1" x14ac:dyDescent="0.4"/>
    <row r="617" s="35" customFormat="1" ht="25.05" customHeight="1" x14ac:dyDescent="0.4"/>
    <row r="618" s="35" customFormat="1" ht="25.05" customHeight="1" x14ac:dyDescent="0.4"/>
    <row r="619" s="35" customFormat="1" ht="25.05" customHeight="1" x14ac:dyDescent="0.4"/>
    <row r="620" s="35" customFormat="1" ht="25.05" customHeight="1" x14ac:dyDescent="0.4"/>
    <row r="621" s="35" customFormat="1" ht="25.05" customHeight="1" x14ac:dyDescent="0.4"/>
    <row r="622" s="35" customFormat="1" ht="25.05" customHeight="1" x14ac:dyDescent="0.4"/>
    <row r="623" s="35" customFormat="1" ht="25.05" customHeight="1" x14ac:dyDescent="0.4"/>
    <row r="624" s="35" customFormat="1" ht="25.05" customHeight="1" x14ac:dyDescent="0.4"/>
    <row r="625" spans="1:18" s="35" customFormat="1" ht="25.05" customHeight="1" x14ac:dyDescent="0.4"/>
    <row r="626" spans="1:18" s="35" customFormat="1" ht="25.05" customHeight="1" x14ac:dyDescent="0.4"/>
    <row r="627" spans="1:18" s="35" customFormat="1" ht="25.05" customHeight="1" x14ac:dyDescent="0.4"/>
    <row r="628" spans="1:18" s="35" customFormat="1" ht="25.05" customHeight="1" x14ac:dyDescent="0.4"/>
    <row r="629" spans="1:18" s="35" customFormat="1" ht="25.05" customHeight="1" x14ac:dyDescent="0.4"/>
    <row r="630" spans="1:18" s="35" customFormat="1" ht="25.05" customHeight="1" x14ac:dyDescent="0.4"/>
    <row r="631" spans="1:18" ht="19.95" customHeight="1" x14ac:dyDescent="0.4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/>
      <c r="Q631"/>
      <c r="R631"/>
    </row>
    <row r="632" spans="1:18" ht="19.95" customHeight="1" x14ac:dyDescent="0.4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/>
      <c r="Q632"/>
      <c r="R632"/>
    </row>
    <row r="633" spans="1:18" ht="19.95" customHeight="1" x14ac:dyDescent="0.4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/>
      <c r="Q633"/>
      <c r="R633"/>
    </row>
    <row r="634" spans="1:18" ht="19.95" customHeight="1" x14ac:dyDescent="0.4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/>
      <c r="Q634"/>
      <c r="R634"/>
    </row>
    <row r="635" spans="1:18" ht="19.95" customHeight="1" x14ac:dyDescent="0.4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/>
      <c r="Q635"/>
      <c r="R635"/>
    </row>
    <row r="636" spans="1:18" ht="19.95" customHeight="1" x14ac:dyDescent="0.4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/>
      <c r="Q636"/>
      <c r="R636"/>
    </row>
    <row r="637" spans="1:18" ht="19.95" customHeight="1" x14ac:dyDescent="0.4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/>
      <c r="Q637"/>
      <c r="R637"/>
    </row>
    <row r="638" spans="1:18" ht="19.95" customHeight="1" x14ac:dyDescent="0.4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/>
      <c r="Q638"/>
      <c r="R638"/>
    </row>
    <row r="639" spans="1:18" ht="19.95" customHeight="1" x14ac:dyDescent="0.4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/>
      <c r="Q639"/>
      <c r="R639"/>
    </row>
    <row r="640" spans="1:18" ht="19.95" customHeight="1" x14ac:dyDescent="0.4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/>
      <c r="Q640"/>
      <c r="R640"/>
    </row>
    <row r="641" spans="1:18" ht="19.95" customHeight="1" x14ac:dyDescent="0.4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/>
      <c r="Q641"/>
      <c r="R641"/>
    </row>
    <row r="642" spans="1:18" ht="19.95" customHeight="1" x14ac:dyDescent="0.4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/>
      <c r="Q642"/>
      <c r="R642"/>
    </row>
    <row r="643" spans="1:18" ht="19.95" customHeight="1" x14ac:dyDescent="0.4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/>
      <c r="Q643"/>
      <c r="R643"/>
    </row>
    <row r="644" spans="1:18" ht="19.95" customHeight="1" x14ac:dyDescent="0.4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/>
      <c r="Q644"/>
      <c r="R644"/>
    </row>
    <row r="645" spans="1:18" ht="19.95" customHeight="1" x14ac:dyDescent="0.4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/>
      <c r="Q645"/>
      <c r="R645"/>
    </row>
    <row r="646" spans="1:18" ht="19.95" customHeight="1" x14ac:dyDescent="0.4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/>
      <c r="Q646"/>
      <c r="R646"/>
    </row>
    <row r="647" spans="1:18" ht="19.95" customHeight="1" x14ac:dyDescent="0.4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/>
      <c r="Q647"/>
      <c r="R647"/>
    </row>
    <row r="648" spans="1:18" ht="19.95" customHeight="1" x14ac:dyDescent="0.4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/>
      <c r="Q648"/>
      <c r="R648"/>
    </row>
    <row r="649" spans="1:18" ht="19.95" customHeight="1" x14ac:dyDescent="0.4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/>
      <c r="Q649"/>
      <c r="R649"/>
    </row>
    <row r="650" spans="1:18" ht="19.95" customHeight="1" x14ac:dyDescent="0.4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/>
      <c r="Q650"/>
      <c r="R650"/>
    </row>
    <row r="651" spans="1:18" ht="19.95" customHeight="1" x14ac:dyDescent="0.4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/>
      <c r="Q651"/>
      <c r="R651"/>
    </row>
    <row r="652" spans="1:18" ht="19.95" customHeight="1" x14ac:dyDescent="0.4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/>
      <c r="Q652"/>
      <c r="R652"/>
    </row>
    <row r="653" spans="1:18" ht="19.95" customHeight="1" x14ac:dyDescent="0.4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/>
      <c r="Q653"/>
      <c r="R653"/>
    </row>
    <row r="654" spans="1:18" ht="19.95" customHeight="1" x14ac:dyDescent="0.4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/>
      <c r="Q654"/>
      <c r="R654"/>
    </row>
    <row r="655" spans="1:18" ht="19.95" customHeight="1" x14ac:dyDescent="0.4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/>
      <c r="Q655"/>
      <c r="R655"/>
    </row>
    <row r="656" spans="1:18" ht="19.95" customHeight="1" x14ac:dyDescent="0.4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/>
      <c r="Q656"/>
      <c r="R656"/>
    </row>
    <row r="657" spans="1:18" ht="19.95" customHeight="1" x14ac:dyDescent="0.4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/>
      <c r="Q657"/>
      <c r="R657"/>
    </row>
    <row r="658" spans="1:18" ht="19.95" customHeight="1" x14ac:dyDescent="0.4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/>
      <c r="Q658"/>
      <c r="R658"/>
    </row>
    <row r="659" spans="1:18" ht="19.95" customHeight="1" x14ac:dyDescent="0.4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/>
      <c r="Q659"/>
      <c r="R659"/>
    </row>
    <row r="660" spans="1:18" ht="19.95" customHeight="1" x14ac:dyDescent="0.4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/>
      <c r="Q660"/>
      <c r="R660"/>
    </row>
    <row r="661" spans="1:18" ht="19.95" customHeight="1" x14ac:dyDescent="0.4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/>
      <c r="Q661"/>
      <c r="R661"/>
    </row>
    <row r="662" spans="1:18" ht="19.95" customHeight="1" x14ac:dyDescent="0.4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/>
      <c r="Q662"/>
      <c r="R662"/>
    </row>
    <row r="663" spans="1:18" ht="19.95" customHeight="1" x14ac:dyDescent="0.4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/>
      <c r="Q663"/>
      <c r="R663"/>
    </row>
    <row r="664" spans="1:18" ht="19.95" customHeight="1" x14ac:dyDescent="0.4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/>
      <c r="Q664"/>
      <c r="R664"/>
    </row>
    <row r="665" spans="1:18" ht="19.95" customHeight="1" x14ac:dyDescent="0.4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/>
      <c r="Q665"/>
      <c r="R665"/>
    </row>
    <row r="666" spans="1:18" ht="19.95" customHeight="1" x14ac:dyDescent="0.4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/>
      <c r="Q666"/>
      <c r="R666"/>
    </row>
    <row r="667" spans="1:18" ht="19.95" customHeight="1" x14ac:dyDescent="0.4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/>
      <c r="Q667"/>
      <c r="R667"/>
    </row>
    <row r="668" spans="1:18" ht="19.95" customHeight="1" x14ac:dyDescent="0.4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/>
      <c r="Q668"/>
      <c r="R668"/>
    </row>
    <row r="669" spans="1:18" ht="19.95" customHeight="1" x14ac:dyDescent="0.4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/>
      <c r="Q669"/>
      <c r="R669"/>
    </row>
    <row r="670" spans="1:18" ht="19.95" customHeight="1" x14ac:dyDescent="0.4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/>
      <c r="Q670"/>
      <c r="R670"/>
    </row>
    <row r="671" spans="1:18" ht="19.95" customHeight="1" x14ac:dyDescent="0.4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/>
      <c r="Q671"/>
      <c r="R671"/>
    </row>
    <row r="672" spans="1:18" ht="19.95" customHeight="1" x14ac:dyDescent="0.4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/>
      <c r="Q672"/>
      <c r="R672"/>
    </row>
    <row r="673" spans="1:18" ht="19.95" customHeight="1" x14ac:dyDescent="0.4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/>
      <c r="Q673"/>
      <c r="R673"/>
    </row>
    <row r="674" spans="1:18" ht="19.95" customHeight="1" x14ac:dyDescent="0.4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/>
      <c r="Q674"/>
      <c r="R674"/>
    </row>
    <row r="675" spans="1:18" ht="19.95" customHeight="1" x14ac:dyDescent="0.4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/>
      <c r="Q675"/>
      <c r="R675"/>
    </row>
    <row r="676" spans="1:18" ht="19.95" customHeight="1" x14ac:dyDescent="0.4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/>
      <c r="Q676"/>
      <c r="R676"/>
    </row>
    <row r="677" spans="1:18" ht="19.95" customHeight="1" x14ac:dyDescent="0.4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/>
      <c r="Q677"/>
      <c r="R677"/>
    </row>
    <row r="678" spans="1:18" ht="19.95" customHeight="1" x14ac:dyDescent="0.4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/>
      <c r="Q678"/>
      <c r="R678"/>
    </row>
    <row r="679" spans="1:18" ht="19.95" customHeight="1" x14ac:dyDescent="0.4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/>
      <c r="Q679"/>
      <c r="R679"/>
    </row>
    <row r="680" spans="1:18" ht="19.95" customHeight="1" x14ac:dyDescent="0.4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/>
      <c r="Q680"/>
      <c r="R680"/>
    </row>
    <row r="681" spans="1:18" ht="19.95" customHeight="1" x14ac:dyDescent="0.4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/>
      <c r="Q681"/>
      <c r="R681"/>
    </row>
    <row r="682" spans="1:18" ht="19.95" customHeight="1" x14ac:dyDescent="0.4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/>
      <c r="Q682"/>
      <c r="R682"/>
    </row>
    <row r="683" spans="1:18" ht="19.95" customHeight="1" x14ac:dyDescent="0.4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/>
      <c r="Q683"/>
      <c r="R683"/>
    </row>
    <row r="684" spans="1:18" ht="19.95" customHeight="1" x14ac:dyDescent="0.4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/>
      <c r="Q684"/>
      <c r="R684"/>
    </row>
    <row r="685" spans="1:18" ht="19.95" customHeight="1" x14ac:dyDescent="0.4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/>
      <c r="Q685"/>
      <c r="R685"/>
    </row>
    <row r="686" spans="1:18" ht="19.95" customHeight="1" x14ac:dyDescent="0.4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/>
      <c r="Q686"/>
      <c r="R686"/>
    </row>
    <row r="687" spans="1:18" ht="19.95" customHeight="1" x14ac:dyDescent="0.4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/>
      <c r="Q687"/>
      <c r="R687"/>
    </row>
    <row r="688" spans="1:18" ht="19.95" customHeight="1" x14ac:dyDescent="0.4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/>
      <c r="Q688"/>
      <c r="R688"/>
    </row>
    <row r="689" spans="1:18" ht="19.95" customHeight="1" x14ac:dyDescent="0.4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/>
      <c r="Q689"/>
      <c r="R689"/>
    </row>
    <row r="690" spans="1:18" ht="19.95" customHeight="1" x14ac:dyDescent="0.4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/>
      <c r="Q690"/>
      <c r="R690"/>
    </row>
    <row r="691" spans="1:18" ht="19.95" customHeight="1" x14ac:dyDescent="0.4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/>
      <c r="Q691"/>
      <c r="R691"/>
    </row>
    <row r="692" spans="1:18" ht="19.95" customHeight="1" x14ac:dyDescent="0.4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/>
      <c r="Q692"/>
      <c r="R692"/>
    </row>
    <row r="693" spans="1:18" ht="19.95" customHeight="1" x14ac:dyDescent="0.4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/>
      <c r="Q693"/>
      <c r="R693"/>
    </row>
    <row r="694" spans="1:18" ht="19.95" customHeight="1" x14ac:dyDescent="0.4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/>
      <c r="Q694"/>
      <c r="R694"/>
    </row>
    <row r="695" spans="1:18" ht="19.95" customHeight="1" x14ac:dyDescent="0.4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/>
      <c r="Q695"/>
      <c r="R695"/>
    </row>
    <row r="696" spans="1:18" ht="19.95" customHeight="1" x14ac:dyDescent="0.4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/>
      <c r="Q696"/>
      <c r="R696"/>
    </row>
    <row r="697" spans="1:18" ht="19.95" customHeight="1" x14ac:dyDescent="0.4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/>
      <c r="Q697"/>
      <c r="R697"/>
    </row>
    <row r="698" spans="1:18" ht="19.95" customHeight="1" x14ac:dyDescent="0.4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/>
      <c r="Q698"/>
      <c r="R698"/>
    </row>
    <row r="699" spans="1:18" ht="19.95" customHeight="1" x14ac:dyDescent="0.4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/>
      <c r="Q699"/>
      <c r="R699"/>
    </row>
    <row r="700" spans="1:18" ht="19.95" customHeight="1" x14ac:dyDescent="0.4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/>
      <c r="Q700"/>
      <c r="R700"/>
    </row>
    <row r="701" spans="1:18" ht="19.95" customHeight="1" x14ac:dyDescent="0.4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/>
      <c r="Q701"/>
      <c r="R701"/>
    </row>
    <row r="702" spans="1:18" ht="19.95" customHeight="1" x14ac:dyDescent="0.4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/>
      <c r="Q702"/>
      <c r="R702"/>
    </row>
    <row r="703" spans="1:18" ht="19.95" customHeight="1" x14ac:dyDescent="0.4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/>
      <c r="Q703"/>
      <c r="R703"/>
    </row>
    <row r="704" spans="1:18" ht="19.95" customHeight="1" x14ac:dyDescent="0.4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/>
      <c r="Q704"/>
      <c r="R704"/>
    </row>
    <row r="705" spans="1:18" ht="19.95" customHeight="1" x14ac:dyDescent="0.4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/>
      <c r="Q705"/>
      <c r="R705"/>
    </row>
    <row r="706" spans="1:18" ht="19.95" customHeight="1" x14ac:dyDescent="0.4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/>
      <c r="Q706"/>
      <c r="R706"/>
    </row>
    <row r="707" spans="1:18" ht="19.95" customHeight="1" x14ac:dyDescent="0.4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/>
      <c r="Q707"/>
      <c r="R707"/>
    </row>
    <row r="708" spans="1:18" ht="19.95" customHeight="1" x14ac:dyDescent="0.4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/>
      <c r="Q708"/>
      <c r="R708"/>
    </row>
    <row r="709" spans="1:18" ht="19.95" customHeight="1" x14ac:dyDescent="0.4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/>
      <c r="Q709"/>
      <c r="R709"/>
    </row>
    <row r="710" spans="1:18" ht="19.95" customHeight="1" x14ac:dyDescent="0.4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/>
      <c r="Q710"/>
      <c r="R710"/>
    </row>
    <row r="711" spans="1:18" ht="19.95" customHeight="1" x14ac:dyDescent="0.4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/>
      <c r="Q711"/>
      <c r="R711"/>
    </row>
    <row r="712" spans="1:18" ht="19.95" customHeight="1" x14ac:dyDescent="0.4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/>
      <c r="Q712"/>
      <c r="R712"/>
    </row>
    <row r="713" spans="1:18" ht="19.95" customHeight="1" x14ac:dyDescent="0.4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/>
      <c r="Q713"/>
      <c r="R713"/>
    </row>
    <row r="714" spans="1:18" ht="19.95" customHeight="1" x14ac:dyDescent="0.4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/>
      <c r="Q714"/>
      <c r="R714"/>
    </row>
    <row r="715" spans="1:18" ht="19.95" customHeight="1" x14ac:dyDescent="0.4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/>
      <c r="Q715"/>
      <c r="R715"/>
    </row>
    <row r="716" spans="1:18" ht="19.95" customHeight="1" x14ac:dyDescent="0.4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/>
      <c r="Q716"/>
      <c r="R716"/>
    </row>
    <row r="717" spans="1:18" ht="19.95" customHeight="1" x14ac:dyDescent="0.4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/>
      <c r="Q717"/>
      <c r="R717"/>
    </row>
    <row r="718" spans="1:18" ht="19.95" customHeight="1" x14ac:dyDescent="0.4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/>
      <c r="Q718"/>
      <c r="R718"/>
    </row>
    <row r="719" spans="1:18" ht="19.95" customHeight="1" x14ac:dyDescent="0.4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/>
      <c r="Q719"/>
      <c r="R719"/>
    </row>
    <row r="720" spans="1:18" ht="19.95" customHeight="1" x14ac:dyDescent="0.4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/>
      <c r="Q720"/>
      <c r="R720"/>
    </row>
    <row r="721" spans="1:18" ht="19.95" customHeight="1" x14ac:dyDescent="0.4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/>
      <c r="Q721"/>
      <c r="R721"/>
    </row>
    <row r="722" spans="1:18" ht="19.95" customHeight="1" x14ac:dyDescent="0.4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/>
      <c r="Q722"/>
      <c r="R722"/>
    </row>
    <row r="723" spans="1:18" ht="19.95" customHeight="1" x14ac:dyDescent="0.4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/>
      <c r="Q723"/>
      <c r="R723"/>
    </row>
    <row r="724" spans="1:18" ht="19.95" customHeight="1" x14ac:dyDescent="0.4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/>
      <c r="Q724"/>
      <c r="R724"/>
    </row>
    <row r="725" spans="1:18" ht="19.95" customHeight="1" x14ac:dyDescent="0.4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/>
      <c r="Q725"/>
      <c r="R725"/>
    </row>
    <row r="726" spans="1:18" ht="19.95" customHeight="1" x14ac:dyDescent="0.4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/>
      <c r="Q726"/>
      <c r="R726"/>
    </row>
    <row r="727" spans="1:18" ht="19.95" customHeight="1" x14ac:dyDescent="0.4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/>
      <c r="Q727"/>
      <c r="R727"/>
    </row>
    <row r="728" spans="1:18" ht="19.95" customHeight="1" x14ac:dyDescent="0.4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/>
      <c r="Q728"/>
      <c r="R728"/>
    </row>
    <row r="729" spans="1:18" ht="19.95" customHeight="1" x14ac:dyDescent="0.4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/>
      <c r="Q729"/>
      <c r="R729"/>
    </row>
    <row r="730" spans="1:18" ht="19.95" customHeight="1" x14ac:dyDescent="0.4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/>
      <c r="Q730"/>
      <c r="R730"/>
    </row>
    <row r="731" spans="1:18" ht="19.95" customHeight="1" x14ac:dyDescent="0.4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/>
      <c r="Q731"/>
      <c r="R731"/>
    </row>
    <row r="732" spans="1:18" ht="19.95" customHeight="1" x14ac:dyDescent="0.4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/>
      <c r="Q732"/>
      <c r="R732"/>
    </row>
    <row r="733" spans="1:18" ht="19.95" customHeight="1" x14ac:dyDescent="0.4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/>
      <c r="Q733"/>
      <c r="R733"/>
    </row>
    <row r="734" spans="1:18" ht="19.95" customHeight="1" x14ac:dyDescent="0.4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/>
      <c r="Q734"/>
      <c r="R734"/>
    </row>
    <row r="735" spans="1:18" ht="19.95" customHeight="1" x14ac:dyDescent="0.4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/>
      <c r="Q735"/>
      <c r="R735"/>
    </row>
    <row r="736" spans="1:18" ht="19.95" customHeight="1" x14ac:dyDescent="0.4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/>
      <c r="Q736"/>
      <c r="R736"/>
    </row>
    <row r="737" spans="1:18" ht="19.95" customHeight="1" x14ac:dyDescent="0.4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/>
      <c r="Q737"/>
      <c r="R737"/>
    </row>
    <row r="738" spans="1:18" ht="19.95" customHeight="1" x14ac:dyDescent="0.4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/>
      <c r="Q738"/>
      <c r="R738"/>
    </row>
    <row r="739" spans="1:18" ht="19.95" customHeight="1" x14ac:dyDescent="0.4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/>
      <c r="Q739"/>
      <c r="R739"/>
    </row>
    <row r="740" spans="1:18" ht="19.95" customHeight="1" x14ac:dyDescent="0.4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/>
      <c r="Q740"/>
      <c r="R740"/>
    </row>
    <row r="741" spans="1:18" ht="19.95" customHeight="1" x14ac:dyDescent="0.4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/>
      <c r="Q741"/>
      <c r="R741"/>
    </row>
    <row r="742" spans="1:18" ht="19.95" customHeight="1" x14ac:dyDescent="0.4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/>
      <c r="Q742"/>
      <c r="R742"/>
    </row>
    <row r="743" spans="1:18" ht="19.95" customHeight="1" x14ac:dyDescent="0.4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/>
      <c r="Q743"/>
      <c r="R743"/>
    </row>
    <row r="744" spans="1:18" ht="19.95" customHeight="1" x14ac:dyDescent="0.4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/>
      <c r="Q744"/>
      <c r="R744"/>
    </row>
    <row r="745" spans="1:18" ht="19.95" customHeight="1" x14ac:dyDescent="0.4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/>
      <c r="Q745"/>
      <c r="R745"/>
    </row>
    <row r="746" spans="1:18" ht="19.95" customHeight="1" x14ac:dyDescent="0.4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/>
      <c r="Q746"/>
      <c r="R746"/>
    </row>
    <row r="747" spans="1:18" ht="19.95" customHeight="1" x14ac:dyDescent="0.4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/>
      <c r="Q747"/>
      <c r="R747"/>
    </row>
    <row r="748" spans="1:18" ht="19.95" customHeight="1" x14ac:dyDescent="0.4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/>
      <c r="Q748"/>
      <c r="R748"/>
    </row>
    <row r="749" spans="1:18" ht="19.95" customHeight="1" x14ac:dyDescent="0.4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/>
      <c r="Q749"/>
      <c r="R749"/>
    </row>
    <row r="750" spans="1:18" ht="19.95" customHeight="1" x14ac:dyDescent="0.4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/>
      <c r="Q750"/>
      <c r="R750"/>
    </row>
    <row r="751" spans="1:18" ht="19.95" customHeight="1" x14ac:dyDescent="0.4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/>
      <c r="Q751"/>
      <c r="R751"/>
    </row>
    <row r="752" spans="1:18" ht="19.95" customHeight="1" x14ac:dyDescent="0.4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/>
      <c r="Q752"/>
      <c r="R752"/>
    </row>
    <row r="753" spans="1:18" ht="19.95" customHeight="1" x14ac:dyDescent="0.4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/>
      <c r="Q753"/>
      <c r="R753"/>
    </row>
    <row r="754" spans="1:18" ht="19.95" customHeight="1" x14ac:dyDescent="0.4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/>
      <c r="Q754"/>
      <c r="R754"/>
    </row>
    <row r="755" spans="1:18" ht="19.95" customHeight="1" x14ac:dyDescent="0.4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/>
      <c r="Q755"/>
      <c r="R755"/>
    </row>
    <row r="756" spans="1:18" ht="19.95" customHeight="1" x14ac:dyDescent="0.4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/>
      <c r="Q756"/>
      <c r="R756"/>
    </row>
    <row r="757" spans="1:18" ht="19.95" customHeight="1" x14ac:dyDescent="0.4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/>
      <c r="Q757"/>
      <c r="R757"/>
    </row>
    <row r="758" spans="1:18" ht="19.95" customHeight="1" x14ac:dyDescent="0.4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/>
      <c r="Q758"/>
      <c r="R758"/>
    </row>
    <row r="759" spans="1:18" ht="19.95" customHeight="1" x14ac:dyDescent="0.4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/>
      <c r="Q759"/>
      <c r="R759"/>
    </row>
    <row r="760" spans="1:18" ht="19.95" customHeight="1" x14ac:dyDescent="0.4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/>
      <c r="Q760"/>
      <c r="R760"/>
    </row>
    <row r="761" spans="1:18" ht="19.95" customHeight="1" x14ac:dyDescent="0.4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/>
      <c r="Q761"/>
      <c r="R761"/>
    </row>
    <row r="762" spans="1:18" ht="19.95" customHeight="1" x14ac:dyDescent="0.4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/>
      <c r="Q762"/>
      <c r="R762"/>
    </row>
    <row r="763" spans="1:18" ht="19.95" customHeight="1" x14ac:dyDescent="0.4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/>
      <c r="Q763"/>
      <c r="R763"/>
    </row>
    <row r="764" spans="1:18" ht="19.95" customHeight="1" x14ac:dyDescent="0.4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/>
      <c r="Q764"/>
      <c r="R764"/>
    </row>
    <row r="765" spans="1:18" ht="19.95" customHeight="1" x14ac:dyDescent="0.4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/>
      <c r="Q765"/>
      <c r="R765"/>
    </row>
    <row r="766" spans="1:18" ht="19.95" customHeight="1" x14ac:dyDescent="0.4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/>
      <c r="Q766"/>
      <c r="R766"/>
    </row>
    <row r="767" spans="1:18" ht="19.95" customHeight="1" x14ac:dyDescent="0.4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/>
      <c r="Q767"/>
      <c r="R767"/>
    </row>
    <row r="768" spans="1:18" ht="19.95" customHeight="1" x14ac:dyDescent="0.4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/>
      <c r="Q768"/>
      <c r="R768"/>
    </row>
    <row r="769" spans="1:18" ht="19.95" customHeight="1" x14ac:dyDescent="0.4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/>
      <c r="Q769"/>
      <c r="R769"/>
    </row>
    <row r="770" spans="1:18" ht="19.95" customHeight="1" x14ac:dyDescent="0.4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/>
      <c r="Q770"/>
      <c r="R770"/>
    </row>
    <row r="771" spans="1:18" ht="19.95" customHeight="1" x14ac:dyDescent="0.4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/>
      <c r="Q771"/>
      <c r="R771"/>
    </row>
    <row r="772" spans="1:18" ht="19.95" customHeight="1" x14ac:dyDescent="0.4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/>
      <c r="Q772"/>
      <c r="R772"/>
    </row>
    <row r="773" spans="1:18" ht="19.95" customHeight="1" x14ac:dyDescent="0.4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/>
      <c r="Q773"/>
      <c r="R773"/>
    </row>
    <row r="774" spans="1:18" ht="19.95" customHeight="1" x14ac:dyDescent="0.4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/>
      <c r="Q774"/>
      <c r="R774"/>
    </row>
    <row r="775" spans="1:18" ht="19.95" customHeight="1" x14ac:dyDescent="0.4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/>
      <c r="Q775"/>
      <c r="R775"/>
    </row>
    <row r="776" spans="1:18" ht="19.95" customHeight="1" x14ac:dyDescent="0.4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/>
      <c r="Q776"/>
      <c r="R776"/>
    </row>
    <row r="777" spans="1:18" ht="19.95" customHeight="1" x14ac:dyDescent="0.4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/>
      <c r="Q777"/>
      <c r="R777"/>
    </row>
    <row r="778" spans="1:18" ht="19.95" customHeight="1" x14ac:dyDescent="0.4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/>
      <c r="Q778"/>
      <c r="R778"/>
    </row>
    <row r="779" spans="1:18" ht="19.95" customHeight="1" x14ac:dyDescent="0.4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/>
      <c r="Q779"/>
      <c r="R779"/>
    </row>
    <row r="780" spans="1:18" ht="19.95" customHeight="1" x14ac:dyDescent="0.4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/>
      <c r="Q780"/>
      <c r="R780"/>
    </row>
    <row r="781" spans="1:18" ht="19.95" customHeight="1" x14ac:dyDescent="0.4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/>
      <c r="Q781"/>
      <c r="R781"/>
    </row>
    <row r="782" spans="1:18" ht="19.95" customHeight="1" x14ac:dyDescent="0.4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/>
      <c r="Q782"/>
      <c r="R782"/>
    </row>
    <row r="783" spans="1:18" ht="19.95" customHeight="1" x14ac:dyDescent="0.4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/>
      <c r="Q783"/>
      <c r="R783"/>
    </row>
    <row r="784" spans="1:18" ht="19.95" customHeight="1" x14ac:dyDescent="0.4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/>
      <c r="Q784"/>
      <c r="R784"/>
    </row>
    <row r="785" spans="1:18" ht="19.95" customHeight="1" x14ac:dyDescent="0.4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/>
      <c r="Q785"/>
      <c r="R785"/>
    </row>
    <row r="786" spans="1:18" ht="19.95" customHeight="1" x14ac:dyDescent="0.4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/>
      <c r="Q786"/>
      <c r="R786"/>
    </row>
    <row r="787" spans="1:18" ht="19.95" customHeight="1" x14ac:dyDescent="0.4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/>
      <c r="Q787"/>
      <c r="R787"/>
    </row>
    <row r="788" spans="1:18" ht="19.95" customHeight="1" x14ac:dyDescent="0.4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/>
      <c r="Q788"/>
      <c r="R788"/>
    </row>
    <row r="789" spans="1:18" ht="19.95" customHeight="1" x14ac:dyDescent="0.4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/>
      <c r="Q789"/>
      <c r="R789"/>
    </row>
    <row r="790" spans="1:18" ht="19.95" customHeight="1" x14ac:dyDescent="0.4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/>
      <c r="Q790"/>
      <c r="R790"/>
    </row>
    <row r="791" spans="1:18" ht="19.95" customHeight="1" x14ac:dyDescent="0.4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/>
      <c r="Q791"/>
      <c r="R791"/>
    </row>
    <row r="792" spans="1:18" ht="19.95" customHeight="1" x14ac:dyDescent="0.4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/>
      <c r="Q792"/>
      <c r="R792"/>
    </row>
    <row r="793" spans="1:18" ht="19.95" customHeight="1" x14ac:dyDescent="0.4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/>
      <c r="Q793"/>
      <c r="R793"/>
    </row>
    <row r="794" spans="1:18" ht="19.95" customHeight="1" x14ac:dyDescent="0.4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/>
      <c r="Q794"/>
      <c r="R794"/>
    </row>
    <row r="795" spans="1:18" ht="19.95" customHeight="1" x14ac:dyDescent="0.4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/>
      <c r="Q795"/>
      <c r="R795"/>
    </row>
    <row r="796" spans="1:18" ht="19.95" customHeight="1" x14ac:dyDescent="0.4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/>
      <c r="Q796"/>
      <c r="R796"/>
    </row>
    <row r="797" spans="1:18" ht="19.95" customHeight="1" x14ac:dyDescent="0.4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/>
      <c r="Q797"/>
      <c r="R797"/>
    </row>
    <row r="798" spans="1:18" ht="19.95" customHeight="1" x14ac:dyDescent="0.4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/>
      <c r="Q798"/>
      <c r="R798"/>
    </row>
    <row r="799" spans="1:18" ht="19.95" customHeight="1" x14ac:dyDescent="0.4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/>
      <c r="Q799"/>
      <c r="R799"/>
    </row>
    <row r="800" spans="1:18" ht="19.95" customHeight="1" x14ac:dyDescent="0.4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/>
      <c r="Q800"/>
      <c r="R800"/>
    </row>
    <row r="801" spans="1:18" ht="19.95" customHeight="1" x14ac:dyDescent="0.4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/>
      <c r="Q801"/>
      <c r="R801"/>
    </row>
    <row r="802" spans="1:18" ht="19.95" customHeight="1" x14ac:dyDescent="0.4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/>
      <c r="Q802"/>
      <c r="R802"/>
    </row>
    <row r="803" spans="1:18" ht="19.95" customHeight="1" x14ac:dyDescent="0.4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/>
      <c r="Q803"/>
      <c r="R803"/>
    </row>
    <row r="804" spans="1:18" ht="19.95" customHeight="1" x14ac:dyDescent="0.4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/>
      <c r="Q804"/>
      <c r="R804"/>
    </row>
    <row r="805" spans="1:18" ht="19.95" customHeight="1" x14ac:dyDescent="0.4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/>
      <c r="Q805"/>
      <c r="R805"/>
    </row>
    <row r="806" spans="1:18" ht="19.95" customHeight="1" x14ac:dyDescent="0.4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/>
      <c r="Q806"/>
      <c r="R806"/>
    </row>
    <row r="807" spans="1:18" ht="19.95" customHeight="1" x14ac:dyDescent="0.4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/>
      <c r="Q807"/>
      <c r="R807"/>
    </row>
    <row r="808" spans="1:18" ht="19.95" customHeight="1" x14ac:dyDescent="0.4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/>
      <c r="Q808"/>
      <c r="R808"/>
    </row>
    <row r="809" spans="1:18" ht="19.95" customHeight="1" x14ac:dyDescent="0.4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/>
      <c r="Q809"/>
      <c r="R809"/>
    </row>
    <row r="810" spans="1:18" ht="19.95" customHeight="1" x14ac:dyDescent="0.4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/>
      <c r="Q810"/>
      <c r="R810"/>
    </row>
    <row r="811" spans="1:18" ht="19.95" customHeight="1" x14ac:dyDescent="0.4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/>
      <c r="Q811"/>
      <c r="R811"/>
    </row>
    <row r="812" spans="1:18" ht="19.95" customHeight="1" x14ac:dyDescent="0.4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/>
      <c r="Q812"/>
      <c r="R812"/>
    </row>
    <row r="813" spans="1:18" ht="19.95" customHeight="1" x14ac:dyDescent="0.4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/>
      <c r="Q813"/>
      <c r="R813"/>
    </row>
    <row r="814" spans="1:18" ht="19.95" customHeight="1" x14ac:dyDescent="0.4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/>
      <c r="Q814"/>
      <c r="R814"/>
    </row>
    <row r="815" spans="1:18" ht="19.95" customHeight="1" x14ac:dyDescent="0.4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/>
      <c r="Q815"/>
      <c r="R815"/>
    </row>
    <row r="816" spans="1:18" ht="19.95" customHeight="1" x14ac:dyDescent="0.4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/>
      <c r="Q816"/>
      <c r="R816"/>
    </row>
    <row r="817" spans="1:18" ht="19.95" customHeight="1" x14ac:dyDescent="0.4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/>
      <c r="Q817"/>
      <c r="R817"/>
    </row>
    <row r="818" spans="1:18" ht="19.95" customHeight="1" x14ac:dyDescent="0.4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/>
      <c r="Q818"/>
      <c r="R818"/>
    </row>
    <row r="819" spans="1:18" ht="19.95" customHeight="1" x14ac:dyDescent="0.4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/>
      <c r="Q819"/>
      <c r="R819"/>
    </row>
    <row r="820" spans="1:18" ht="19.95" customHeight="1" x14ac:dyDescent="0.4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/>
      <c r="Q820"/>
      <c r="R820"/>
    </row>
    <row r="821" spans="1:18" ht="19.95" customHeight="1" x14ac:dyDescent="0.4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/>
      <c r="Q821"/>
      <c r="R821"/>
    </row>
    <row r="822" spans="1:18" ht="19.95" customHeight="1" x14ac:dyDescent="0.4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/>
      <c r="Q822"/>
      <c r="R822"/>
    </row>
    <row r="823" spans="1:18" ht="19.95" customHeight="1" x14ac:dyDescent="0.4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/>
      <c r="Q823"/>
      <c r="R823"/>
    </row>
    <row r="824" spans="1:18" ht="19.95" customHeight="1" x14ac:dyDescent="0.4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/>
      <c r="Q824"/>
      <c r="R824"/>
    </row>
    <row r="825" spans="1:18" ht="19.95" customHeight="1" x14ac:dyDescent="0.4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/>
      <c r="Q825"/>
      <c r="R825"/>
    </row>
    <row r="826" spans="1:18" ht="19.95" customHeight="1" x14ac:dyDescent="0.4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/>
      <c r="Q826"/>
      <c r="R826"/>
    </row>
    <row r="827" spans="1:18" ht="19.95" customHeight="1" x14ac:dyDescent="0.4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/>
      <c r="Q827"/>
      <c r="R827"/>
    </row>
    <row r="828" spans="1:18" ht="19.95" customHeight="1" x14ac:dyDescent="0.4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/>
      <c r="Q828"/>
      <c r="R828"/>
    </row>
    <row r="829" spans="1:18" ht="19.95" customHeight="1" x14ac:dyDescent="0.4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/>
      <c r="Q829"/>
      <c r="R829"/>
    </row>
    <row r="830" spans="1:18" ht="19.95" customHeight="1" x14ac:dyDescent="0.4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/>
      <c r="Q830"/>
      <c r="R830"/>
    </row>
    <row r="831" spans="1:18" ht="19.95" customHeight="1" x14ac:dyDescent="0.4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/>
      <c r="Q831"/>
      <c r="R831"/>
    </row>
    <row r="832" spans="1:18" ht="19.95" customHeight="1" x14ac:dyDescent="0.4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/>
      <c r="Q832"/>
      <c r="R832"/>
    </row>
    <row r="833" spans="1:18" ht="19.95" customHeight="1" x14ac:dyDescent="0.4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/>
      <c r="Q833"/>
      <c r="R833"/>
    </row>
    <row r="834" spans="1:18" ht="19.95" customHeight="1" x14ac:dyDescent="0.4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/>
      <c r="Q834"/>
      <c r="R834"/>
    </row>
    <row r="835" spans="1:18" ht="19.95" customHeight="1" x14ac:dyDescent="0.4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/>
      <c r="Q835"/>
      <c r="R835"/>
    </row>
    <row r="836" spans="1:18" ht="19.95" customHeight="1" x14ac:dyDescent="0.4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/>
      <c r="Q836"/>
      <c r="R836"/>
    </row>
    <row r="837" spans="1:18" ht="19.95" customHeight="1" x14ac:dyDescent="0.4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/>
      <c r="Q837"/>
      <c r="R837"/>
    </row>
    <row r="838" spans="1:18" ht="19.95" customHeight="1" x14ac:dyDescent="0.4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/>
      <c r="Q838"/>
      <c r="R838"/>
    </row>
    <row r="839" spans="1:18" ht="19.95" customHeight="1" x14ac:dyDescent="0.4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/>
      <c r="Q839"/>
      <c r="R839"/>
    </row>
    <row r="840" spans="1:18" ht="19.95" customHeight="1" x14ac:dyDescent="0.4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/>
      <c r="Q840"/>
      <c r="R840"/>
    </row>
    <row r="841" spans="1:18" ht="19.95" customHeight="1" x14ac:dyDescent="0.4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/>
      <c r="Q841"/>
      <c r="R841"/>
    </row>
    <row r="842" spans="1:18" ht="19.95" customHeight="1" x14ac:dyDescent="0.4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/>
      <c r="Q842"/>
      <c r="R842"/>
    </row>
    <row r="843" spans="1:18" ht="19.95" customHeight="1" x14ac:dyDescent="0.4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/>
      <c r="Q843"/>
      <c r="R843"/>
    </row>
    <row r="844" spans="1:18" ht="19.95" customHeight="1" x14ac:dyDescent="0.4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/>
      <c r="Q844"/>
      <c r="R844"/>
    </row>
    <row r="845" spans="1:18" ht="19.95" customHeight="1" x14ac:dyDescent="0.4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/>
      <c r="Q845"/>
      <c r="R845"/>
    </row>
    <row r="846" spans="1:18" ht="19.95" customHeight="1" x14ac:dyDescent="0.4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/>
      <c r="Q846"/>
      <c r="R846"/>
    </row>
    <row r="847" spans="1:18" ht="19.95" customHeight="1" x14ac:dyDescent="0.4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/>
      <c r="Q847"/>
      <c r="R847"/>
    </row>
    <row r="848" spans="1:18" ht="19.95" customHeight="1" x14ac:dyDescent="0.4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/>
      <c r="Q848"/>
      <c r="R848"/>
    </row>
    <row r="849" spans="1:18" ht="19.95" customHeight="1" x14ac:dyDescent="0.4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/>
      <c r="Q849"/>
      <c r="R849"/>
    </row>
    <row r="850" spans="1:18" ht="19.95" customHeight="1" x14ac:dyDescent="0.4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/>
      <c r="Q850"/>
      <c r="R850"/>
    </row>
    <row r="851" spans="1:18" ht="19.95" customHeight="1" x14ac:dyDescent="0.4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/>
      <c r="Q851"/>
      <c r="R851"/>
    </row>
    <row r="852" spans="1:18" ht="19.95" customHeight="1" x14ac:dyDescent="0.4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/>
      <c r="Q852"/>
      <c r="R852"/>
    </row>
    <row r="853" spans="1:18" ht="19.95" customHeight="1" x14ac:dyDescent="0.4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/>
      <c r="Q853"/>
      <c r="R853"/>
    </row>
    <row r="854" spans="1:18" ht="19.95" customHeight="1" x14ac:dyDescent="0.4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/>
      <c r="Q854"/>
      <c r="R854"/>
    </row>
    <row r="855" spans="1:18" ht="19.95" customHeight="1" x14ac:dyDescent="0.4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/>
      <c r="Q855"/>
      <c r="R855"/>
    </row>
    <row r="856" spans="1:18" ht="19.95" customHeight="1" x14ac:dyDescent="0.4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/>
      <c r="Q856"/>
      <c r="R856"/>
    </row>
    <row r="857" spans="1:18" ht="19.95" customHeight="1" x14ac:dyDescent="0.4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/>
      <c r="Q857"/>
      <c r="R857"/>
    </row>
    <row r="858" spans="1:18" ht="19.95" customHeight="1" x14ac:dyDescent="0.4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/>
      <c r="Q858"/>
      <c r="R858"/>
    </row>
    <row r="859" spans="1:18" ht="19.95" customHeight="1" x14ac:dyDescent="0.4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/>
      <c r="Q859"/>
      <c r="R859"/>
    </row>
    <row r="860" spans="1:18" ht="19.95" customHeight="1" x14ac:dyDescent="0.4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/>
      <c r="Q860"/>
      <c r="R860"/>
    </row>
    <row r="861" spans="1:18" ht="19.95" customHeight="1" x14ac:dyDescent="0.4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/>
      <c r="Q861"/>
      <c r="R861"/>
    </row>
    <row r="862" spans="1:18" ht="19.95" customHeight="1" x14ac:dyDescent="0.4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/>
      <c r="Q862"/>
      <c r="R862"/>
    </row>
    <row r="863" spans="1:18" ht="19.95" customHeight="1" x14ac:dyDescent="0.4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/>
      <c r="Q863"/>
      <c r="R863"/>
    </row>
    <row r="864" spans="1:18" ht="19.95" customHeight="1" x14ac:dyDescent="0.4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/>
      <c r="Q864"/>
      <c r="R864"/>
    </row>
    <row r="865" spans="1:18" ht="19.95" customHeight="1" x14ac:dyDescent="0.4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/>
      <c r="Q865"/>
      <c r="R865"/>
    </row>
    <row r="866" spans="1:18" ht="19.95" customHeight="1" x14ac:dyDescent="0.4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/>
      <c r="Q866"/>
      <c r="R866"/>
    </row>
    <row r="867" spans="1:18" ht="19.95" customHeight="1" x14ac:dyDescent="0.4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/>
      <c r="Q867"/>
      <c r="R867"/>
    </row>
    <row r="868" spans="1:18" ht="19.95" customHeight="1" x14ac:dyDescent="0.4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/>
      <c r="Q868"/>
      <c r="R868"/>
    </row>
    <row r="869" spans="1:18" ht="19.95" customHeight="1" x14ac:dyDescent="0.4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/>
      <c r="Q869"/>
      <c r="R869"/>
    </row>
    <row r="870" spans="1:18" ht="19.95" customHeight="1" x14ac:dyDescent="0.4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/>
      <c r="Q870"/>
      <c r="R870"/>
    </row>
    <row r="871" spans="1:18" ht="19.95" customHeight="1" x14ac:dyDescent="0.4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/>
      <c r="Q871"/>
      <c r="R871"/>
    </row>
    <row r="872" spans="1:18" ht="19.95" customHeight="1" x14ac:dyDescent="0.4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/>
      <c r="Q872"/>
      <c r="R872"/>
    </row>
    <row r="873" spans="1:18" ht="19.95" customHeight="1" x14ac:dyDescent="0.4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/>
      <c r="Q873"/>
      <c r="R873"/>
    </row>
    <row r="874" spans="1:18" ht="19.95" customHeight="1" x14ac:dyDescent="0.4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/>
      <c r="Q874"/>
      <c r="R874"/>
    </row>
    <row r="875" spans="1:18" ht="19.95" customHeight="1" x14ac:dyDescent="0.4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/>
      <c r="Q875"/>
      <c r="R875"/>
    </row>
    <row r="876" spans="1:18" ht="19.95" customHeight="1" x14ac:dyDescent="0.4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/>
      <c r="Q876"/>
      <c r="R876"/>
    </row>
    <row r="877" spans="1:18" ht="19.95" customHeight="1" x14ac:dyDescent="0.4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/>
      <c r="Q877"/>
      <c r="R877"/>
    </row>
    <row r="878" spans="1:18" ht="19.95" customHeight="1" x14ac:dyDescent="0.4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/>
      <c r="Q878"/>
      <c r="R878"/>
    </row>
    <row r="879" spans="1:18" ht="19.95" customHeight="1" x14ac:dyDescent="0.4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/>
      <c r="Q879"/>
      <c r="R879"/>
    </row>
    <row r="880" spans="1:18" ht="19.95" customHeight="1" x14ac:dyDescent="0.4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/>
      <c r="Q880"/>
      <c r="R880"/>
    </row>
    <row r="881" spans="1:18" ht="19.95" customHeight="1" x14ac:dyDescent="0.4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/>
      <c r="Q881"/>
      <c r="R881"/>
    </row>
    <row r="882" spans="1:18" ht="19.95" customHeight="1" x14ac:dyDescent="0.4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/>
      <c r="Q882"/>
      <c r="R882"/>
    </row>
    <row r="883" spans="1:18" ht="19.95" customHeight="1" x14ac:dyDescent="0.4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/>
      <c r="Q883"/>
      <c r="R883"/>
    </row>
    <row r="884" spans="1:18" ht="19.95" customHeight="1" x14ac:dyDescent="0.4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/>
      <c r="Q884"/>
      <c r="R884"/>
    </row>
    <row r="885" spans="1:18" ht="19.95" customHeight="1" x14ac:dyDescent="0.4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/>
      <c r="Q885"/>
      <c r="R885"/>
    </row>
    <row r="886" spans="1:18" ht="19.95" customHeight="1" x14ac:dyDescent="0.4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/>
      <c r="Q886"/>
      <c r="R886"/>
    </row>
    <row r="887" spans="1:18" ht="19.95" customHeight="1" x14ac:dyDescent="0.4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/>
      <c r="Q887"/>
      <c r="R887"/>
    </row>
    <row r="888" spans="1:18" ht="19.95" customHeight="1" x14ac:dyDescent="0.4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/>
      <c r="Q888"/>
      <c r="R888"/>
    </row>
    <row r="889" spans="1:18" ht="19.95" customHeight="1" x14ac:dyDescent="0.4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/>
      <c r="Q889"/>
      <c r="R889"/>
    </row>
    <row r="890" spans="1:18" ht="19.95" customHeight="1" x14ac:dyDescent="0.4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/>
      <c r="Q890"/>
      <c r="R890"/>
    </row>
    <row r="891" spans="1:18" ht="19.95" customHeight="1" x14ac:dyDescent="0.4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/>
      <c r="Q891"/>
      <c r="R891"/>
    </row>
    <row r="892" spans="1:18" ht="19.95" customHeight="1" x14ac:dyDescent="0.4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/>
      <c r="Q892"/>
      <c r="R892"/>
    </row>
    <row r="893" spans="1:18" ht="19.95" customHeight="1" x14ac:dyDescent="0.4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/>
      <c r="Q893"/>
      <c r="R893"/>
    </row>
    <row r="894" spans="1:18" ht="19.95" customHeight="1" x14ac:dyDescent="0.4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/>
      <c r="Q894"/>
      <c r="R894"/>
    </row>
    <row r="895" spans="1:18" ht="19.95" customHeight="1" x14ac:dyDescent="0.4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/>
      <c r="Q895"/>
      <c r="R895"/>
    </row>
    <row r="896" spans="1:18" ht="19.95" customHeight="1" x14ac:dyDescent="0.4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/>
      <c r="Q896"/>
      <c r="R896"/>
    </row>
    <row r="897" spans="1:18" ht="19.95" customHeight="1" x14ac:dyDescent="0.4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/>
      <c r="Q897"/>
      <c r="R897"/>
    </row>
    <row r="898" spans="1:18" ht="19.95" customHeight="1" x14ac:dyDescent="0.4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/>
      <c r="Q898"/>
      <c r="R898"/>
    </row>
    <row r="899" spans="1:18" ht="19.95" customHeight="1" x14ac:dyDescent="0.4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/>
      <c r="Q899"/>
      <c r="R899"/>
    </row>
    <row r="900" spans="1:18" ht="19.95" customHeight="1" x14ac:dyDescent="0.4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/>
      <c r="Q900"/>
      <c r="R900"/>
    </row>
    <row r="901" spans="1:18" ht="19.95" customHeight="1" x14ac:dyDescent="0.4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/>
      <c r="Q901"/>
      <c r="R901"/>
    </row>
    <row r="902" spans="1:18" ht="19.95" customHeight="1" x14ac:dyDescent="0.4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/>
      <c r="Q902"/>
      <c r="R902"/>
    </row>
    <row r="903" spans="1:18" ht="19.95" customHeight="1" x14ac:dyDescent="0.4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/>
      <c r="Q903"/>
      <c r="R903"/>
    </row>
    <row r="904" spans="1:18" ht="19.95" customHeight="1" x14ac:dyDescent="0.4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/>
      <c r="Q904"/>
      <c r="R904"/>
    </row>
    <row r="905" spans="1:18" ht="19.95" customHeight="1" x14ac:dyDescent="0.4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/>
      <c r="Q905"/>
      <c r="R905"/>
    </row>
    <row r="906" spans="1:18" ht="19.95" customHeight="1" x14ac:dyDescent="0.4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/>
      <c r="Q906"/>
      <c r="R906"/>
    </row>
    <row r="907" spans="1:18" ht="19.95" customHeight="1" x14ac:dyDescent="0.4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/>
      <c r="Q907"/>
      <c r="R907"/>
    </row>
    <row r="908" spans="1:18" ht="19.95" customHeight="1" x14ac:dyDescent="0.4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/>
      <c r="Q908"/>
      <c r="R908"/>
    </row>
    <row r="909" spans="1:18" ht="19.95" customHeight="1" x14ac:dyDescent="0.4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/>
      <c r="Q909"/>
      <c r="R909"/>
    </row>
    <row r="910" spans="1:18" ht="19.95" customHeight="1" x14ac:dyDescent="0.4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/>
      <c r="Q910"/>
      <c r="R910"/>
    </row>
    <row r="911" spans="1:18" ht="19.95" customHeight="1" x14ac:dyDescent="0.4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/>
      <c r="Q911"/>
      <c r="R911"/>
    </row>
    <row r="912" spans="1:18" ht="19.95" customHeight="1" x14ac:dyDescent="0.4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/>
      <c r="Q912"/>
      <c r="R912"/>
    </row>
    <row r="913" spans="1:18" ht="19.95" customHeight="1" x14ac:dyDescent="0.4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/>
      <c r="Q913"/>
      <c r="R913"/>
    </row>
    <row r="914" spans="1:18" ht="19.95" customHeight="1" x14ac:dyDescent="0.4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/>
      <c r="Q914"/>
      <c r="R914"/>
    </row>
    <row r="915" spans="1:18" ht="19.95" customHeight="1" x14ac:dyDescent="0.4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/>
      <c r="Q915"/>
      <c r="R915"/>
    </row>
    <row r="916" spans="1:18" ht="19.95" customHeight="1" x14ac:dyDescent="0.4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/>
      <c r="Q916"/>
      <c r="R916"/>
    </row>
    <row r="917" spans="1:18" ht="19.95" customHeight="1" x14ac:dyDescent="0.4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/>
      <c r="Q917"/>
      <c r="R917"/>
    </row>
    <row r="918" spans="1:18" ht="19.95" customHeight="1" x14ac:dyDescent="0.4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/>
      <c r="Q918"/>
      <c r="R918"/>
    </row>
    <row r="919" spans="1:18" ht="19.95" customHeight="1" x14ac:dyDescent="0.4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/>
      <c r="Q919"/>
      <c r="R919"/>
    </row>
    <row r="920" spans="1:18" ht="19.95" customHeight="1" x14ac:dyDescent="0.4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/>
      <c r="Q920"/>
      <c r="R920"/>
    </row>
    <row r="921" spans="1:18" ht="19.95" customHeight="1" x14ac:dyDescent="0.4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/>
      <c r="Q921"/>
      <c r="R921"/>
    </row>
    <row r="922" spans="1:18" ht="19.95" customHeight="1" x14ac:dyDescent="0.4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/>
      <c r="Q922"/>
      <c r="R922"/>
    </row>
    <row r="923" spans="1:18" ht="19.95" customHeight="1" x14ac:dyDescent="0.4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/>
      <c r="Q923"/>
      <c r="R923"/>
    </row>
    <row r="924" spans="1:18" ht="19.95" customHeight="1" x14ac:dyDescent="0.4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/>
      <c r="Q924"/>
      <c r="R924"/>
    </row>
    <row r="925" spans="1:18" ht="19.95" customHeight="1" x14ac:dyDescent="0.4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/>
      <c r="Q925"/>
      <c r="R925"/>
    </row>
    <row r="926" spans="1:18" ht="19.95" customHeight="1" x14ac:dyDescent="0.4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/>
      <c r="Q926"/>
      <c r="R926"/>
    </row>
    <row r="927" spans="1:18" ht="19.95" customHeight="1" x14ac:dyDescent="0.4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/>
      <c r="Q927"/>
      <c r="R927"/>
    </row>
    <row r="928" spans="1:18" ht="19.95" customHeight="1" x14ac:dyDescent="0.4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/>
      <c r="Q928"/>
      <c r="R928"/>
    </row>
    <row r="929" spans="1:18" ht="19.95" customHeight="1" x14ac:dyDescent="0.4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/>
      <c r="Q929"/>
      <c r="R929"/>
    </row>
    <row r="930" spans="1:18" ht="19.95" customHeight="1" x14ac:dyDescent="0.4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/>
      <c r="Q930"/>
      <c r="R930"/>
    </row>
    <row r="931" spans="1:18" ht="19.95" customHeight="1" x14ac:dyDescent="0.4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/>
      <c r="Q931"/>
      <c r="R931"/>
    </row>
    <row r="932" spans="1:18" ht="19.95" customHeight="1" x14ac:dyDescent="0.4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/>
      <c r="Q932"/>
      <c r="R932"/>
    </row>
    <row r="933" spans="1:18" ht="19.95" customHeight="1" x14ac:dyDescent="0.4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/>
      <c r="Q933"/>
      <c r="R933"/>
    </row>
    <row r="934" spans="1:18" ht="19.95" customHeight="1" x14ac:dyDescent="0.4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/>
      <c r="Q934"/>
      <c r="R934"/>
    </row>
    <row r="935" spans="1:18" ht="19.95" customHeight="1" x14ac:dyDescent="0.4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/>
      <c r="Q935"/>
      <c r="R935"/>
    </row>
    <row r="936" spans="1:18" ht="19.95" customHeight="1" x14ac:dyDescent="0.4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/>
      <c r="Q936"/>
      <c r="R936"/>
    </row>
    <row r="937" spans="1:18" ht="19.95" customHeight="1" x14ac:dyDescent="0.4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/>
      <c r="Q937"/>
      <c r="R937"/>
    </row>
    <row r="938" spans="1:18" ht="19.95" customHeight="1" x14ac:dyDescent="0.4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/>
      <c r="Q938"/>
      <c r="R938"/>
    </row>
    <row r="939" spans="1:18" ht="19.95" customHeight="1" x14ac:dyDescent="0.4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/>
      <c r="Q939"/>
      <c r="R939"/>
    </row>
    <row r="940" spans="1:18" ht="19.95" customHeight="1" x14ac:dyDescent="0.4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20"/>
      <c r="Q940"/>
      <c r="R940"/>
    </row>
    <row r="941" spans="1:18" ht="19.95" customHeight="1" x14ac:dyDescent="0.4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/>
      <c r="Q941"/>
      <c r="R941"/>
    </row>
    <row r="942" spans="1:18" ht="19.95" customHeight="1" x14ac:dyDescent="0.4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/>
      <c r="Q942"/>
      <c r="R942"/>
    </row>
    <row r="943" spans="1:18" ht="19.95" customHeight="1" x14ac:dyDescent="0.4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/>
      <c r="Q943"/>
      <c r="R943"/>
    </row>
    <row r="944" spans="1:18" ht="19.95" customHeight="1" x14ac:dyDescent="0.4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/>
      <c r="Q944"/>
      <c r="R944"/>
    </row>
    <row r="945" spans="1:18" ht="19.95" customHeight="1" x14ac:dyDescent="0.4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/>
      <c r="Q945"/>
      <c r="R945"/>
    </row>
    <row r="946" spans="1:18" ht="19.95" customHeight="1" x14ac:dyDescent="0.4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/>
      <c r="Q946"/>
      <c r="R946"/>
    </row>
    <row r="947" spans="1:18" ht="19.95" customHeight="1" x14ac:dyDescent="0.4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/>
      <c r="Q947"/>
      <c r="R947"/>
    </row>
    <row r="948" spans="1:18" ht="19.95" customHeight="1" x14ac:dyDescent="0.4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/>
      <c r="Q948"/>
      <c r="R948"/>
    </row>
    <row r="949" spans="1:18" ht="19.95" customHeight="1" x14ac:dyDescent="0.4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/>
      <c r="Q949"/>
      <c r="R949"/>
    </row>
    <row r="950" spans="1:18" ht="19.95" customHeight="1" x14ac:dyDescent="0.4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/>
      <c r="Q950"/>
      <c r="R950"/>
    </row>
    <row r="951" spans="1:18" ht="19.95" customHeight="1" x14ac:dyDescent="0.4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/>
      <c r="Q951"/>
      <c r="R951"/>
    </row>
    <row r="952" spans="1:18" ht="19.95" customHeight="1" x14ac:dyDescent="0.4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/>
      <c r="Q952"/>
      <c r="R952"/>
    </row>
    <row r="953" spans="1:18" ht="19.95" customHeight="1" x14ac:dyDescent="0.4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/>
      <c r="Q953"/>
      <c r="R953"/>
    </row>
    <row r="954" spans="1:18" ht="19.95" customHeight="1" x14ac:dyDescent="0.4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/>
      <c r="Q954"/>
      <c r="R954"/>
    </row>
    <row r="955" spans="1:18" ht="19.95" customHeight="1" x14ac:dyDescent="0.4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/>
      <c r="Q955"/>
      <c r="R955"/>
    </row>
    <row r="956" spans="1:18" ht="19.95" customHeight="1" x14ac:dyDescent="0.4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/>
      <c r="Q956"/>
      <c r="R956"/>
    </row>
    <row r="957" spans="1:18" ht="19.95" customHeight="1" x14ac:dyDescent="0.4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/>
      <c r="Q957"/>
      <c r="R957"/>
    </row>
    <row r="958" spans="1:18" ht="19.95" customHeight="1" x14ac:dyDescent="0.4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/>
      <c r="Q958"/>
      <c r="R958"/>
    </row>
    <row r="959" spans="1:18" ht="19.95" customHeight="1" x14ac:dyDescent="0.4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/>
      <c r="Q959"/>
      <c r="R959"/>
    </row>
    <row r="960" spans="1:18" ht="21" x14ac:dyDescent="0.4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</row>
    <row r="961" spans="1:15" ht="21" x14ac:dyDescent="0.4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</row>
    <row r="962" spans="1:15" ht="21" x14ac:dyDescent="0.4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</row>
    <row r="963" spans="1:15" ht="21" x14ac:dyDescent="0.4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</row>
    <row r="964" spans="1:15" ht="21" x14ac:dyDescent="0.4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</row>
    <row r="965" spans="1:15" ht="21" x14ac:dyDescent="0.4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</row>
    <row r="966" spans="1:15" ht="21" x14ac:dyDescent="0.4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</row>
    <row r="967" spans="1:15" ht="21" x14ac:dyDescent="0.4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</row>
    <row r="968" spans="1:15" ht="21" x14ac:dyDescent="0.4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</row>
    <row r="969" spans="1:15" ht="21" x14ac:dyDescent="0.4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</row>
    <row r="970" spans="1:15" ht="21" x14ac:dyDescent="0.4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</row>
    <row r="971" spans="1:15" ht="21" x14ac:dyDescent="0.4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</row>
    <row r="972" spans="1:15" ht="21" x14ac:dyDescent="0.4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</row>
    <row r="973" spans="1:15" ht="21" x14ac:dyDescent="0.4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</row>
    <row r="974" spans="1:15" ht="21" x14ac:dyDescent="0.4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</row>
    <row r="975" spans="1:15" ht="21" x14ac:dyDescent="0.4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</row>
    <row r="976" spans="1:15" ht="21" x14ac:dyDescent="0.4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</row>
    <row r="977" spans="1:15" ht="21" x14ac:dyDescent="0.4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</row>
    <row r="978" spans="1:15" ht="21" x14ac:dyDescent="0.4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</row>
    <row r="979" spans="1:15" ht="21" x14ac:dyDescent="0.4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</row>
    <row r="980" spans="1:15" ht="21" x14ac:dyDescent="0.4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</row>
    <row r="981" spans="1:15" ht="21" x14ac:dyDescent="0.4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</row>
    <row r="982" spans="1:15" ht="21" x14ac:dyDescent="0.4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</row>
    <row r="983" spans="1:15" ht="21" x14ac:dyDescent="0.4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</row>
    <row r="984" spans="1:15" ht="21" x14ac:dyDescent="0.4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</row>
    <row r="985" spans="1:15" ht="21" x14ac:dyDescent="0.4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</row>
    <row r="986" spans="1:15" ht="21" x14ac:dyDescent="0.4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</row>
    <row r="987" spans="1:15" ht="21" x14ac:dyDescent="0.4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</row>
    <row r="988" spans="1:15" ht="21" x14ac:dyDescent="0.4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</row>
    <row r="989" spans="1:15" ht="63" customHeight="1" x14ac:dyDescent="0.4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</row>
    <row r="990" spans="1:15" ht="21" x14ac:dyDescent="0.4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</row>
    <row r="991" spans="1:15" ht="21" x14ac:dyDescent="0.4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</row>
    <row r="992" spans="1:15" ht="21" x14ac:dyDescent="0.4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</row>
    <row r="993" spans="1:15" ht="21" x14ac:dyDescent="0.4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</row>
    <row r="994" spans="1:15" ht="21" x14ac:dyDescent="0.4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</row>
    <row r="995" spans="1:15" ht="21" x14ac:dyDescent="0.4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</row>
    <row r="996" spans="1:15" ht="21" x14ac:dyDescent="0.4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</row>
    <row r="997" spans="1:15" ht="21" x14ac:dyDescent="0.4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</row>
    <row r="998" spans="1:15" ht="21" x14ac:dyDescent="0.4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</row>
    <row r="999" spans="1:15" ht="21" x14ac:dyDescent="0.4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</row>
    <row r="1000" spans="1:15" ht="21" x14ac:dyDescent="0.4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</row>
    <row r="1001" spans="1:15" ht="21" x14ac:dyDescent="0.4">
      <c r="A1001" s="35"/>
      <c r="B1001" s="35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</row>
    <row r="1002" spans="1:15" ht="21" x14ac:dyDescent="0.4">
      <c r="A1002" s="35"/>
      <c r="B1002" s="35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</row>
    <row r="1003" spans="1:15" ht="21" x14ac:dyDescent="0.4">
      <c r="A1003" s="35"/>
      <c r="B1003" s="35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</row>
    <row r="1004" spans="1:15" ht="21" x14ac:dyDescent="0.4">
      <c r="A1004" s="35"/>
      <c r="B1004" s="35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</row>
    <row r="1005" spans="1:15" ht="21" x14ac:dyDescent="0.4">
      <c r="A1005" s="35"/>
      <c r="B1005" s="35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</row>
    <row r="1006" spans="1:15" ht="21" x14ac:dyDescent="0.4">
      <c r="A1006" s="35"/>
      <c r="B1006" s="35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</row>
    <row r="1007" spans="1:15" ht="21" x14ac:dyDescent="0.4">
      <c r="A1007" s="35"/>
      <c r="B1007" s="35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</row>
    <row r="1008" spans="1:15" ht="63" customHeight="1" x14ac:dyDescent="0.4">
      <c r="A1008" s="35"/>
      <c r="B1008" s="35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</row>
    <row r="1009" spans="1:15" ht="21" x14ac:dyDescent="0.4">
      <c r="A1009" s="35"/>
      <c r="B1009" s="35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</row>
    <row r="1010" spans="1:15" ht="21" x14ac:dyDescent="0.4">
      <c r="A1010" s="35"/>
      <c r="B1010" s="35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</row>
    <row r="1011" spans="1:15" ht="21" x14ac:dyDescent="0.4">
      <c r="A1011" s="35"/>
      <c r="B1011" s="35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</row>
    <row r="1012" spans="1:15" ht="21" x14ac:dyDescent="0.4">
      <c r="A1012" s="35"/>
      <c r="B1012" s="35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</row>
    <row r="1013" spans="1:15" ht="21" x14ac:dyDescent="0.4">
      <c r="A1013" s="35"/>
      <c r="B1013" s="35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</row>
    <row r="1014" spans="1:15" ht="21" x14ac:dyDescent="0.4">
      <c r="A1014" s="35"/>
      <c r="B1014" s="35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</row>
    <row r="1015" spans="1:15" ht="21" x14ac:dyDescent="0.4">
      <c r="A1015" s="35"/>
      <c r="B1015" s="35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</row>
    <row r="1016" spans="1:15" ht="21" x14ac:dyDescent="0.4">
      <c r="A1016" s="35"/>
      <c r="B1016" s="35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</row>
    <row r="1017" spans="1:15" ht="21" x14ac:dyDescent="0.4">
      <c r="A1017" s="35"/>
      <c r="B1017" s="35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</row>
    <row r="1018" spans="1:15" ht="21" x14ac:dyDescent="0.4">
      <c r="A1018" s="35"/>
      <c r="B1018" s="35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</row>
    <row r="1019" spans="1:15" ht="21" x14ac:dyDescent="0.4">
      <c r="A1019" s="35"/>
      <c r="B1019" s="35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</row>
    <row r="1020" spans="1:15" ht="21" x14ac:dyDescent="0.4">
      <c r="A1020" s="35"/>
      <c r="B1020" s="35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</row>
    <row r="1021" spans="1:15" ht="21" x14ac:dyDescent="0.4">
      <c r="A1021" s="35"/>
      <c r="B1021" s="35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</row>
    <row r="1022" spans="1:15" ht="21" x14ac:dyDescent="0.4">
      <c r="A1022" s="35"/>
      <c r="B1022" s="35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</row>
    <row r="1023" spans="1:15" ht="21" x14ac:dyDescent="0.4">
      <c r="A1023" s="35"/>
      <c r="B1023" s="35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</row>
    <row r="1024" spans="1:15" ht="21" x14ac:dyDescent="0.4">
      <c r="A1024" s="35"/>
      <c r="B1024" s="35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</row>
    <row r="1025" spans="1:15" ht="21" x14ac:dyDescent="0.4">
      <c r="A1025" s="35"/>
      <c r="B1025" s="35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</row>
    <row r="1026" spans="1:15" ht="21" x14ac:dyDescent="0.4">
      <c r="A1026" s="35"/>
      <c r="B1026" s="35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</row>
    <row r="1027" spans="1:15" ht="21" x14ac:dyDescent="0.4">
      <c r="A1027" s="35"/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</row>
    <row r="1028" spans="1:15" ht="21" x14ac:dyDescent="0.4">
      <c r="A1028" s="35"/>
      <c r="B1028" s="35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</row>
    <row r="1029" spans="1:15" ht="21" x14ac:dyDescent="0.4">
      <c r="A1029" s="35"/>
      <c r="B1029" s="35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</row>
    <row r="1030" spans="1:15" ht="21" x14ac:dyDescent="0.4">
      <c r="A1030" s="35"/>
      <c r="B1030" s="35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</row>
    <row r="1031" spans="1:15" ht="21" x14ac:dyDescent="0.4">
      <c r="A1031" s="35"/>
      <c r="B1031" s="35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</row>
    <row r="1032" spans="1:15" ht="21" x14ac:dyDescent="0.4">
      <c r="A1032" s="35"/>
      <c r="B1032" s="35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</row>
    <row r="1033" spans="1:15" ht="21" x14ac:dyDescent="0.4">
      <c r="A1033" s="35"/>
      <c r="B1033" s="35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</row>
    <row r="1034" spans="1:15" ht="21" x14ac:dyDescent="0.4">
      <c r="A1034" s="35"/>
      <c r="B1034" s="35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</row>
    <row r="1035" spans="1:15" ht="21" x14ac:dyDescent="0.4">
      <c r="A1035" s="35"/>
      <c r="B1035" s="35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</row>
    <row r="1036" spans="1:15" ht="21" x14ac:dyDescent="0.4">
      <c r="A1036" s="35"/>
      <c r="B1036" s="35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</row>
    <row r="1037" spans="1:15" ht="21" x14ac:dyDescent="0.4">
      <c r="A1037" s="35"/>
      <c r="B1037" s="35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</row>
    <row r="1038" spans="1:15" ht="21" x14ac:dyDescent="0.4">
      <c r="A1038" s="35"/>
      <c r="B1038" s="35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</row>
    <row r="1039" spans="1:15" ht="21" x14ac:dyDescent="0.4">
      <c r="A1039" s="35"/>
      <c r="B1039" s="35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</row>
    <row r="1040" spans="1:15" ht="21" x14ac:dyDescent="0.4">
      <c r="A1040" s="35"/>
      <c r="B1040" s="35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</row>
    <row r="1041" spans="1:15" ht="21" x14ac:dyDescent="0.4">
      <c r="A1041" s="35"/>
      <c r="B1041" s="35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</row>
    <row r="1042" spans="1:15" ht="21" x14ac:dyDescent="0.4">
      <c r="A1042" s="35"/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</row>
    <row r="1043" spans="1:15" ht="21" x14ac:dyDescent="0.4">
      <c r="A1043" s="35"/>
      <c r="B1043" s="35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</row>
    <row r="1044" spans="1:15" ht="21" x14ac:dyDescent="0.4">
      <c r="A1044" s="35"/>
      <c r="B1044" s="35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</row>
    <row r="1045" spans="1:15" ht="21" x14ac:dyDescent="0.4">
      <c r="A1045" s="35"/>
      <c r="B1045" s="35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</row>
    <row r="1046" spans="1:15" ht="21" x14ac:dyDescent="0.4">
      <c r="A1046" s="35"/>
      <c r="B1046" s="35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</row>
    <row r="1047" spans="1:15" ht="21" x14ac:dyDescent="0.4">
      <c r="A1047" s="35"/>
      <c r="B1047" s="35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</row>
    <row r="1048" spans="1:15" ht="21" x14ac:dyDescent="0.4">
      <c r="A1048" s="35"/>
      <c r="B1048" s="35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</row>
    <row r="1049" spans="1:15" ht="21" x14ac:dyDescent="0.4">
      <c r="A1049" s="35"/>
      <c r="B1049" s="35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</row>
    <row r="1050" spans="1:15" ht="21" x14ac:dyDescent="0.4">
      <c r="A1050" s="35"/>
      <c r="B1050" s="35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</row>
    <row r="1051" spans="1:15" ht="21" x14ac:dyDescent="0.4">
      <c r="A1051" s="35"/>
      <c r="B1051" s="35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</row>
    <row r="1052" spans="1:15" ht="21" x14ac:dyDescent="0.4">
      <c r="A1052" s="35"/>
      <c r="B1052" s="35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</row>
    <row r="1053" spans="1:15" ht="21" x14ac:dyDescent="0.4">
      <c r="A1053" s="35"/>
      <c r="B1053" s="35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</row>
    <row r="1054" spans="1:15" ht="21" x14ac:dyDescent="0.4">
      <c r="A1054" s="35"/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</row>
    <row r="1055" spans="1:15" ht="21" x14ac:dyDescent="0.4">
      <c r="A1055" s="35"/>
      <c r="B1055" s="35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</row>
    <row r="1056" spans="1:15" ht="21" x14ac:dyDescent="0.4">
      <c r="A1056" s="35"/>
      <c r="B1056" s="35"/>
      <c r="C1056" s="35"/>
      <c r="D1056" s="35"/>
      <c r="E1056" s="35"/>
      <c r="F1056" s="36"/>
      <c r="G1056" s="42"/>
      <c r="H1056" s="35"/>
      <c r="I1056" s="35"/>
      <c r="J1056" s="35"/>
      <c r="K1056" s="35"/>
      <c r="L1056" s="35"/>
      <c r="M1056" s="35"/>
      <c r="N1056" s="36"/>
      <c r="O1056" s="36"/>
    </row>
    <row r="1057" spans="1:15" ht="21" x14ac:dyDescent="0.4">
      <c r="A1057" s="35"/>
      <c r="B1057" s="35"/>
      <c r="C1057" s="35"/>
      <c r="D1057" s="35"/>
      <c r="E1057" s="35"/>
      <c r="F1057" s="36"/>
      <c r="G1057" s="42"/>
      <c r="H1057" s="35"/>
      <c r="I1057" s="35"/>
      <c r="J1057" s="35"/>
      <c r="K1057" s="35"/>
      <c r="L1057" s="35"/>
      <c r="M1057" s="35"/>
      <c r="N1057" s="36"/>
      <c r="O1057" s="36"/>
    </row>
    <row r="1058" spans="1:15" ht="21" x14ac:dyDescent="0.4">
      <c r="A1058" s="35"/>
      <c r="B1058" s="35"/>
      <c r="C1058" s="35"/>
      <c r="D1058" s="35"/>
      <c r="E1058" s="35"/>
      <c r="F1058" s="36"/>
      <c r="G1058" s="42"/>
      <c r="H1058" s="35"/>
      <c r="I1058" s="35"/>
      <c r="J1058" s="35"/>
      <c r="K1058" s="35"/>
      <c r="L1058" s="35"/>
      <c r="M1058" s="35"/>
      <c r="N1058" s="36"/>
      <c r="O1058" s="36"/>
    </row>
    <row r="1059" spans="1:15" ht="21" x14ac:dyDescent="0.4">
      <c r="A1059" s="35"/>
      <c r="B1059" s="35"/>
      <c r="C1059" s="35"/>
      <c r="D1059" s="35"/>
      <c r="E1059" s="35"/>
      <c r="F1059" s="36"/>
      <c r="G1059" s="42"/>
      <c r="H1059" s="35"/>
      <c r="I1059" s="35"/>
      <c r="J1059" s="35"/>
      <c r="K1059" s="35"/>
      <c r="L1059" s="35"/>
      <c r="M1059" s="35"/>
      <c r="N1059" s="36"/>
      <c r="O1059" s="36"/>
    </row>
    <row r="1060" spans="1:15" ht="21" x14ac:dyDescent="0.4">
      <c r="A1060" s="35"/>
      <c r="B1060" s="35"/>
      <c r="C1060" s="35"/>
      <c r="D1060" s="35"/>
      <c r="E1060" s="35"/>
      <c r="F1060" s="36"/>
      <c r="G1060" s="42"/>
      <c r="H1060" s="35"/>
      <c r="I1060" s="35"/>
      <c r="J1060" s="35"/>
      <c r="K1060" s="35"/>
      <c r="L1060" s="35"/>
      <c r="M1060" s="35"/>
      <c r="N1060" s="36"/>
      <c r="O1060" s="36"/>
    </row>
    <row r="1061" spans="1:15" ht="21" x14ac:dyDescent="0.4">
      <c r="A1061" s="35"/>
      <c r="B1061" s="35"/>
      <c r="C1061" s="35"/>
      <c r="D1061" s="35"/>
      <c r="E1061" s="35"/>
      <c r="F1061" s="36"/>
      <c r="G1061" s="42"/>
      <c r="H1061" s="35"/>
      <c r="I1061" s="35"/>
      <c r="J1061" s="35"/>
      <c r="K1061" s="35"/>
      <c r="L1061" s="35"/>
      <c r="M1061" s="35"/>
      <c r="N1061" s="36"/>
      <c r="O1061" s="36"/>
    </row>
    <row r="1062" spans="1:15" ht="21" x14ac:dyDescent="0.4">
      <c r="A1062" s="35"/>
      <c r="B1062" s="35"/>
      <c r="C1062" s="35"/>
      <c r="D1062" s="35"/>
      <c r="E1062" s="35"/>
      <c r="F1062" s="36"/>
      <c r="G1062" s="42"/>
      <c r="H1062" s="35"/>
      <c r="I1062" s="35"/>
      <c r="J1062" s="35"/>
      <c r="K1062" s="35"/>
      <c r="L1062" s="35"/>
      <c r="M1062" s="35"/>
      <c r="N1062" s="36"/>
      <c r="O1062" s="36"/>
    </row>
    <row r="1063" spans="1:15" ht="21" x14ac:dyDescent="0.4">
      <c r="A1063" s="35"/>
      <c r="B1063" s="35"/>
      <c r="C1063" s="35"/>
      <c r="D1063" s="35"/>
      <c r="E1063" s="35"/>
      <c r="F1063" s="36"/>
      <c r="G1063" s="42"/>
      <c r="H1063" s="35"/>
      <c r="I1063" s="35"/>
      <c r="J1063" s="35"/>
      <c r="K1063" s="35"/>
      <c r="L1063" s="35"/>
      <c r="M1063" s="35"/>
      <c r="N1063" s="36"/>
      <c r="O1063" s="36"/>
    </row>
    <row r="1064" spans="1:15" ht="21" x14ac:dyDescent="0.4">
      <c r="A1064" s="35"/>
      <c r="B1064" s="35"/>
      <c r="C1064" s="35"/>
      <c r="D1064" s="35"/>
      <c r="E1064" s="35"/>
      <c r="F1064" s="36"/>
      <c r="G1064" s="42"/>
      <c r="H1064" s="35"/>
      <c r="I1064" s="35"/>
      <c r="J1064" s="35"/>
      <c r="K1064" s="35"/>
      <c r="L1064" s="35"/>
      <c r="M1064" s="35"/>
      <c r="N1064" s="36"/>
      <c r="O1064" s="36"/>
    </row>
    <row r="1065" spans="1:15" ht="21" x14ac:dyDescent="0.4">
      <c r="A1065" s="35"/>
      <c r="B1065" s="35"/>
      <c r="C1065" s="35"/>
      <c r="D1065" s="35"/>
      <c r="E1065" s="35"/>
      <c r="F1065" s="36"/>
      <c r="G1065" s="42"/>
      <c r="H1065" s="35"/>
      <c r="I1065" s="35"/>
      <c r="J1065" s="35"/>
      <c r="K1065" s="35"/>
      <c r="L1065" s="35"/>
      <c r="M1065" s="35"/>
      <c r="N1065" s="36"/>
      <c r="O1065" s="36"/>
    </row>
    <row r="1066" spans="1:15" ht="21" x14ac:dyDescent="0.4">
      <c r="A1066" s="35"/>
      <c r="B1066" s="35"/>
      <c r="C1066" s="35"/>
      <c r="D1066" s="35"/>
      <c r="E1066" s="35"/>
      <c r="F1066" s="36"/>
      <c r="G1066" s="42"/>
      <c r="H1066" s="35"/>
      <c r="I1066" s="35"/>
      <c r="J1066" s="35"/>
      <c r="K1066" s="35"/>
      <c r="L1066" s="35"/>
      <c r="M1066" s="35"/>
      <c r="N1066" s="36"/>
      <c r="O1066" s="36"/>
    </row>
    <row r="1067" spans="1:15" ht="21" x14ac:dyDescent="0.4">
      <c r="A1067" s="35"/>
      <c r="B1067" s="35"/>
      <c r="C1067" s="35"/>
      <c r="D1067" s="35"/>
      <c r="E1067" s="35"/>
      <c r="F1067" s="36"/>
      <c r="G1067" s="42"/>
      <c r="H1067" s="35"/>
      <c r="I1067" s="35"/>
      <c r="J1067" s="35"/>
      <c r="K1067" s="35"/>
      <c r="L1067" s="35"/>
      <c r="M1067" s="35"/>
      <c r="N1067" s="36"/>
      <c r="O1067" s="36"/>
    </row>
    <row r="1068" spans="1:15" ht="21" x14ac:dyDescent="0.4">
      <c r="A1068" s="35"/>
      <c r="B1068" s="35"/>
      <c r="C1068" s="35"/>
      <c r="D1068" s="35"/>
      <c r="E1068" s="35"/>
      <c r="F1068" s="36"/>
      <c r="G1068" s="42"/>
      <c r="H1068" s="35"/>
      <c r="I1068" s="35"/>
      <c r="J1068" s="35"/>
      <c r="K1068" s="35"/>
      <c r="L1068" s="35"/>
      <c r="M1068" s="35"/>
      <c r="N1068" s="36"/>
      <c r="O1068" s="36"/>
    </row>
    <row r="1069" spans="1:15" ht="21" x14ac:dyDescent="0.4">
      <c r="A1069" s="35"/>
      <c r="B1069" s="35"/>
      <c r="C1069" s="35"/>
      <c r="D1069" s="35"/>
      <c r="E1069" s="35"/>
      <c r="F1069" s="36"/>
      <c r="G1069" s="42"/>
      <c r="H1069" s="35"/>
      <c r="I1069" s="35"/>
      <c r="J1069" s="35"/>
      <c r="K1069" s="35"/>
      <c r="L1069" s="35"/>
      <c r="M1069" s="35"/>
      <c r="N1069" s="36"/>
      <c r="O1069" s="36"/>
    </row>
    <row r="1070" spans="1:15" ht="21" x14ac:dyDescent="0.4">
      <c r="A1070" s="35"/>
      <c r="B1070" s="35"/>
      <c r="C1070" s="35"/>
      <c r="D1070" s="35"/>
      <c r="E1070" s="35"/>
      <c r="F1070" s="36"/>
      <c r="G1070" s="42"/>
      <c r="H1070" s="35"/>
      <c r="I1070" s="35"/>
      <c r="J1070" s="35"/>
      <c r="K1070" s="35"/>
      <c r="L1070" s="35"/>
      <c r="M1070" s="35"/>
      <c r="N1070" s="36"/>
      <c r="O1070" s="36"/>
    </row>
    <row r="1071" spans="1:15" ht="21" x14ac:dyDescent="0.4">
      <c r="A1071" s="35"/>
      <c r="B1071" s="35"/>
      <c r="C1071" s="35"/>
      <c r="D1071" s="35"/>
      <c r="E1071" s="35"/>
      <c r="F1071" s="36"/>
      <c r="G1071" s="42"/>
      <c r="H1071" s="35"/>
      <c r="I1071" s="35"/>
      <c r="J1071" s="35"/>
      <c r="K1071" s="35"/>
      <c r="L1071" s="35"/>
      <c r="M1071" s="35"/>
      <c r="N1071" s="36"/>
      <c r="O1071" s="36"/>
    </row>
    <row r="1072" spans="1:15" ht="21" x14ac:dyDescent="0.4">
      <c r="A1072" s="35"/>
      <c r="B1072" s="35"/>
      <c r="C1072" s="35"/>
      <c r="D1072" s="35"/>
      <c r="E1072" s="35"/>
      <c r="F1072" s="36"/>
      <c r="G1072" s="42"/>
      <c r="H1072" s="35"/>
      <c r="I1072" s="35"/>
      <c r="J1072" s="35"/>
      <c r="K1072" s="35"/>
      <c r="L1072" s="35"/>
      <c r="M1072" s="35"/>
      <c r="N1072" s="36"/>
      <c r="O1072" s="36"/>
    </row>
    <row r="1073" spans="1:15" ht="21" x14ac:dyDescent="0.4">
      <c r="A1073" s="35"/>
      <c r="B1073" s="35"/>
      <c r="C1073" s="35"/>
      <c r="D1073" s="35"/>
      <c r="E1073" s="35"/>
      <c r="F1073" s="36"/>
      <c r="G1073" s="42"/>
      <c r="H1073" s="35"/>
      <c r="I1073" s="35"/>
      <c r="J1073" s="35"/>
      <c r="K1073" s="35"/>
      <c r="L1073" s="35"/>
      <c r="M1073" s="35"/>
      <c r="N1073" s="36"/>
      <c r="O1073" s="36"/>
    </row>
    <row r="1074" spans="1:15" ht="21" x14ac:dyDescent="0.4">
      <c r="A1074" s="35"/>
      <c r="B1074" s="35"/>
      <c r="C1074" s="35"/>
      <c r="D1074" s="35"/>
      <c r="E1074" s="35"/>
      <c r="F1074" s="36"/>
      <c r="G1074" s="42"/>
      <c r="H1074" s="35"/>
      <c r="I1074" s="35"/>
      <c r="J1074" s="35"/>
      <c r="K1074" s="35"/>
      <c r="L1074" s="35"/>
      <c r="M1074" s="35"/>
      <c r="N1074" s="36"/>
      <c r="O1074" s="36"/>
    </row>
    <row r="1075" spans="1:15" ht="21" x14ac:dyDescent="0.4">
      <c r="A1075" s="35"/>
      <c r="B1075" s="35"/>
      <c r="C1075" s="35"/>
      <c r="D1075" s="35"/>
      <c r="E1075" s="35"/>
      <c r="F1075" s="36"/>
      <c r="G1075" s="42"/>
      <c r="H1075" s="35"/>
      <c r="I1075" s="35"/>
      <c r="J1075" s="35"/>
      <c r="K1075" s="35"/>
      <c r="L1075" s="35"/>
      <c r="M1075" s="35"/>
      <c r="N1075" s="36"/>
      <c r="O1075" s="36"/>
    </row>
    <row r="1076" spans="1:15" ht="21" x14ac:dyDescent="0.4">
      <c r="A1076" s="35"/>
      <c r="B1076" s="35"/>
      <c r="C1076" s="35"/>
      <c r="D1076" s="35"/>
      <c r="E1076" s="35"/>
      <c r="F1076" s="36"/>
      <c r="G1076" s="42"/>
      <c r="H1076" s="35"/>
      <c r="I1076" s="35"/>
      <c r="J1076" s="35"/>
      <c r="K1076" s="35"/>
      <c r="L1076" s="35"/>
      <c r="M1076" s="35"/>
      <c r="N1076" s="36"/>
      <c r="O1076" s="36"/>
    </row>
    <row r="1077" spans="1:15" ht="21" x14ac:dyDescent="0.4">
      <c r="A1077" s="35"/>
      <c r="B1077" s="35"/>
      <c r="C1077" s="35"/>
      <c r="D1077" s="35"/>
      <c r="E1077" s="35"/>
      <c r="F1077" s="36"/>
      <c r="G1077" s="42"/>
      <c r="H1077" s="35"/>
      <c r="I1077" s="35"/>
      <c r="J1077" s="35"/>
      <c r="K1077" s="35"/>
      <c r="L1077" s="35"/>
      <c r="M1077" s="35"/>
      <c r="N1077" s="36"/>
      <c r="O1077" s="36"/>
    </row>
    <row r="1078" spans="1:15" ht="21" x14ac:dyDescent="0.4">
      <c r="A1078" s="35"/>
      <c r="B1078" s="35"/>
      <c r="C1078" s="35"/>
      <c r="D1078" s="35"/>
      <c r="E1078" s="35"/>
      <c r="F1078" s="36"/>
      <c r="G1078" s="42"/>
      <c r="H1078" s="35"/>
      <c r="I1078" s="35"/>
      <c r="J1078" s="35"/>
      <c r="K1078" s="35"/>
      <c r="L1078" s="35"/>
      <c r="M1078" s="35"/>
      <c r="N1078" s="36"/>
      <c r="O1078" s="36"/>
    </row>
    <row r="1079" spans="1:15" ht="21" x14ac:dyDescent="0.4">
      <c r="A1079" s="35"/>
      <c r="B1079" s="35"/>
      <c r="C1079" s="35"/>
      <c r="D1079" s="35"/>
      <c r="E1079" s="35"/>
      <c r="F1079" s="36"/>
      <c r="G1079" s="42"/>
      <c r="H1079" s="35"/>
      <c r="I1079" s="35"/>
      <c r="J1079" s="35"/>
      <c r="K1079" s="35"/>
      <c r="L1079" s="35"/>
      <c r="M1079" s="35"/>
      <c r="N1079" s="36"/>
      <c r="O1079" s="36"/>
    </row>
    <row r="1080" spans="1:15" ht="21" x14ac:dyDescent="0.4">
      <c r="A1080" s="35"/>
      <c r="B1080" s="35"/>
      <c r="C1080" s="35"/>
      <c r="D1080" s="35"/>
      <c r="E1080" s="35"/>
      <c r="F1080" s="36"/>
      <c r="G1080" s="42"/>
      <c r="H1080" s="35"/>
      <c r="I1080" s="35"/>
      <c r="J1080" s="35"/>
      <c r="K1080" s="35"/>
      <c r="L1080" s="35"/>
      <c r="M1080" s="35"/>
      <c r="N1080" s="36"/>
      <c r="O1080" s="36"/>
    </row>
    <row r="1081" spans="1:15" ht="21" x14ac:dyDescent="0.4">
      <c r="A1081" s="35"/>
      <c r="B1081" s="35"/>
      <c r="C1081" s="35"/>
      <c r="D1081" s="35"/>
      <c r="E1081" s="35"/>
      <c r="F1081" s="36"/>
      <c r="G1081" s="42"/>
      <c r="H1081" s="35"/>
      <c r="I1081" s="35"/>
      <c r="J1081" s="35"/>
      <c r="K1081" s="35"/>
      <c r="L1081" s="35"/>
      <c r="M1081" s="35"/>
      <c r="N1081" s="36"/>
      <c r="O1081" s="36"/>
    </row>
    <row r="1082" spans="1:15" ht="21" x14ac:dyDescent="0.4">
      <c r="A1082" s="35"/>
      <c r="B1082" s="35"/>
      <c r="C1082" s="35"/>
      <c r="D1082" s="35"/>
      <c r="E1082" s="35"/>
      <c r="F1082" s="36"/>
      <c r="G1082" s="42"/>
      <c r="H1082" s="35"/>
      <c r="I1082" s="35"/>
      <c r="J1082" s="35"/>
      <c r="K1082" s="35"/>
      <c r="L1082" s="35"/>
      <c r="M1082" s="35"/>
      <c r="N1082" s="36"/>
      <c r="O1082" s="36"/>
    </row>
    <row r="1083" spans="1:15" ht="21" x14ac:dyDescent="0.4">
      <c r="A1083" s="35"/>
      <c r="B1083" s="35"/>
      <c r="C1083" s="35"/>
      <c r="D1083" s="35"/>
      <c r="E1083" s="35"/>
      <c r="F1083" s="36"/>
      <c r="G1083" s="42"/>
      <c r="H1083" s="35"/>
      <c r="I1083" s="35"/>
      <c r="J1083" s="35"/>
      <c r="K1083" s="35"/>
      <c r="L1083" s="35"/>
      <c r="M1083" s="35"/>
      <c r="N1083" s="36"/>
      <c r="O1083" s="36"/>
    </row>
    <row r="1084" spans="1:15" ht="21" x14ac:dyDescent="0.4">
      <c r="A1084" s="35"/>
      <c r="B1084" s="35"/>
      <c r="C1084" s="35"/>
      <c r="D1084" s="35"/>
      <c r="E1084" s="35"/>
      <c r="F1084" s="36"/>
      <c r="G1084" s="42"/>
      <c r="H1084" s="35"/>
      <c r="I1084" s="35"/>
      <c r="J1084" s="35"/>
      <c r="K1084" s="35"/>
      <c r="L1084" s="35"/>
      <c r="M1084" s="35"/>
      <c r="N1084" s="36"/>
      <c r="O1084" s="36"/>
    </row>
    <row r="1085" spans="1:15" ht="21" x14ac:dyDescent="0.4">
      <c r="A1085" s="35"/>
      <c r="B1085" s="35"/>
      <c r="C1085" s="35"/>
      <c r="D1085" s="35"/>
      <c r="E1085" s="35"/>
      <c r="F1085" s="36"/>
      <c r="G1085" s="42"/>
      <c r="H1085" s="35"/>
      <c r="I1085" s="35"/>
      <c r="J1085" s="35"/>
      <c r="K1085" s="35"/>
      <c r="L1085" s="35"/>
      <c r="M1085" s="35"/>
      <c r="N1085" s="36"/>
      <c r="O1085" s="36"/>
    </row>
    <row r="1086" spans="1:15" ht="21" x14ac:dyDescent="0.4">
      <c r="A1086" s="35"/>
      <c r="B1086" s="35"/>
      <c r="C1086" s="35"/>
      <c r="D1086" s="35"/>
      <c r="E1086" s="35"/>
      <c r="F1086" s="36"/>
      <c r="G1086" s="42"/>
      <c r="H1086" s="35"/>
      <c r="I1086" s="35"/>
      <c r="J1086" s="35"/>
      <c r="K1086" s="35"/>
      <c r="L1086" s="35"/>
      <c r="M1086" s="35"/>
      <c r="N1086" s="36"/>
      <c r="O1086" s="36"/>
    </row>
    <row r="1087" spans="1:15" ht="21" x14ac:dyDescent="0.4">
      <c r="A1087" s="35"/>
      <c r="B1087" s="35"/>
      <c r="C1087" s="35"/>
      <c r="D1087" s="35"/>
      <c r="E1087" s="35"/>
      <c r="F1087" s="36"/>
      <c r="G1087" s="42"/>
      <c r="H1087" s="35"/>
      <c r="I1087" s="35"/>
      <c r="J1087" s="35"/>
      <c r="K1087" s="35"/>
      <c r="L1087" s="35"/>
      <c r="M1087" s="35"/>
      <c r="N1087" s="36"/>
      <c r="O1087" s="36"/>
    </row>
    <row r="1088" spans="1:15" ht="21" x14ac:dyDescent="0.4">
      <c r="A1088" s="35"/>
      <c r="B1088" s="35"/>
      <c r="C1088" s="35"/>
      <c r="D1088" s="35"/>
      <c r="E1088" s="35"/>
      <c r="F1088" s="36"/>
      <c r="G1088" s="42"/>
      <c r="H1088" s="35"/>
      <c r="I1088" s="35"/>
      <c r="J1088" s="35"/>
      <c r="K1088" s="35"/>
      <c r="L1088" s="35"/>
      <c r="M1088" s="35"/>
      <c r="N1088" s="36"/>
      <c r="O1088" s="36"/>
    </row>
    <row r="1089" spans="1:15" ht="21" x14ac:dyDescent="0.4">
      <c r="A1089" s="35"/>
      <c r="B1089" s="35"/>
      <c r="C1089" s="35"/>
      <c r="D1089" s="35"/>
      <c r="E1089" s="35"/>
      <c r="F1089" s="36"/>
      <c r="G1089" s="42"/>
      <c r="H1089" s="35"/>
      <c r="I1089" s="35"/>
      <c r="J1089" s="35"/>
      <c r="K1089" s="35"/>
      <c r="L1089" s="35"/>
      <c r="M1089" s="35"/>
      <c r="N1089" s="36"/>
      <c r="O1089" s="36"/>
    </row>
    <row r="1090" spans="1:15" ht="21" x14ac:dyDescent="0.4">
      <c r="A1090" s="35"/>
      <c r="B1090" s="35"/>
      <c r="C1090" s="35"/>
      <c r="D1090" s="35"/>
      <c r="E1090" s="35"/>
      <c r="F1090" s="36"/>
      <c r="G1090" s="42"/>
      <c r="H1090" s="35"/>
      <c r="I1090" s="35"/>
      <c r="J1090" s="35"/>
      <c r="K1090" s="35"/>
      <c r="L1090" s="35"/>
      <c r="M1090" s="35"/>
      <c r="N1090" s="36"/>
      <c r="O1090" s="36"/>
    </row>
    <row r="1091" spans="1:15" ht="21" x14ac:dyDescent="0.4">
      <c r="A1091" s="35"/>
      <c r="B1091" s="35"/>
      <c r="C1091" s="35"/>
      <c r="D1091" s="35"/>
      <c r="E1091" s="35"/>
      <c r="F1091" s="36"/>
      <c r="G1091" s="42"/>
      <c r="H1091" s="35"/>
      <c r="I1091" s="35"/>
      <c r="J1091" s="35"/>
      <c r="K1091" s="35"/>
      <c r="L1091" s="35"/>
      <c r="M1091" s="35"/>
      <c r="N1091" s="36"/>
      <c r="O1091" s="36"/>
    </row>
    <row r="1092" spans="1:15" ht="21" x14ac:dyDescent="0.4">
      <c r="A1092" s="35"/>
      <c r="B1092" s="35"/>
      <c r="C1092" s="35"/>
      <c r="D1092" s="35"/>
      <c r="E1092" s="35"/>
      <c r="F1092" s="36"/>
      <c r="G1092" s="42"/>
      <c r="H1092" s="35"/>
      <c r="I1092" s="35"/>
      <c r="J1092" s="35"/>
      <c r="K1092" s="35"/>
      <c r="L1092" s="35"/>
      <c r="M1092" s="35"/>
      <c r="N1092" s="36"/>
      <c r="O1092" s="36"/>
    </row>
    <row r="1093" spans="1:15" ht="21" x14ac:dyDescent="0.4">
      <c r="A1093" s="35"/>
      <c r="B1093" s="35"/>
      <c r="C1093" s="35"/>
      <c r="D1093" s="35"/>
      <c r="E1093" s="35"/>
      <c r="F1093" s="36"/>
      <c r="G1093" s="42"/>
      <c r="H1093" s="35"/>
      <c r="I1093" s="35"/>
      <c r="J1093" s="35"/>
      <c r="K1093" s="35"/>
      <c r="L1093" s="35"/>
      <c r="M1093" s="35"/>
      <c r="N1093" s="36"/>
      <c r="O1093" s="36"/>
    </row>
    <row r="1094" spans="1:15" ht="21" x14ac:dyDescent="0.4">
      <c r="A1094" s="35"/>
      <c r="B1094" s="35"/>
      <c r="C1094" s="35"/>
      <c r="D1094" s="35"/>
      <c r="E1094" s="35"/>
      <c r="F1094" s="36"/>
      <c r="G1094" s="42"/>
      <c r="H1094" s="35"/>
      <c r="I1094" s="35"/>
      <c r="J1094" s="35"/>
      <c r="K1094" s="35"/>
      <c r="L1094" s="35"/>
      <c r="M1094" s="35"/>
      <c r="N1094" s="36"/>
      <c r="O1094" s="36"/>
    </row>
    <row r="1095" spans="1:15" ht="21" x14ac:dyDescent="0.4">
      <c r="A1095" s="35"/>
      <c r="B1095" s="35"/>
      <c r="C1095" s="35"/>
      <c r="D1095" s="35"/>
      <c r="E1095" s="35"/>
      <c r="F1095" s="36"/>
      <c r="G1095" s="42"/>
      <c r="H1095" s="35"/>
      <c r="I1095" s="35"/>
      <c r="J1095" s="35"/>
      <c r="K1095" s="35"/>
      <c r="L1095" s="35"/>
      <c r="M1095" s="35"/>
      <c r="N1095" s="36"/>
      <c r="O1095" s="36"/>
    </row>
    <row r="1096" spans="1:15" ht="21" x14ac:dyDescent="0.4">
      <c r="A1096" s="35"/>
      <c r="B1096" s="35"/>
      <c r="C1096" s="35"/>
      <c r="D1096" s="35"/>
      <c r="E1096" s="35"/>
      <c r="F1096" s="36"/>
      <c r="G1096" s="42"/>
      <c r="H1096" s="35"/>
      <c r="I1096" s="35"/>
      <c r="J1096" s="35"/>
      <c r="K1096" s="35"/>
      <c r="L1096" s="35"/>
      <c r="M1096" s="35"/>
      <c r="N1096" s="36"/>
      <c r="O1096" s="36"/>
    </row>
    <row r="1097" spans="1:15" ht="21" x14ac:dyDescent="0.4">
      <c r="A1097" s="35"/>
      <c r="B1097" s="35"/>
      <c r="C1097" s="35"/>
      <c r="D1097" s="35"/>
      <c r="E1097" s="35"/>
      <c r="F1097" s="36"/>
      <c r="G1097" s="42"/>
      <c r="H1097" s="35"/>
      <c r="I1097" s="35"/>
      <c r="J1097" s="35"/>
      <c r="K1097" s="35"/>
      <c r="L1097" s="35"/>
      <c r="M1097" s="35"/>
      <c r="N1097" s="36"/>
      <c r="O1097" s="36"/>
    </row>
    <row r="1098" spans="1:15" ht="21" x14ac:dyDescent="0.4">
      <c r="A1098" s="35"/>
      <c r="B1098" s="35"/>
      <c r="C1098" s="35"/>
      <c r="D1098" s="35"/>
      <c r="E1098" s="35"/>
      <c r="F1098" s="36"/>
      <c r="G1098" s="42"/>
      <c r="H1098" s="35"/>
      <c r="I1098" s="35"/>
      <c r="J1098" s="35"/>
      <c r="K1098" s="35"/>
      <c r="L1098" s="35"/>
      <c r="M1098" s="35"/>
      <c r="N1098" s="36"/>
      <c r="O1098" s="36"/>
    </row>
    <row r="1099" spans="1:15" ht="21" x14ac:dyDescent="0.4">
      <c r="A1099" s="35"/>
      <c r="B1099" s="35"/>
      <c r="C1099" s="35"/>
      <c r="D1099" s="35"/>
      <c r="E1099" s="35"/>
      <c r="F1099" s="36"/>
      <c r="G1099" s="42"/>
      <c r="H1099" s="35"/>
      <c r="I1099" s="35"/>
      <c r="J1099" s="35"/>
      <c r="K1099" s="35"/>
      <c r="L1099" s="35"/>
      <c r="M1099" s="35"/>
      <c r="N1099" s="36"/>
      <c r="O1099" s="36"/>
    </row>
    <row r="1100" spans="1:15" ht="21" x14ac:dyDescent="0.4">
      <c r="A1100" s="35"/>
      <c r="B1100" s="35"/>
      <c r="C1100" s="35"/>
      <c r="D1100" s="35"/>
      <c r="E1100" s="35"/>
      <c r="F1100" s="36"/>
      <c r="G1100" s="42"/>
      <c r="H1100" s="35"/>
      <c r="I1100" s="35"/>
      <c r="J1100" s="35"/>
      <c r="K1100" s="35"/>
      <c r="L1100" s="35"/>
      <c r="M1100" s="35"/>
      <c r="N1100" s="36"/>
      <c r="O1100" s="36"/>
    </row>
    <row r="1101" spans="1:15" ht="21" x14ac:dyDescent="0.4">
      <c r="A1101" s="35"/>
      <c r="B1101" s="35"/>
      <c r="C1101" s="35"/>
      <c r="D1101" s="35"/>
      <c r="E1101" s="35"/>
      <c r="F1101" s="36"/>
      <c r="G1101" s="42"/>
      <c r="H1101" s="35"/>
      <c r="I1101" s="35"/>
      <c r="J1101" s="35"/>
      <c r="K1101" s="35"/>
      <c r="L1101" s="35"/>
      <c r="M1101" s="35"/>
      <c r="N1101" s="36"/>
      <c r="O1101" s="36"/>
    </row>
    <row r="1102" spans="1:15" ht="21" x14ac:dyDescent="0.4">
      <c r="A1102" s="35"/>
      <c r="B1102" s="35"/>
      <c r="C1102" s="35"/>
      <c r="D1102" s="35"/>
      <c r="E1102" s="35"/>
      <c r="F1102" s="36"/>
      <c r="G1102" s="42"/>
      <c r="H1102" s="35"/>
      <c r="I1102" s="35"/>
      <c r="J1102" s="35"/>
      <c r="K1102" s="35"/>
      <c r="L1102" s="35"/>
      <c r="M1102" s="35"/>
      <c r="N1102" s="36"/>
      <c r="O1102" s="36"/>
    </row>
    <row r="1103" spans="1:15" ht="21" x14ac:dyDescent="0.4">
      <c r="A1103" s="35"/>
      <c r="B1103" s="35"/>
      <c r="C1103" s="35"/>
      <c r="D1103" s="35"/>
      <c r="E1103" s="35"/>
      <c r="F1103" s="36"/>
      <c r="G1103" s="42"/>
      <c r="H1103" s="35"/>
      <c r="I1103" s="35"/>
      <c r="J1103" s="35"/>
      <c r="K1103" s="35"/>
      <c r="L1103" s="35"/>
      <c r="M1103" s="35"/>
      <c r="N1103" s="36"/>
      <c r="O1103" s="36"/>
    </row>
    <row r="1104" spans="1:15" ht="21" x14ac:dyDescent="0.4">
      <c r="A1104" s="35"/>
      <c r="B1104" s="35"/>
      <c r="C1104" s="35"/>
      <c r="D1104" s="35"/>
      <c r="E1104" s="35"/>
      <c r="F1104" s="36"/>
      <c r="G1104" s="42"/>
      <c r="H1104" s="35"/>
      <c r="I1104" s="35"/>
      <c r="J1104" s="35"/>
      <c r="K1104" s="35"/>
      <c r="L1104" s="35"/>
      <c r="M1104" s="35"/>
      <c r="N1104" s="36"/>
      <c r="O1104" s="36"/>
    </row>
    <row r="1105" spans="1:15" ht="21" x14ac:dyDescent="0.4">
      <c r="A1105" s="35"/>
      <c r="B1105" s="35"/>
      <c r="C1105" s="35"/>
      <c r="D1105" s="35"/>
      <c r="E1105" s="35"/>
      <c r="F1105" s="36"/>
      <c r="G1105" s="42"/>
      <c r="H1105" s="35"/>
      <c r="I1105" s="35"/>
      <c r="J1105" s="35"/>
      <c r="K1105" s="35"/>
      <c r="L1105" s="35"/>
      <c r="M1105" s="35"/>
      <c r="N1105" s="36"/>
      <c r="O1105" s="36"/>
    </row>
    <row r="1106" spans="1:15" ht="21" x14ac:dyDescent="0.4">
      <c r="A1106" s="35"/>
      <c r="B1106" s="35"/>
      <c r="C1106" s="35"/>
      <c r="D1106" s="35"/>
      <c r="E1106" s="35"/>
      <c r="F1106" s="36"/>
      <c r="G1106" s="42"/>
      <c r="H1106" s="35"/>
      <c r="I1106" s="35"/>
      <c r="J1106" s="35"/>
      <c r="K1106" s="35"/>
      <c r="L1106" s="35"/>
      <c r="M1106" s="35"/>
      <c r="N1106" s="36"/>
      <c r="O1106" s="36"/>
    </row>
    <row r="1107" spans="1:15" ht="21" x14ac:dyDescent="0.4">
      <c r="A1107" s="35"/>
      <c r="B1107" s="35"/>
      <c r="C1107" s="35"/>
      <c r="D1107" s="35"/>
      <c r="E1107" s="35"/>
      <c r="F1107" s="36"/>
      <c r="G1107" s="42"/>
      <c r="H1107" s="35"/>
      <c r="I1107" s="35"/>
      <c r="J1107" s="35"/>
      <c r="K1107" s="35"/>
      <c r="L1107" s="35"/>
      <c r="M1107" s="35"/>
      <c r="N1107" s="36"/>
      <c r="O1107" s="36"/>
    </row>
    <row r="1108" spans="1:15" ht="21" x14ac:dyDescent="0.4">
      <c r="A1108" s="35"/>
      <c r="B1108" s="35"/>
      <c r="C1108" s="35"/>
      <c r="D1108" s="35"/>
      <c r="E1108" s="35"/>
      <c r="F1108" s="36"/>
      <c r="G1108" s="42"/>
      <c r="H1108" s="35"/>
      <c r="I1108" s="35"/>
      <c r="J1108" s="35"/>
      <c r="K1108" s="35"/>
      <c r="L1108" s="35"/>
      <c r="M1108" s="35"/>
      <c r="N1108" s="36"/>
      <c r="O1108" s="36"/>
    </row>
    <row r="1109" spans="1:15" ht="21" x14ac:dyDescent="0.4">
      <c r="A1109" s="35"/>
      <c r="B1109" s="35"/>
      <c r="C1109" s="35"/>
      <c r="D1109" s="35"/>
      <c r="E1109" s="35"/>
      <c r="F1109" s="36"/>
      <c r="G1109" s="42"/>
      <c r="H1109" s="35"/>
      <c r="I1109" s="35"/>
      <c r="J1109" s="35"/>
      <c r="K1109" s="35"/>
      <c r="L1109" s="35"/>
      <c r="M1109" s="35"/>
      <c r="N1109" s="36"/>
      <c r="O1109" s="36"/>
    </row>
    <row r="1110" spans="1:15" ht="21" x14ac:dyDescent="0.4">
      <c r="A1110" s="35"/>
      <c r="B1110" s="35"/>
      <c r="C1110" s="35"/>
      <c r="D1110" s="35"/>
      <c r="E1110" s="35"/>
      <c r="F1110" s="36"/>
      <c r="G1110" s="42"/>
      <c r="H1110" s="35"/>
      <c r="I1110" s="35"/>
      <c r="J1110" s="35"/>
      <c r="K1110" s="35"/>
      <c r="L1110" s="35"/>
      <c r="M1110" s="35"/>
      <c r="N1110" s="36"/>
      <c r="O1110" s="36"/>
    </row>
    <row r="1111" spans="1:15" ht="21" x14ac:dyDescent="0.4">
      <c r="A1111" s="35"/>
      <c r="B1111" s="35"/>
      <c r="C1111" s="35"/>
      <c r="D1111" s="35"/>
      <c r="E1111" s="35"/>
      <c r="F1111" s="36"/>
      <c r="G1111" s="42"/>
      <c r="H1111" s="35"/>
      <c r="I1111" s="35"/>
      <c r="J1111" s="35"/>
      <c r="K1111" s="35"/>
      <c r="L1111" s="35"/>
      <c r="M1111" s="35"/>
      <c r="N1111" s="36"/>
      <c r="O1111" s="36"/>
    </row>
    <row r="1112" spans="1:15" ht="21" x14ac:dyDescent="0.4">
      <c r="A1112" s="35"/>
      <c r="B1112" s="35"/>
      <c r="C1112" s="35"/>
      <c r="D1112" s="35"/>
      <c r="E1112" s="35"/>
      <c r="F1112" s="36"/>
      <c r="G1112" s="42"/>
      <c r="H1112" s="35"/>
      <c r="I1112" s="35"/>
      <c r="J1112" s="35"/>
      <c r="K1112" s="35"/>
      <c r="L1112" s="35"/>
      <c r="M1112" s="35"/>
      <c r="N1112" s="36"/>
      <c r="O1112" s="36"/>
    </row>
    <row r="1113" spans="1:15" ht="21" x14ac:dyDescent="0.4">
      <c r="A1113" s="35"/>
      <c r="B1113" s="35"/>
      <c r="C1113" s="35"/>
      <c r="D1113" s="35"/>
      <c r="E1113" s="35"/>
      <c r="F1113" s="36"/>
      <c r="G1113" s="42"/>
      <c r="H1113" s="35"/>
      <c r="I1113" s="35"/>
      <c r="J1113" s="35"/>
      <c r="K1113" s="35"/>
      <c r="L1113" s="35"/>
      <c r="M1113" s="35"/>
      <c r="N1113" s="36"/>
      <c r="O1113" s="36"/>
    </row>
    <row r="1114" spans="1:15" ht="21" x14ac:dyDescent="0.4">
      <c r="A1114" s="35"/>
      <c r="B1114" s="35"/>
      <c r="C1114" s="35"/>
      <c r="D1114" s="35"/>
      <c r="E1114" s="35"/>
      <c r="F1114" s="36"/>
      <c r="G1114" s="42"/>
      <c r="H1114" s="35"/>
      <c r="I1114" s="35"/>
      <c r="J1114" s="35"/>
      <c r="K1114" s="35"/>
      <c r="L1114" s="35"/>
      <c r="M1114" s="35"/>
      <c r="N1114" s="36"/>
      <c r="O1114" s="36"/>
    </row>
    <row r="1115" spans="1:15" ht="21" x14ac:dyDescent="0.4">
      <c r="A1115" s="35"/>
      <c r="B1115" s="35"/>
      <c r="C1115" s="35"/>
      <c r="D1115" s="35"/>
      <c r="E1115" s="35"/>
      <c r="F1115" s="36"/>
      <c r="G1115" s="42"/>
      <c r="H1115" s="35"/>
      <c r="I1115" s="35"/>
      <c r="J1115" s="35"/>
      <c r="K1115" s="35"/>
      <c r="L1115" s="35"/>
      <c r="M1115" s="35"/>
      <c r="N1115" s="36"/>
      <c r="O1115" s="36"/>
    </row>
    <row r="1116" spans="1:15" ht="21" x14ac:dyDescent="0.4">
      <c r="A1116" s="35"/>
      <c r="B1116" s="35"/>
      <c r="C1116" s="35"/>
      <c r="D1116" s="35"/>
      <c r="E1116" s="35"/>
      <c r="F1116" s="36"/>
      <c r="G1116" s="42"/>
      <c r="H1116" s="35"/>
      <c r="I1116" s="35"/>
      <c r="J1116" s="35"/>
      <c r="K1116" s="35"/>
      <c r="L1116" s="35"/>
      <c r="M1116" s="35"/>
      <c r="N1116" s="36"/>
      <c r="O1116" s="36"/>
    </row>
    <row r="1117" spans="1:15" ht="21" x14ac:dyDescent="0.4">
      <c r="A1117" s="35"/>
      <c r="B1117" s="35"/>
      <c r="C1117" s="35"/>
      <c r="D1117" s="35"/>
      <c r="E1117" s="35"/>
      <c r="F1117" s="36"/>
      <c r="G1117" s="42"/>
      <c r="H1117" s="35"/>
      <c r="I1117" s="35"/>
      <c r="J1117" s="35"/>
      <c r="K1117" s="35"/>
      <c r="L1117" s="35"/>
      <c r="M1117" s="35"/>
      <c r="N1117" s="36"/>
      <c r="O1117" s="36"/>
    </row>
    <row r="1118" spans="1:15" ht="21" x14ac:dyDescent="0.4">
      <c r="A1118" s="35"/>
      <c r="B1118" s="35"/>
      <c r="C1118" s="35"/>
      <c r="D1118" s="35"/>
      <c r="E1118" s="35"/>
      <c r="F1118" s="36"/>
      <c r="G1118" s="42"/>
      <c r="H1118" s="35"/>
      <c r="I1118" s="35"/>
      <c r="J1118" s="35"/>
      <c r="K1118" s="35"/>
      <c r="L1118" s="35"/>
      <c r="M1118" s="35"/>
      <c r="N1118" s="36"/>
      <c r="O1118" s="36"/>
    </row>
    <row r="1119" spans="1:15" ht="21" x14ac:dyDescent="0.4">
      <c r="A1119" s="35"/>
      <c r="B1119" s="35"/>
      <c r="C1119" s="35"/>
      <c r="D1119" s="35"/>
      <c r="E1119" s="35"/>
      <c r="F1119" s="36"/>
      <c r="G1119" s="42"/>
      <c r="H1119" s="35"/>
      <c r="I1119" s="35"/>
      <c r="J1119" s="35"/>
      <c r="K1119" s="35"/>
      <c r="L1119" s="35"/>
      <c r="M1119" s="35"/>
      <c r="N1119" s="36"/>
      <c r="O1119" s="36"/>
    </row>
    <row r="1120" spans="1:15" ht="21" x14ac:dyDescent="0.4">
      <c r="A1120" s="35"/>
      <c r="B1120" s="35"/>
      <c r="C1120" s="35"/>
      <c r="D1120" s="35"/>
      <c r="E1120" s="35"/>
      <c r="F1120" s="36"/>
      <c r="G1120" s="42"/>
      <c r="H1120" s="35"/>
      <c r="I1120" s="35"/>
      <c r="J1120" s="35"/>
      <c r="K1120" s="35"/>
      <c r="L1120" s="35"/>
      <c r="M1120" s="35"/>
      <c r="N1120" s="36"/>
      <c r="O1120" s="36"/>
    </row>
    <row r="1121" spans="1:15" ht="21" x14ac:dyDescent="0.4">
      <c r="A1121" s="35"/>
      <c r="B1121" s="35"/>
      <c r="C1121" s="35"/>
      <c r="D1121" s="35"/>
      <c r="E1121" s="35"/>
      <c r="F1121" s="36"/>
      <c r="G1121" s="42"/>
      <c r="H1121" s="35"/>
      <c r="I1121" s="35"/>
      <c r="J1121" s="35"/>
      <c r="K1121" s="35"/>
      <c r="L1121" s="35"/>
      <c r="M1121" s="35"/>
      <c r="N1121" s="36"/>
      <c r="O1121" s="36"/>
    </row>
    <row r="1122" spans="1:15" ht="21" x14ac:dyDescent="0.4">
      <c r="A1122" s="35"/>
      <c r="B1122" s="35"/>
      <c r="C1122" s="35"/>
      <c r="D1122" s="35"/>
      <c r="E1122" s="35"/>
      <c r="F1122" s="36"/>
      <c r="G1122" s="42"/>
      <c r="H1122" s="35"/>
      <c r="I1122" s="35"/>
      <c r="J1122" s="35"/>
      <c r="K1122" s="35"/>
      <c r="L1122" s="35"/>
      <c r="M1122" s="35"/>
      <c r="N1122" s="36"/>
      <c r="O1122" s="36"/>
    </row>
    <row r="1123" spans="1:15" ht="21" x14ac:dyDescent="0.4">
      <c r="A1123" s="35"/>
      <c r="B1123" s="35"/>
      <c r="C1123" s="35"/>
      <c r="D1123" s="35"/>
      <c r="E1123" s="35"/>
      <c r="F1123" s="36"/>
      <c r="G1123" s="42"/>
      <c r="H1123" s="35"/>
      <c r="I1123" s="35"/>
      <c r="J1123" s="35"/>
      <c r="K1123" s="35"/>
      <c r="L1123" s="35"/>
      <c r="M1123" s="35"/>
      <c r="N1123" s="36"/>
      <c r="O1123" s="36"/>
    </row>
    <row r="1124" spans="1:15" ht="21" x14ac:dyDescent="0.4">
      <c r="A1124" s="35"/>
      <c r="B1124" s="35"/>
      <c r="C1124" s="35"/>
      <c r="D1124" s="35"/>
      <c r="E1124" s="35"/>
      <c r="F1124" s="36"/>
      <c r="G1124" s="42"/>
      <c r="H1124" s="35"/>
      <c r="I1124" s="35"/>
      <c r="J1124" s="35"/>
      <c r="K1124" s="35"/>
      <c r="L1124" s="35"/>
      <c r="M1124" s="35"/>
      <c r="N1124" s="36"/>
      <c r="O1124" s="36"/>
    </row>
    <row r="1125" spans="1:15" ht="21" x14ac:dyDescent="0.4">
      <c r="A1125" s="35"/>
      <c r="B1125" s="35"/>
      <c r="C1125" s="35"/>
      <c r="D1125" s="35"/>
      <c r="E1125" s="35"/>
      <c r="F1125" s="36"/>
      <c r="G1125" s="42"/>
      <c r="H1125" s="35"/>
      <c r="I1125" s="35"/>
      <c r="J1125" s="35"/>
      <c r="K1125" s="35"/>
      <c r="L1125" s="35"/>
      <c r="M1125" s="35"/>
      <c r="N1125" s="36"/>
      <c r="O1125" s="36"/>
    </row>
    <row r="1126" spans="1:15" ht="21" x14ac:dyDescent="0.4">
      <c r="A1126" s="35"/>
      <c r="B1126" s="35"/>
      <c r="C1126" s="35"/>
      <c r="D1126" s="35"/>
      <c r="E1126" s="35"/>
      <c r="F1126" s="36"/>
      <c r="G1126" s="42"/>
      <c r="H1126" s="35"/>
      <c r="I1126" s="35"/>
      <c r="J1126" s="35"/>
      <c r="K1126" s="35"/>
      <c r="L1126" s="35"/>
      <c r="M1126" s="35"/>
      <c r="N1126" s="36"/>
      <c r="O1126" s="36"/>
    </row>
    <row r="1127" spans="1:15" ht="21" x14ac:dyDescent="0.4">
      <c r="A1127" s="35"/>
      <c r="B1127" s="35"/>
      <c r="C1127" s="35"/>
      <c r="D1127" s="35"/>
      <c r="E1127" s="35"/>
      <c r="F1127" s="36"/>
      <c r="G1127" s="42"/>
      <c r="H1127" s="35"/>
      <c r="I1127" s="35"/>
      <c r="J1127" s="35"/>
      <c r="K1127" s="35"/>
      <c r="L1127" s="35"/>
      <c r="M1127" s="35"/>
      <c r="N1127" s="36"/>
      <c r="O1127" s="36"/>
    </row>
    <row r="1128" spans="1:15" ht="21" x14ac:dyDescent="0.4">
      <c r="A1128" s="35"/>
      <c r="B1128" s="35"/>
      <c r="C1128" s="35"/>
      <c r="D1128" s="35"/>
      <c r="E1128" s="35"/>
      <c r="F1128" s="36"/>
      <c r="G1128" s="42"/>
      <c r="H1128" s="35"/>
      <c r="I1128" s="35"/>
      <c r="J1128" s="35"/>
      <c r="K1128" s="35"/>
      <c r="L1128" s="35"/>
      <c r="M1128" s="35"/>
      <c r="N1128" s="36"/>
      <c r="O1128" s="36"/>
    </row>
    <row r="1129" spans="1:15" ht="21" x14ac:dyDescent="0.4">
      <c r="A1129" s="35"/>
      <c r="B1129" s="35"/>
      <c r="C1129" s="35"/>
      <c r="D1129" s="35"/>
      <c r="E1129" s="35"/>
      <c r="F1129" s="36"/>
      <c r="G1129" s="42"/>
      <c r="H1129" s="35"/>
      <c r="I1129" s="35"/>
      <c r="J1129" s="35"/>
      <c r="K1129" s="35"/>
      <c r="L1129" s="35"/>
      <c r="M1129" s="35"/>
      <c r="N1129" s="36"/>
      <c r="O1129" s="36"/>
    </row>
    <row r="1130" spans="1:15" ht="21" x14ac:dyDescent="0.4">
      <c r="A1130" s="35"/>
      <c r="B1130" s="35"/>
      <c r="C1130" s="35"/>
      <c r="D1130" s="35"/>
      <c r="E1130" s="35"/>
      <c r="F1130" s="36"/>
      <c r="G1130" s="42"/>
      <c r="H1130" s="35"/>
      <c r="I1130" s="35"/>
      <c r="J1130" s="35"/>
      <c r="K1130" s="35"/>
      <c r="L1130" s="35"/>
      <c r="M1130" s="35"/>
      <c r="N1130" s="36"/>
      <c r="O1130" s="36"/>
    </row>
    <row r="1131" spans="1:15" ht="21" x14ac:dyDescent="0.4">
      <c r="A1131" s="35"/>
      <c r="B1131" s="35"/>
      <c r="C1131" s="35"/>
      <c r="D1131" s="35"/>
      <c r="E1131" s="35"/>
      <c r="F1131" s="36"/>
      <c r="G1131" s="42"/>
      <c r="H1131" s="35"/>
      <c r="I1131" s="35"/>
      <c r="J1131" s="35"/>
      <c r="K1131" s="35"/>
      <c r="L1131" s="35"/>
      <c r="M1131" s="35"/>
      <c r="N1131" s="36"/>
      <c r="O1131" s="36"/>
    </row>
    <row r="1132" spans="1:15" ht="21" x14ac:dyDescent="0.4">
      <c r="A1132" s="35"/>
      <c r="B1132" s="35"/>
      <c r="C1132" s="35"/>
      <c r="D1132" s="35"/>
      <c r="E1132" s="35"/>
      <c r="F1132" s="36"/>
      <c r="G1132" s="42"/>
      <c r="H1132" s="35"/>
      <c r="I1132" s="35"/>
      <c r="J1132" s="35"/>
      <c r="K1132" s="35"/>
      <c r="L1132" s="35"/>
      <c r="M1132" s="35"/>
      <c r="N1132" s="36"/>
      <c r="O1132" s="36"/>
    </row>
    <row r="1133" spans="1:15" ht="21" x14ac:dyDescent="0.4">
      <c r="A1133" s="35"/>
      <c r="B1133" s="35"/>
      <c r="C1133" s="35"/>
      <c r="D1133" s="35"/>
      <c r="E1133" s="35"/>
      <c r="F1133" s="36"/>
      <c r="G1133" s="42"/>
      <c r="H1133" s="35"/>
      <c r="I1133" s="35"/>
      <c r="J1133" s="35"/>
      <c r="K1133" s="35"/>
      <c r="L1133" s="35"/>
      <c r="M1133" s="35"/>
      <c r="N1133" s="36"/>
      <c r="O1133" s="36"/>
    </row>
    <row r="1134" spans="1:15" ht="21" x14ac:dyDescent="0.4">
      <c r="A1134" s="35"/>
      <c r="B1134" s="35"/>
      <c r="C1134" s="35"/>
      <c r="D1134" s="35"/>
      <c r="E1134" s="35"/>
      <c r="F1134" s="36"/>
      <c r="G1134" s="42"/>
      <c r="H1134" s="35"/>
      <c r="I1134" s="35"/>
      <c r="J1134" s="35"/>
      <c r="K1134" s="35"/>
      <c r="L1134" s="35"/>
      <c r="M1134" s="35"/>
      <c r="N1134" s="36"/>
      <c r="O1134" s="36"/>
    </row>
    <row r="1135" spans="1:15" ht="21" x14ac:dyDescent="0.4">
      <c r="A1135" s="35"/>
      <c r="B1135" s="35"/>
      <c r="C1135" s="35"/>
      <c r="D1135" s="35"/>
      <c r="E1135" s="35"/>
      <c r="F1135" s="36"/>
      <c r="G1135" s="42"/>
      <c r="H1135" s="35"/>
      <c r="I1135" s="35"/>
      <c r="J1135" s="35"/>
      <c r="K1135" s="35"/>
      <c r="L1135" s="35"/>
      <c r="M1135" s="35"/>
      <c r="N1135" s="36"/>
      <c r="O1135" s="36"/>
    </row>
    <row r="1136" spans="1:15" ht="21" x14ac:dyDescent="0.4">
      <c r="A1136" s="35"/>
      <c r="B1136" s="35"/>
      <c r="C1136" s="35"/>
      <c r="D1136" s="35"/>
      <c r="E1136" s="35"/>
      <c r="F1136" s="36"/>
      <c r="G1136" s="42"/>
      <c r="H1136" s="35"/>
      <c r="I1136" s="35"/>
      <c r="J1136" s="35"/>
      <c r="K1136" s="35"/>
      <c r="L1136" s="35"/>
      <c r="M1136" s="35"/>
      <c r="N1136" s="36"/>
      <c r="O1136" s="36"/>
    </row>
    <row r="1137" spans="1:15" ht="21" x14ac:dyDescent="0.4">
      <c r="A1137" s="35"/>
      <c r="B1137" s="35"/>
      <c r="C1137" s="35"/>
      <c r="D1137" s="35"/>
      <c r="E1137" s="35"/>
      <c r="F1137" s="36"/>
      <c r="G1137" s="42"/>
      <c r="H1137" s="35"/>
      <c r="I1137" s="35"/>
      <c r="J1137" s="35"/>
      <c r="K1137" s="35"/>
      <c r="L1137" s="35"/>
      <c r="M1137" s="35"/>
      <c r="N1137" s="36"/>
      <c r="O1137" s="36"/>
    </row>
    <row r="1138" spans="1:15" ht="21" x14ac:dyDescent="0.4">
      <c r="A1138" s="35"/>
      <c r="B1138" s="35"/>
      <c r="C1138" s="35"/>
      <c r="D1138" s="35"/>
      <c r="E1138" s="35"/>
      <c r="F1138" s="36"/>
      <c r="G1138" s="42"/>
      <c r="H1138" s="35"/>
      <c r="I1138" s="35"/>
      <c r="J1138" s="35"/>
      <c r="K1138" s="35"/>
      <c r="L1138" s="35"/>
      <c r="M1138" s="35"/>
      <c r="N1138" s="36"/>
      <c r="O1138" s="36"/>
    </row>
    <row r="1139" spans="1:15" ht="21" x14ac:dyDescent="0.4">
      <c r="A1139" s="35"/>
      <c r="B1139" s="35"/>
      <c r="C1139" s="35"/>
      <c r="D1139" s="35"/>
      <c r="E1139" s="35"/>
      <c r="F1139" s="36"/>
      <c r="G1139" s="42"/>
      <c r="H1139" s="35"/>
      <c r="I1139" s="35"/>
      <c r="J1139" s="35"/>
      <c r="K1139" s="35"/>
      <c r="L1139" s="35"/>
      <c r="M1139" s="35"/>
      <c r="N1139" s="36"/>
      <c r="O1139" s="36"/>
    </row>
    <row r="1140" spans="1:15" ht="21" x14ac:dyDescent="0.4">
      <c r="A1140" s="35"/>
      <c r="B1140" s="35"/>
      <c r="C1140" s="35"/>
      <c r="D1140" s="35"/>
      <c r="E1140" s="35"/>
      <c r="F1140" s="36"/>
      <c r="G1140" s="42"/>
      <c r="H1140" s="35"/>
      <c r="I1140" s="35"/>
      <c r="J1140" s="35"/>
      <c r="K1140" s="35"/>
      <c r="L1140" s="35"/>
      <c r="M1140" s="35"/>
      <c r="N1140" s="36"/>
      <c r="O1140" s="36"/>
    </row>
    <row r="1141" spans="1:15" ht="21" x14ac:dyDescent="0.4">
      <c r="A1141" s="35"/>
      <c r="B1141" s="35"/>
      <c r="C1141" s="35"/>
      <c r="D1141" s="35"/>
      <c r="E1141" s="35"/>
      <c r="F1141" s="36"/>
      <c r="G1141" s="42"/>
      <c r="H1141" s="35"/>
      <c r="I1141" s="35"/>
      <c r="J1141" s="35"/>
      <c r="K1141" s="35"/>
      <c r="L1141" s="35"/>
      <c r="M1141" s="35"/>
      <c r="N1141" s="36"/>
      <c r="O1141" s="36"/>
    </row>
    <row r="1142" spans="1:15" ht="21" x14ac:dyDescent="0.4">
      <c r="A1142" s="35"/>
      <c r="B1142" s="35"/>
      <c r="C1142" s="35"/>
      <c r="D1142" s="35"/>
      <c r="E1142" s="35"/>
      <c r="F1142" s="36"/>
      <c r="G1142" s="42"/>
      <c r="H1142" s="35"/>
      <c r="I1142" s="35"/>
      <c r="J1142" s="35"/>
      <c r="K1142" s="35"/>
      <c r="L1142" s="35"/>
      <c r="M1142" s="35"/>
      <c r="N1142" s="36"/>
      <c r="O1142" s="36"/>
    </row>
    <row r="1143" spans="1:15" ht="21" x14ac:dyDescent="0.4">
      <c r="A1143" s="35"/>
      <c r="B1143" s="35"/>
      <c r="C1143" s="35"/>
      <c r="D1143" s="35"/>
      <c r="E1143" s="35"/>
      <c r="F1143" s="36"/>
      <c r="G1143" s="42"/>
      <c r="H1143" s="35"/>
      <c r="I1143" s="35"/>
      <c r="J1143" s="35"/>
      <c r="K1143" s="35"/>
      <c r="L1143" s="35"/>
      <c r="M1143" s="35"/>
      <c r="N1143" s="36"/>
      <c r="O1143" s="36"/>
    </row>
    <row r="1144" spans="1:15" ht="21" x14ac:dyDescent="0.4">
      <c r="A1144" s="35"/>
      <c r="B1144" s="35"/>
      <c r="C1144" s="35"/>
      <c r="D1144" s="35"/>
      <c r="E1144" s="35"/>
      <c r="F1144" s="36"/>
      <c r="G1144" s="42"/>
      <c r="H1144" s="35"/>
      <c r="I1144" s="35"/>
      <c r="J1144" s="35"/>
      <c r="K1144" s="35"/>
      <c r="L1144" s="35"/>
      <c r="M1144" s="35"/>
      <c r="N1144" s="36"/>
      <c r="O1144" s="36"/>
    </row>
    <row r="1145" spans="1:15" ht="21" x14ac:dyDescent="0.4">
      <c r="A1145" s="35"/>
      <c r="B1145" s="35"/>
      <c r="C1145" s="35"/>
      <c r="D1145" s="35"/>
      <c r="E1145" s="35"/>
      <c r="F1145" s="36"/>
      <c r="G1145" s="42"/>
      <c r="H1145" s="35"/>
      <c r="I1145" s="35"/>
      <c r="J1145" s="35"/>
      <c r="K1145" s="35"/>
      <c r="L1145" s="35"/>
      <c r="M1145" s="35"/>
      <c r="N1145" s="36"/>
      <c r="O1145" s="36"/>
    </row>
    <row r="1146" spans="1:15" ht="21" x14ac:dyDescent="0.4">
      <c r="A1146" s="35"/>
      <c r="B1146" s="35"/>
      <c r="C1146" s="35"/>
      <c r="D1146" s="35"/>
      <c r="E1146" s="35"/>
      <c r="F1146" s="36"/>
      <c r="G1146" s="42"/>
      <c r="H1146" s="35"/>
      <c r="I1146" s="35"/>
      <c r="J1146" s="35"/>
      <c r="K1146" s="35"/>
      <c r="L1146" s="35"/>
      <c r="M1146" s="35"/>
      <c r="N1146" s="36"/>
      <c r="O1146" s="36"/>
    </row>
    <row r="1147" spans="1:15" ht="21" x14ac:dyDescent="0.4">
      <c r="A1147" s="35"/>
      <c r="B1147" s="35"/>
      <c r="C1147" s="35"/>
      <c r="D1147" s="35"/>
      <c r="E1147" s="35"/>
      <c r="F1147" s="36"/>
      <c r="G1147" s="42"/>
      <c r="H1147" s="35"/>
      <c r="I1147" s="35"/>
      <c r="J1147" s="35"/>
      <c r="K1147" s="35"/>
      <c r="L1147" s="35"/>
      <c r="M1147" s="35"/>
      <c r="N1147" s="36"/>
      <c r="O1147" s="36"/>
    </row>
    <row r="1148" spans="1:15" ht="21" x14ac:dyDescent="0.4">
      <c r="A1148" s="35"/>
      <c r="B1148" s="35"/>
      <c r="C1148" s="35"/>
      <c r="D1148" s="35"/>
      <c r="E1148" s="35"/>
      <c r="F1148" s="36"/>
      <c r="G1148" s="42"/>
      <c r="H1148" s="35"/>
      <c r="I1148" s="35"/>
      <c r="J1148" s="35"/>
      <c r="K1148" s="35"/>
      <c r="L1148" s="35"/>
      <c r="M1148" s="35"/>
      <c r="N1148" s="36"/>
      <c r="O1148" s="36"/>
    </row>
    <row r="1149" spans="1:15" ht="21" x14ac:dyDescent="0.4">
      <c r="A1149" s="35"/>
      <c r="B1149" s="35"/>
      <c r="C1149" s="35"/>
      <c r="D1149" s="35"/>
      <c r="E1149" s="35"/>
      <c r="F1149" s="36"/>
      <c r="G1149" s="42"/>
      <c r="H1149" s="35"/>
      <c r="I1149" s="35"/>
      <c r="J1149" s="35"/>
      <c r="K1149" s="35"/>
      <c r="L1149" s="35"/>
      <c r="M1149" s="35"/>
      <c r="N1149" s="36"/>
      <c r="O1149" s="36"/>
    </row>
    <row r="1150" spans="1:15" ht="21" x14ac:dyDescent="0.4">
      <c r="A1150" s="35"/>
      <c r="B1150" s="35"/>
      <c r="C1150" s="35"/>
      <c r="D1150" s="35"/>
      <c r="E1150" s="35"/>
      <c r="F1150" s="36"/>
      <c r="G1150" s="42"/>
      <c r="H1150" s="35"/>
      <c r="I1150" s="35"/>
      <c r="J1150" s="35"/>
      <c r="K1150" s="35"/>
      <c r="L1150" s="35"/>
      <c r="M1150" s="35"/>
      <c r="N1150" s="36"/>
      <c r="O1150" s="36"/>
    </row>
    <row r="1151" spans="1:15" ht="21" x14ac:dyDescent="0.4">
      <c r="A1151" s="35"/>
      <c r="B1151" s="35"/>
      <c r="C1151" s="35"/>
      <c r="D1151" s="35"/>
      <c r="E1151" s="35"/>
      <c r="F1151" s="36"/>
      <c r="G1151" s="42"/>
      <c r="H1151" s="35"/>
      <c r="I1151" s="35"/>
      <c r="J1151" s="35"/>
      <c r="K1151" s="35"/>
      <c r="L1151" s="35"/>
      <c r="M1151" s="35"/>
      <c r="N1151" s="36"/>
      <c r="O1151" s="36"/>
    </row>
    <row r="1152" spans="1:15" ht="21" x14ac:dyDescent="0.4">
      <c r="A1152" s="35"/>
      <c r="B1152" s="35"/>
      <c r="C1152" s="35"/>
      <c r="D1152" s="35"/>
      <c r="E1152" s="35"/>
      <c r="F1152" s="36"/>
      <c r="G1152" s="42"/>
      <c r="H1152" s="35"/>
      <c r="I1152" s="35"/>
      <c r="J1152" s="35"/>
      <c r="K1152" s="35"/>
      <c r="L1152" s="35"/>
      <c r="M1152" s="35"/>
      <c r="N1152" s="36"/>
      <c r="O1152" s="36"/>
    </row>
    <row r="1153" spans="1:15" ht="21" x14ac:dyDescent="0.4">
      <c r="A1153" s="35"/>
      <c r="B1153" s="35"/>
      <c r="C1153" s="35"/>
      <c r="D1153" s="35"/>
      <c r="E1153" s="35"/>
      <c r="F1153" s="36"/>
      <c r="G1153" s="42"/>
      <c r="H1153" s="35"/>
      <c r="I1153" s="35"/>
      <c r="J1153" s="35"/>
      <c r="K1153" s="35"/>
      <c r="L1153" s="35"/>
      <c r="M1153" s="35"/>
      <c r="N1153" s="36"/>
      <c r="O1153" s="36"/>
    </row>
    <row r="1154" spans="1:15" ht="21" x14ac:dyDescent="0.4">
      <c r="A1154" s="35"/>
      <c r="B1154" s="35"/>
      <c r="C1154" s="35"/>
      <c r="D1154" s="35"/>
      <c r="E1154" s="35"/>
      <c r="F1154" s="36"/>
      <c r="G1154" s="42"/>
      <c r="H1154" s="35"/>
      <c r="I1154" s="35"/>
      <c r="J1154" s="35"/>
      <c r="K1154" s="35"/>
      <c r="L1154" s="35"/>
      <c r="M1154" s="35"/>
      <c r="N1154" s="36"/>
      <c r="O1154" s="36"/>
    </row>
    <row r="1155" spans="1:15" ht="21" x14ac:dyDescent="0.4">
      <c r="A1155" s="35"/>
      <c r="B1155" s="35"/>
      <c r="C1155" s="35"/>
      <c r="D1155" s="35"/>
      <c r="E1155" s="35"/>
      <c r="F1155" s="36"/>
      <c r="G1155" s="42"/>
      <c r="H1155" s="35"/>
      <c r="I1155" s="35"/>
      <c r="J1155" s="35"/>
      <c r="K1155" s="35"/>
      <c r="L1155" s="35"/>
      <c r="M1155" s="35"/>
      <c r="N1155" s="36"/>
      <c r="O1155" s="36"/>
    </row>
    <row r="1156" spans="1:15" ht="21" x14ac:dyDescent="0.4">
      <c r="A1156" s="35"/>
      <c r="B1156" s="35"/>
      <c r="C1156" s="35"/>
      <c r="D1156" s="35"/>
      <c r="E1156" s="35"/>
      <c r="F1156" s="36"/>
      <c r="G1156" s="42"/>
      <c r="H1156" s="35"/>
      <c r="I1156" s="35"/>
      <c r="J1156" s="35"/>
      <c r="K1156" s="35"/>
      <c r="L1156" s="35"/>
      <c r="M1156" s="35"/>
      <c r="N1156" s="36"/>
      <c r="O1156" s="36"/>
    </row>
    <row r="1157" spans="1:15" ht="21" x14ac:dyDescent="0.4">
      <c r="A1157" s="35"/>
      <c r="B1157" s="35"/>
      <c r="C1157" s="35"/>
      <c r="D1157" s="35"/>
      <c r="E1157" s="35"/>
      <c r="F1157" s="36"/>
      <c r="G1157" s="42"/>
      <c r="H1157" s="35"/>
      <c r="I1157" s="35"/>
      <c r="J1157" s="35"/>
      <c r="K1157" s="35"/>
      <c r="L1157" s="35"/>
      <c r="M1157" s="35"/>
      <c r="N1157" s="36"/>
      <c r="O1157" s="36"/>
    </row>
    <row r="1158" spans="1:15" ht="21" x14ac:dyDescent="0.4">
      <c r="A1158" s="35"/>
      <c r="B1158" s="35"/>
      <c r="C1158" s="35"/>
      <c r="D1158" s="35"/>
      <c r="E1158" s="35"/>
      <c r="F1158" s="36"/>
      <c r="G1158" s="42"/>
      <c r="H1158" s="35"/>
      <c r="I1158" s="35"/>
      <c r="J1158" s="35"/>
      <c r="K1158" s="35"/>
      <c r="L1158" s="35"/>
      <c r="M1158" s="35"/>
      <c r="N1158" s="36"/>
      <c r="O1158" s="36"/>
    </row>
    <row r="1159" spans="1:15" ht="21" x14ac:dyDescent="0.4">
      <c r="A1159" s="35"/>
      <c r="B1159" s="35"/>
      <c r="C1159" s="35"/>
      <c r="D1159" s="35"/>
      <c r="E1159" s="35"/>
      <c r="F1159" s="36"/>
      <c r="G1159" s="42"/>
      <c r="H1159" s="35"/>
      <c r="I1159" s="35"/>
      <c r="J1159" s="35"/>
      <c r="K1159" s="35"/>
      <c r="L1159" s="35"/>
      <c r="M1159" s="35"/>
      <c r="N1159" s="36"/>
      <c r="O1159" s="36"/>
    </row>
    <row r="1160" spans="1:15" ht="21" x14ac:dyDescent="0.4">
      <c r="A1160" s="35"/>
      <c r="B1160" s="35"/>
      <c r="C1160" s="35"/>
      <c r="D1160" s="35"/>
      <c r="E1160" s="35"/>
      <c r="F1160" s="36"/>
      <c r="G1160" s="42"/>
      <c r="H1160" s="35"/>
      <c r="I1160" s="35"/>
      <c r="J1160" s="35"/>
      <c r="K1160" s="35"/>
      <c r="L1160" s="35"/>
      <c r="M1160" s="35"/>
      <c r="N1160" s="36"/>
      <c r="O1160" s="36"/>
    </row>
    <row r="1161" spans="1:15" ht="21" x14ac:dyDescent="0.4">
      <c r="A1161" s="35"/>
      <c r="B1161" s="35"/>
      <c r="C1161" s="35"/>
      <c r="D1161" s="35"/>
      <c r="E1161" s="35"/>
      <c r="F1161" s="36"/>
      <c r="G1161" s="42"/>
      <c r="H1161" s="35"/>
      <c r="I1161" s="35"/>
      <c r="J1161" s="35"/>
      <c r="K1161" s="35"/>
      <c r="L1161" s="35"/>
      <c r="M1161" s="35"/>
      <c r="N1161" s="36"/>
      <c r="O1161" s="36"/>
    </row>
    <row r="1162" spans="1:15" ht="21" x14ac:dyDescent="0.4">
      <c r="A1162" s="35"/>
      <c r="B1162" s="35"/>
      <c r="C1162" s="35"/>
      <c r="D1162" s="35"/>
      <c r="E1162" s="35"/>
      <c r="F1162" s="36"/>
      <c r="G1162" s="42"/>
      <c r="H1162" s="35"/>
      <c r="I1162" s="35"/>
      <c r="J1162" s="35"/>
      <c r="K1162" s="35"/>
      <c r="L1162" s="35"/>
      <c r="M1162" s="35"/>
      <c r="N1162" s="36"/>
      <c r="O1162" s="36"/>
    </row>
    <row r="1163" spans="1:15" ht="21" x14ac:dyDescent="0.4">
      <c r="A1163" s="35"/>
      <c r="B1163" s="35"/>
      <c r="C1163" s="35"/>
      <c r="D1163" s="35"/>
      <c r="E1163" s="35"/>
      <c r="F1163" s="36"/>
      <c r="G1163" s="42"/>
      <c r="H1163" s="35"/>
      <c r="I1163" s="35"/>
      <c r="J1163" s="35"/>
      <c r="K1163" s="35"/>
      <c r="L1163" s="35"/>
      <c r="M1163" s="35"/>
      <c r="N1163" s="36"/>
      <c r="O1163" s="36"/>
    </row>
    <row r="1164" spans="1:15" ht="21" x14ac:dyDescent="0.4">
      <c r="A1164" s="35"/>
      <c r="B1164" s="35"/>
      <c r="C1164" s="35"/>
      <c r="D1164" s="35"/>
      <c r="E1164" s="35"/>
      <c r="F1164" s="36"/>
      <c r="G1164" s="42"/>
      <c r="H1164" s="35"/>
      <c r="I1164" s="35"/>
      <c r="J1164" s="35"/>
      <c r="K1164" s="35"/>
      <c r="L1164" s="35"/>
      <c r="M1164" s="35"/>
      <c r="N1164" s="36"/>
      <c r="O1164" s="36"/>
    </row>
    <row r="1165" spans="1:15" ht="21" x14ac:dyDescent="0.4">
      <c r="A1165" s="35"/>
      <c r="B1165" s="35"/>
      <c r="C1165" s="35"/>
      <c r="D1165" s="35"/>
      <c r="E1165" s="35"/>
      <c r="F1165" s="36"/>
      <c r="G1165" s="42"/>
      <c r="H1165" s="35"/>
      <c r="I1165" s="35"/>
      <c r="J1165" s="35"/>
      <c r="K1165" s="35"/>
      <c r="L1165" s="35"/>
      <c r="M1165" s="35"/>
      <c r="N1165" s="36"/>
      <c r="O1165" s="36"/>
    </row>
    <row r="1166" spans="1:15" ht="21" x14ac:dyDescent="0.4">
      <c r="A1166" s="35"/>
      <c r="B1166" s="35"/>
      <c r="C1166" s="35"/>
      <c r="D1166" s="35"/>
      <c r="E1166" s="35"/>
      <c r="F1166" s="36"/>
      <c r="G1166" s="42"/>
      <c r="H1166" s="35"/>
      <c r="I1166" s="35"/>
      <c r="J1166" s="35"/>
      <c r="K1166" s="35"/>
      <c r="L1166" s="35"/>
      <c r="M1166" s="35"/>
      <c r="N1166" s="36"/>
      <c r="O1166" s="36"/>
    </row>
    <row r="1167" spans="1:15" ht="21" x14ac:dyDescent="0.4">
      <c r="A1167" s="35"/>
      <c r="B1167" s="35"/>
      <c r="C1167" s="35"/>
      <c r="D1167" s="35"/>
      <c r="E1167" s="35"/>
      <c r="F1167" s="36"/>
      <c r="G1167" s="42"/>
      <c r="H1167" s="35"/>
      <c r="I1167" s="35"/>
      <c r="J1167" s="35"/>
      <c r="K1167" s="35"/>
      <c r="L1167" s="35"/>
      <c r="M1167" s="35"/>
      <c r="N1167" s="36"/>
      <c r="O1167" s="36"/>
    </row>
    <row r="1168" spans="1:15" ht="21" x14ac:dyDescent="0.4">
      <c r="A1168" s="35"/>
      <c r="B1168" s="35"/>
      <c r="C1168" s="35"/>
      <c r="D1168" s="35"/>
      <c r="E1168" s="35"/>
      <c r="F1168" s="36"/>
      <c r="G1168" s="42"/>
      <c r="H1168" s="35"/>
      <c r="I1168" s="35"/>
      <c r="J1168" s="35"/>
      <c r="K1168" s="35"/>
      <c r="L1168" s="35"/>
      <c r="M1168" s="35"/>
      <c r="N1168" s="36"/>
      <c r="O1168" s="36"/>
    </row>
    <row r="1169" spans="1:15" ht="21" x14ac:dyDescent="0.4">
      <c r="A1169" s="35"/>
      <c r="B1169" s="35"/>
      <c r="C1169" s="35"/>
      <c r="D1169" s="35"/>
      <c r="E1169" s="35"/>
      <c r="F1169" s="36"/>
      <c r="G1169" s="42"/>
      <c r="H1169" s="35"/>
      <c r="I1169" s="35"/>
      <c r="J1169" s="35"/>
      <c r="K1169" s="35"/>
      <c r="L1169" s="35"/>
      <c r="M1169" s="35"/>
      <c r="N1169" s="36"/>
      <c r="O1169" s="36"/>
    </row>
    <row r="1170" spans="1:15" ht="21" x14ac:dyDescent="0.4">
      <c r="A1170" s="35"/>
      <c r="B1170" s="35"/>
      <c r="C1170" s="35"/>
      <c r="D1170" s="35"/>
      <c r="E1170" s="35"/>
      <c r="F1170" s="36"/>
      <c r="G1170" s="42"/>
      <c r="H1170" s="35"/>
      <c r="I1170" s="35"/>
      <c r="J1170" s="35"/>
      <c r="K1170" s="35"/>
      <c r="L1170" s="35"/>
      <c r="M1170" s="35"/>
      <c r="N1170" s="36"/>
      <c r="O1170" s="36"/>
    </row>
    <row r="1171" spans="1:15" ht="21" x14ac:dyDescent="0.4">
      <c r="A1171" s="35"/>
      <c r="B1171" s="35"/>
      <c r="C1171" s="35"/>
      <c r="D1171" s="35"/>
      <c r="E1171" s="35"/>
      <c r="F1171" s="36"/>
      <c r="G1171" s="42"/>
      <c r="H1171" s="35"/>
      <c r="I1171" s="35"/>
      <c r="J1171" s="35"/>
      <c r="K1171" s="35"/>
      <c r="L1171" s="35"/>
      <c r="M1171" s="35"/>
      <c r="N1171" s="36"/>
      <c r="O1171" s="36"/>
    </row>
    <row r="1172" spans="1:15" ht="21" x14ac:dyDescent="0.4">
      <c r="A1172" s="35"/>
      <c r="B1172" s="35"/>
      <c r="C1172" s="35"/>
      <c r="D1172" s="35"/>
      <c r="E1172" s="35"/>
      <c r="F1172" s="36"/>
      <c r="G1172" s="42"/>
      <c r="H1172" s="35"/>
      <c r="I1172" s="35"/>
      <c r="J1172" s="35"/>
      <c r="K1172" s="35"/>
      <c r="L1172" s="35"/>
      <c r="M1172" s="35"/>
      <c r="N1172" s="36"/>
      <c r="O1172" s="36"/>
    </row>
    <row r="1173" spans="1:15" ht="21" x14ac:dyDescent="0.4">
      <c r="A1173" s="35"/>
      <c r="B1173" s="35"/>
      <c r="C1173" s="35"/>
      <c r="D1173" s="35"/>
      <c r="E1173" s="35"/>
      <c r="F1173" s="36"/>
      <c r="G1173" s="42"/>
      <c r="H1173" s="35"/>
      <c r="I1173" s="35"/>
      <c r="J1173" s="35"/>
      <c r="K1173" s="35"/>
      <c r="L1173" s="35"/>
      <c r="M1173" s="35"/>
      <c r="N1173" s="36"/>
      <c r="O1173" s="36"/>
    </row>
    <row r="1174" spans="1:15" ht="21" x14ac:dyDescent="0.4">
      <c r="A1174" s="35"/>
      <c r="B1174" s="35"/>
      <c r="C1174" s="35"/>
      <c r="D1174" s="35"/>
      <c r="E1174" s="35"/>
      <c r="F1174" s="36"/>
      <c r="G1174" s="42"/>
      <c r="H1174" s="35"/>
      <c r="I1174" s="35"/>
      <c r="J1174" s="35"/>
      <c r="K1174" s="35"/>
      <c r="L1174" s="35"/>
      <c r="M1174" s="35"/>
      <c r="N1174" s="36"/>
      <c r="O1174" s="36"/>
    </row>
    <row r="1175" spans="1:15" ht="21" x14ac:dyDescent="0.4">
      <c r="A1175" s="35"/>
      <c r="B1175" s="35"/>
      <c r="C1175" s="35"/>
      <c r="D1175" s="35"/>
      <c r="E1175" s="35"/>
      <c r="F1175" s="36"/>
      <c r="G1175" s="42"/>
      <c r="H1175" s="35"/>
      <c r="I1175" s="35"/>
      <c r="J1175" s="35"/>
      <c r="K1175" s="35"/>
      <c r="L1175" s="35"/>
      <c r="M1175" s="35"/>
      <c r="N1175" s="36"/>
      <c r="O1175" s="36"/>
    </row>
    <row r="1176" spans="1:15" ht="21" x14ac:dyDescent="0.4">
      <c r="A1176" s="35"/>
      <c r="B1176" s="35"/>
      <c r="C1176" s="35"/>
      <c r="D1176" s="35"/>
      <c r="E1176" s="35"/>
      <c r="F1176" s="36"/>
      <c r="G1176" s="42"/>
      <c r="H1176" s="35"/>
      <c r="I1176" s="35"/>
      <c r="J1176" s="35"/>
      <c r="K1176" s="35"/>
      <c r="L1176" s="35"/>
      <c r="M1176" s="35"/>
      <c r="N1176" s="36"/>
      <c r="O1176" s="36"/>
    </row>
    <row r="1177" spans="1:15" ht="21" x14ac:dyDescent="0.4">
      <c r="A1177" s="35"/>
      <c r="B1177" s="35"/>
      <c r="C1177" s="35"/>
      <c r="D1177" s="35"/>
      <c r="E1177" s="35"/>
      <c r="F1177" s="36"/>
      <c r="G1177" s="42"/>
      <c r="H1177" s="35"/>
      <c r="I1177" s="35"/>
      <c r="J1177" s="35"/>
      <c r="K1177" s="35"/>
      <c r="L1177" s="35"/>
      <c r="M1177" s="35"/>
      <c r="N1177" s="36"/>
      <c r="O1177" s="36"/>
    </row>
    <row r="1178" spans="1:15" ht="21" x14ac:dyDescent="0.4">
      <c r="A1178" s="35"/>
      <c r="B1178" s="35"/>
      <c r="C1178" s="35"/>
      <c r="D1178" s="35"/>
      <c r="E1178" s="35"/>
      <c r="F1178" s="36"/>
      <c r="G1178" s="42"/>
      <c r="H1178" s="35"/>
      <c r="I1178" s="35"/>
      <c r="J1178" s="35"/>
      <c r="K1178" s="35"/>
      <c r="L1178" s="35"/>
      <c r="M1178" s="35"/>
      <c r="N1178" s="36"/>
      <c r="O1178" s="36"/>
    </row>
    <row r="1179" spans="1:15" ht="21" x14ac:dyDescent="0.4">
      <c r="A1179" s="35"/>
      <c r="B1179" s="35"/>
      <c r="C1179" s="35"/>
      <c r="D1179" s="35"/>
      <c r="E1179" s="35"/>
      <c r="F1179" s="36"/>
      <c r="G1179" s="42"/>
      <c r="H1179" s="35"/>
      <c r="I1179" s="35"/>
      <c r="J1179" s="35"/>
      <c r="K1179" s="35"/>
      <c r="L1179" s="35"/>
      <c r="M1179" s="35"/>
      <c r="N1179" s="36"/>
      <c r="O1179" s="36"/>
    </row>
    <row r="1180" spans="1:15" ht="21" x14ac:dyDescent="0.4">
      <c r="A1180" s="35"/>
      <c r="B1180" s="35"/>
      <c r="C1180" s="35"/>
      <c r="D1180" s="35"/>
      <c r="E1180" s="35"/>
      <c r="F1180" s="36"/>
      <c r="G1180" s="42"/>
      <c r="H1180" s="35"/>
      <c r="I1180" s="35"/>
      <c r="J1180" s="35"/>
      <c r="K1180" s="35"/>
      <c r="L1180" s="35"/>
      <c r="M1180" s="35"/>
      <c r="N1180" s="36"/>
      <c r="O1180" s="36"/>
    </row>
    <row r="1181" spans="1:15" ht="21" x14ac:dyDescent="0.4">
      <c r="A1181" s="35"/>
      <c r="B1181" s="35"/>
      <c r="C1181" s="35"/>
      <c r="D1181" s="35"/>
      <c r="E1181" s="35"/>
      <c r="F1181" s="36"/>
      <c r="G1181" s="42"/>
      <c r="H1181" s="35"/>
      <c r="I1181" s="35"/>
      <c r="J1181" s="35"/>
      <c r="K1181" s="35"/>
      <c r="L1181" s="35"/>
      <c r="M1181" s="35"/>
      <c r="N1181" s="36"/>
      <c r="O1181" s="36"/>
    </row>
    <row r="1182" spans="1:15" ht="21" x14ac:dyDescent="0.4">
      <c r="A1182" s="35"/>
      <c r="B1182" s="35"/>
      <c r="C1182" s="35"/>
      <c r="D1182" s="35"/>
      <c r="E1182" s="35"/>
      <c r="F1182" s="36"/>
      <c r="G1182" s="42"/>
      <c r="H1182" s="35"/>
      <c r="I1182" s="35"/>
      <c r="J1182" s="35"/>
      <c r="K1182" s="35"/>
      <c r="L1182" s="35"/>
      <c r="M1182" s="35"/>
      <c r="N1182" s="36"/>
      <c r="O1182" s="36"/>
    </row>
    <row r="1183" spans="1:15" ht="21" x14ac:dyDescent="0.4">
      <c r="A1183" s="35"/>
      <c r="B1183" s="35"/>
      <c r="C1183" s="35"/>
      <c r="D1183" s="35"/>
      <c r="E1183" s="35"/>
      <c r="F1183" s="36"/>
      <c r="G1183" s="42"/>
      <c r="H1183" s="35"/>
      <c r="I1183" s="35"/>
      <c r="J1183" s="35"/>
      <c r="K1183" s="35"/>
      <c r="L1183" s="35"/>
      <c r="M1183" s="35"/>
      <c r="N1183" s="36"/>
      <c r="O1183" s="36"/>
    </row>
    <row r="1184" spans="1:15" ht="21" x14ac:dyDescent="0.4">
      <c r="A1184" s="35"/>
      <c r="B1184" s="35"/>
      <c r="C1184" s="35"/>
      <c r="D1184" s="35"/>
      <c r="E1184" s="35"/>
      <c r="F1184" s="36"/>
      <c r="G1184" s="42"/>
      <c r="H1184" s="35"/>
      <c r="I1184" s="35"/>
      <c r="J1184" s="35"/>
      <c r="K1184" s="35"/>
      <c r="L1184" s="35"/>
      <c r="M1184" s="35"/>
      <c r="N1184" s="36"/>
      <c r="O1184" s="36"/>
    </row>
    <row r="1185" spans="1:15" ht="21" x14ac:dyDescent="0.4">
      <c r="A1185" s="35"/>
      <c r="B1185" s="35"/>
      <c r="C1185" s="35"/>
      <c r="D1185" s="35"/>
      <c r="E1185" s="35"/>
      <c r="F1185" s="36"/>
      <c r="G1185" s="42"/>
      <c r="H1185" s="35"/>
      <c r="I1185" s="35"/>
      <c r="J1185" s="35"/>
      <c r="K1185" s="35"/>
      <c r="L1185" s="35"/>
      <c r="M1185" s="35"/>
      <c r="N1185" s="36"/>
      <c r="O1185" s="36"/>
    </row>
    <row r="1186" spans="1:15" ht="21" x14ac:dyDescent="0.4">
      <c r="A1186" s="35"/>
      <c r="B1186" s="35"/>
      <c r="C1186" s="35"/>
      <c r="D1186" s="35"/>
      <c r="E1186" s="35"/>
      <c r="F1186" s="36"/>
      <c r="G1186" s="42"/>
      <c r="H1186" s="35"/>
      <c r="I1186" s="35"/>
      <c r="J1186" s="35"/>
      <c r="K1186" s="35"/>
      <c r="L1186" s="35"/>
      <c r="M1186" s="35"/>
      <c r="N1186" s="36"/>
      <c r="O1186" s="36"/>
    </row>
    <row r="1187" spans="1:15" ht="21" x14ac:dyDescent="0.4">
      <c r="A1187" s="35"/>
      <c r="B1187" s="35"/>
      <c r="C1187" s="35"/>
      <c r="D1187" s="35"/>
      <c r="E1187" s="35"/>
      <c r="F1187" s="36"/>
      <c r="G1187" s="42"/>
      <c r="H1187" s="35"/>
      <c r="I1187" s="35"/>
      <c r="J1187" s="35"/>
      <c r="K1187" s="35"/>
      <c r="L1187" s="35"/>
      <c r="M1187" s="35"/>
      <c r="N1187" s="36"/>
      <c r="O1187" s="36"/>
    </row>
    <row r="1188" spans="1:15" ht="21" x14ac:dyDescent="0.4">
      <c r="A1188" s="35"/>
      <c r="B1188" s="35"/>
      <c r="C1188" s="35"/>
      <c r="D1188" s="35"/>
      <c r="E1188" s="35"/>
      <c r="F1188" s="36"/>
      <c r="G1188" s="42"/>
      <c r="H1188" s="35"/>
      <c r="I1188" s="35"/>
      <c r="J1188" s="35"/>
      <c r="K1188" s="35"/>
      <c r="L1188" s="35"/>
      <c r="M1188" s="35"/>
      <c r="N1188" s="36"/>
      <c r="O1188" s="36"/>
    </row>
    <row r="1189" spans="1:15" ht="21" x14ac:dyDescent="0.4">
      <c r="A1189" s="35"/>
      <c r="B1189" s="35"/>
      <c r="C1189" s="35"/>
      <c r="D1189" s="35"/>
      <c r="E1189" s="35"/>
      <c r="F1189" s="36"/>
      <c r="G1189" s="42"/>
      <c r="H1189" s="35"/>
      <c r="I1189" s="35"/>
      <c r="J1189" s="35"/>
      <c r="K1189" s="35"/>
      <c r="L1189" s="35"/>
      <c r="M1189" s="35"/>
      <c r="N1189" s="36"/>
      <c r="O1189" s="36"/>
    </row>
    <row r="1190" spans="1:15" ht="21" x14ac:dyDescent="0.4">
      <c r="A1190" s="35"/>
      <c r="B1190" s="35"/>
      <c r="C1190" s="35"/>
      <c r="D1190" s="35"/>
      <c r="E1190" s="35"/>
      <c r="F1190" s="36"/>
      <c r="G1190" s="42"/>
      <c r="H1190" s="35"/>
      <c r="I1190" s="35"/>
      <c r="J1190" s="35"/>
      <c r="K1190" s="35"/>
      <c r="L1190" s="35"/>
      <c r="M1190" s="35"/>
      <c r="N1190" s="36"/>
      <c r="O1190" s="36"/>
    </row>
    <row r="1191" spans="1:15" ht="21" x14ac:dyDescent="0.4">
      <c r="A1191" s="35"/>
      <c r="B1191" s="35"/>
      <c r="C1191" s="35"/>
      <c r="D1191" s="35"/>
      <c r="E1191" s="35"/>
      <c r="F1191" s="36"/>
      <c r="G1191" s="42"/>
      <c r="H1191" s="35"/>
      <c r="I1191" s="35"/>
      <c r="J1191" s="35"/>
      <c r="K1191" s="35"/>
      <c r="L1191" s="35"/>
      <c r="M1191" s="35"/>
      <c r="N1191" s="36"/>
      <c r="O1191" s="36"/>
    </row>
    <row r="1192" spans="1:15" ht="21" x14ac:dyDescent="0.4">
      <c r="A1192" s="35"/>
      <c r="B1192" s="35"/>
      <c r="C1192" s="35"/>
      <c r="D1192" s="35"/>
      <c r="E1192" s="35"/>
      <c r="F1192" s="36"/>
      <c r="G1192" s="42"/>
      <c r="H1192" s="35"/>
      <c r="I1192" s="35"/>
      <c r="J1192" s="35"/>
      <c r="K1192" s="35"/>
      <c r="L1192" s="35"/>
      <c r="M1192" s="35"/>
      <c r="N1192" s="36"/>
      <c r="O1192" s="36"/>
    </row>
    <row r="1193" spans="1:15" ht="21" x14ac:dyDescent="0.4">
      <c r="A1193" s="35"/>
      <c r="B1193" s="35"/>
      <c r="C1193" s="35"/>
      <c r="D1193" s="35"/>
      <c r="E1193" s="35"/>
      <c r="F1193" s="36"/>
      <c r="G1193" s="42"/>
      <c r="H1193" s="35"/>
      <c r="I1193" s="35"/>
      <c r="J1193" s="35"/>
      <c r="K1193" s="35"/>
      <c r="L1193" s="35"/>
      <c r="M1193" s="35"/>
      <c r="N1193" s="36"/>
      <c r="O1193" s="36"/>
    </row>
    <row r="1194" spans="1:15" ht="21" x14ac:dyDescent="0.4">
      <c r="A1194" s="35"/>
      <c r="B1194" s="35"/>
      <c r="C1194" s="35"/>
      <c r="D1194" s="35"/>
      <c r="E1194" s="35"/>
      <c r="F1194" s="36"/>
      <c r="G1194" s="42"/>
      <c r="H1194" s="35"/>
      <c r="I1194" s="35"/>
      <c r="J1194" s="35"/>
      <c r="K1194" s="35"/>
      <c r="L1194" s="35"/>
      <c r="M1194" s="35"/>
      <c r="N1194" s="36"/>
      <c r="O1194" s="36"/>
    </row>
    <row r="1195" spans="1:15" ht="21" x14ac:dyDescent="0.4">
      <c r="A1195" s="35"/>
      <c r="B1195" s="35"/>
      <c r="C1195" s="35"/>
      <c r="D1195" s="35"/>
      <c r="E1195" s="35"/>
      <c r="F1195" s="36"/>
      <c r="G1195" s="42"/>
      <c r="H1195" s="35"/>
      <c r="I1195" s="35"/>
      <c r="J1195" s="35"/>
      <c r="K1195" s="35"/>
      <c r="L1195" s="35"/>
      <c r="M1195" s="35"/>
      <c r="N1195" s="36"/>
      <c r="O1195" s="36"/>
    </row>
    <row r="1196" spans="1:15" ht="21" x14ac:dyDescent="0.4">
      <c r="A1196" s="35"/>
      <c r="B1196" s="35"/>
      <c r="C1196" s="35"/>
      <c r="D1196" s="35"/>
      <c r="E1196" s="35"/>
      <c r="F1196" s="36"/>
      <c r="G1196" s="42"/>
      <c r="H1196" s="35"/>
      <c r="I1196" s="35"/>
      <c r="J1196" s="35"/>
      <c r="K1196" s="35"/>
      <c r="L1196" s="35"/>
      <c r="M1196" s="35"/>
      <c r="N1196" s="36"/>
      <c r="O1196" s="36"/>
    </row>
    <row r="1197" spans="1:15" ht="21" x14ac:dyDescent="0.4">
      <c r="A1197" s="35"/>
      <c r="B1197" s="35"/>
      <c r="C1197" s="35"/>
      <c r="D1197" s="35"/>
      <c r="E1197" s="35"/>
      <c r="F1197" s="36"/>
      <c r="G1197" s="42"/>
      <c r="H1197" s="35"/>
      <c r="I1197" s="35"/>
      <c r="J1197" s="35"/>
      <c r="K1197" s="35"/>
      <c r="L1197" s="35"/>
      <c r="M1197" s="35"/>
      <c r="N1197" s="36"/>
      <c r="O1197" s="36"/>
    </row>
    <row r="1198" spans="1:15" ht="21" x14ac:dyDescent="0.4">
      <c r="A1198" s="35"/>
      <c r="B1198" s="35"/>
      <c r="C1198" s="35"/>
      <c r="D1198" s="35"/>
      <c r="E1198" s="35"/>
      <c r="F1198" s="36"/>
      <c r="G1198" s="42"/>
      <c r="H1198" s="35"/>
      <c r="I1198" s="35"/>
      <c r="J1198" s="35"/>
      <c r="K1198" s="35"/>
      <c r="L1198" s="35"/>
      <c r="M1198" s="35"/>
      <c r="N1198" s="36"/>
      <c r="O1198" s="36"/>
    </row>
    <row r="1199" spans="1:15" ht="21" x14ac:dyDescent="0.4">
      <c r="A1199" s="35"/>
      <c r="B1199" s="35"/>
      <c r="C1199" s="35"/>
      <c r="D1199" s="35"/>
      <c r="E1199" s="35"/>
      <c r="F1199" s="36"/>
      <c r="G1199" s="42"/>
      <c r="H1199" s="35"/>
      <c r="I1199" s="35"/>
      <c r="J1199" s="35"/>
      <c r="K1199" s="35"/>
      <c r="L1199" s="35"/>
      <c r="M1199" s="35"/>
      <c r="N1199" s="36"/>
      <c r="O1199" s="36"/>
    </row>
    <row r="1200" spans="1:15" ht="21" x14ac:dyDescent="0.4">
      <c r="A1200" s="35"/>
      <c r="B1200" s="35"/>
      <c r="C1200" s="35"/>
      <c r="D1200" s="35"/>
      <c r="E1200" s="35"/>
      <c r="F1200" s="36"/>
      <c r="G1200" s="42"/>
      <c r="H1200" s="35"/>
      <c r="I1200" s="35"/>
      <c r="J1200" s="35"/>
      <c r="K1200" s="35"/>
      <c r="L1200" s="35"/>
      <c r="M1200" s="35"/>
      <c r="N1200" s="36"/>
      <c r="O1200" s="36"/>
    </row>
    <row r="1201" spans="1:15" ht="21" x14ac:dyDescent="0.4">
      <c r="A1201" s="35"/>
      <c r="B1201" s="35"/>
      <c r="C1201" s="35"/>
      <c r="D1201" s="35"/>
      <c r="E1201" s="35"/>
      <c r="F1201" s="36"/>
      <c r="G1201" s="42"/>
      <c r="H1201" s="35"/>
      <c r="I1201" s="35"/>
      <c r="J1201" s="35"/>
      <c r="K1201" s="35"/>
      <c r="L1201" s="35"/>
      <c r="M1201" s="35"/>
      <c r="N1201" s="36"/>
      <c r="O1201" s="36"/>
    </row>
    <row r="1202" spans="1:15" ht="21" x14ac:dyDescent="0.4">
      <c r="A1202" s="35"/>
      <c r="B1202" s="35"/>
      <c r="C1202" s="35"/>
      <c r="D1202" s="35"/>
      <c r="E1202" s="35"/>
      <c r="F1202" s="36"/>
      <c r="G1202" s="42"/>
      <c r="H1202" s="35"/>
      <c r="I1202" s="35"/>
      <c r="J1202" s="35"/>
      <c r="K1202" s="35"/>
      <c r="L1202" s="35"/>
      <c r="M1202" s="35"/>
      <c r="N1202" s="36"/>
      <c r="O1202" s="36"/>
    </row>
    <row r="1203" spans="1:15" ht="21" x14ac:dyDescent="0.4">
      <c r="A1203" s="35"/>
      <c r="B1203" s="35"/>
      <c r="C1203" s="35"/>
      <c r="D1203" s="35"/>
      <c r="E1203" s="35"/>
      <c r="F1203" s="36"/>
      <c r="G1203" s="42"/>
      <c r="H1203" s="35"/>
      <c r="I1203" s="35"/>
      <c r="J1203" s="35"/>
      <c r="K1203" s="35"/>
      <c r="L1203" s="35"/>
      <c r="M1203" s="35"/>
      <c r="N1203" s="36"/>
      <c r="O1203" s="36"/>
    </row>
    <row r="1204" spans="1:15" ht="21" x14ac:dyDescent="0.4">
      <c r="A1204" s="35"/>
      <c r="B1204" s="35"/>
      <c r="C1204" s="35"/>
      <c r="D1204" s="35"/>
      <c r="E1204" s="35"/>
      <c r="F1204" s="36"/>
      <c r="G1204" s="42"/>
      <c r="H1204" s="35"/>
      <c r="I1204" s="35"/>
      <c r="J1204" s="35"/>
      <c r="K1204" s="35"/>
      <c r="L1204" s="35"/>
      <c r="M1204" s="35"/>
      <c r="N1204" s="36"/>
      <c r="O1204" s="36"/>
    </row>
    <row r="1205" spans="1:15" ht="21" x14ac:dyDescent="0.4">
      <c r="A1205" s="35"/>
      <c r="B1205" s="35"/>
      <c r="C1205" s="35"/>
      <c r="D1205" s="35"/>
      <c r="E1205" s="35"/>
      <c r="F1205" s="36"/>
      <c r="G1205" s="42"/>
      <c r="H1205" s="35"/>
      <c r="I1205" s="35"/>
      <c r="J1205" s="35"/>
      <c r="K1205" s="35"/>
      <c r="L1205" s="35"/>
      <c r="M1205" s="35"/>
      <c r="N1205" s="36"/>
      <c r="O1205" s="36"/>
    </row>
    <row r="1206" spans="1:15" ht="21" x14ac:dyDescent="0.4">
      <c r="A1206" s="35"/>
      <c r="B1206" s="35"/>
      <c r="C1206" s="35"/>
      <c r="D1206" s="35"/>
      <c r="E1206" s="35"/>
      <c r="F1206" s="36"/>
      <c r="G1206" s="42"/>
      <c r="H1206" s="35"/>
      <c r="I1206" s="35"/>
      <c r="J1206" s="35"/>
      <c r="K1206" s="35"/>
      <c r="L1206" s="35"/>
      <c r="M1206" s="35"/>
      <c r="N1206" s="36"/>
      <c r="O1206" s="36"/>
    </row>
    <row r="1207" spans="1:15" ht="21" x14ac:dyDescent="0.4">
      <c r="A1207" s="35"/>
      <c r="B1207" s="35"/>
      <c r="C1207" s="35"/>
      <c r="D1207" s="35"/>
      <c r="E1207" s="35"/>
      <c r="F1207" s="36"/>
      <c r="G1207" s="42"/>
      <c r="H1207" s="35"/>
      <c r="I1207" s="35"/>
      <c r="J1207" s="35"/>
      <c r="K1207" s="35"/>
      <c r="L1207" s="35"/>
      <c r="M1207" s="35"/>
      <c r="N1207" s="36"/>
      <c r="O1207" s="36"/>
    </row>
    <row r="1208" spans="1:15" ht="21" x14ac:dyDescent="0.4">
      <c r="A1208" s="35"/>
      <c r="B1208" s="35"/>
      <c r="C1208" s="35"/>
      <c r="D1208" s="35"/>
      <c r="E1208" s="35"/>
      <c r="F1208" s="36"/>
      <c r="G1208" s="42"/>
      <c r="H1208" s="35"/>
      <c r="I1208" s="35"/>
      <c r="J1208" s="35"/>
      <c r="K1208" s="35"/>
      <c r="L1208" s="35"/>
      <c r="M1208" s="35"/>
      <c r="N1208" s="36"/>
      <c r="O1208" s="36"/>
    </row>
    <row r="1209" spans="1:15" ht="21" x14ac:dyDescent="0.4">
      <c r="A1209" s="35"/>
      <c r="B1209" s="35"/>
      <c r="C1209" s="35"/>
      <c r="D1209" s="35"/>
      <c r="E1209" s="35"/>
      <c r="F1209" s="36"/>
      <c r="G1209" s="42"/>
      <c r="H1209" s="35"/>
      <c r="I1209" s="35"/>
      <c r="J1209" s="35"/>
      <c r="K1209" s="35"/>
      <c r="L1209" s="35"/>
      <c r="M1209" s="35"/>
      <c r="N1209" s="36"/>
      <c r="O1209" s="36"/>
    </row>
    <row r="1210" spans="1:15" ht="21" x14ac:dyDescent="0.4">
      <c r="A1210" s="35"/>
      <c r="B1210" s="35"/>
      <c r="C1210" s="35"/>
      <c r="D1210" s="35"/>
      <c r="E1210" s="35"/>
      <c r="F1210" s="36"/>
      <c r="G1210" s="42"/>
      <c r="H1210" s="35"/>
      <c r="I1210" s="35"/>
      <c r="J1210" s="35"/>
      <c r="K1210" s="35"/>
      <c r="L1210" s="35"/>
      <c r="M1210" s="35"/>
      <c r="N1210" s="36"/>
      <c r="O1210" s="36"/>
    </row>
    <row r="1211" spans="1:15" ht="21" x14ac:dyDescent="0.4">
      <c r="A1211" s="35"/>
      <c r="B1211" s="35"/>
      <c r="C1211" s="35"/>
      <c r="D1211" s="35"/>
      <c r="E1211" s="35"/>
      <c r="F1211" s="36"/>
      <c r="G1211" s="42"/>
      <c r="H1211" s="35"/>
      <c r="I1211" s="35"/>
      <c r="J1211" s="35"/>
      <c r="K1211" s="35"/>
      <c r="L1211" s="35"/>
      <c r="M1211" s="35"/>
      <c r="N1211" s="36"/>
      <c r="O1211" s="36"/>
    </row>
    <row r="1212" spans="1:15" ht="21" x14ac:dyDescent="0.4">
      <c r="A1212" s="35"/>
      <c r="B1212" s="35"/>
      <c r="C1212" s="35"/>
      <c r="D1212" s="35"/>
      <c r="E1212" s="35"/>
      <c r="F1212" s="36"/>
      <c r="G1212" s="42"/>
      <c r="H1212" s="35"/>
      <c r="I1212" s="35"/>
      <c r="J1212" s="35"/>
      <c r="K1212" s="35"/>
      <c r="L1212" s="35"/>
      <c r="M1212" s="35"/>
      <c r="N1212" s="36"/>
      <c r="O1212" s="36"/>
    </row>
    <row r="1213" spans="1:15" ht="21" x14ac:dyDescent="0.4">
      <c r="A1213" s="35"/>
      <c r="B1213" s="35"/>
      <c r="C1213" s="35"/>
      <c r="D1213" s="35"/>
      <c r="E1213" s="35"/>
      <c r="F1213" s="36"/>
      <c r="G1213" s="42"/>
      <c r="H1213" s="35"/>
      <c r="I1213" s="35"/>
      <c r="J1213" s="35"/>
      <c r="K1213" s="35"/>
      <c r="L1213" s="35"/>
      <c r="M1213" s="35"/>
      <c r="N1213" s="36"/>
      <c r="O1213" s="36"/>
    </row>
    <row r="1214" spans="1:15" ht="21" x14ac:dyDescent="0.4">
      <c r="A1214" s="35"/>
      <c r="B1214" s="35"/>
      <c r="C1214" s="35"/>
      <c r="D1214" s="35"/>
      <c r="E1214" s="35"/>
      <c r="F1214" s="36"/>
      <c r="G1214" s="42"/>
      <c r="H1214" s="35"/>
      <c r="I1214" s="35"/>
      <c r="J1214" s="35"/>
      <c r="K1214" s="35"/>
      <c r="L1214" s="35"/>
      <c r="M1214" s="35"/>
      <c r="N1214" s="36"/>
      <c r="O1214" s="36"/>
    </row>
    <row r="1215" spans="1:15" ht="21" x14ac:dyDescent="0.4">
      <c r="A1215" s="35"/>
      <c r="B1215" s="35"/>
      <c r="C1215" s="35"/>
      <c r="D1215" s="35"/>
      <c r="E1215" s="35"/>
      <c r="F1215" s="36"/>
      <c r="G1215" s="42"/>
      <c r="H1215" s="35"/>
      <c r="I1215" s="35"/>
      <c r="J1215" s="35"/>
      <c r="K1215" s="35"/>
      <c r="L1215" s="35"/>
      <c r="M1215" s="35"/>
      <c r="N1215" s="36"/>
      <c r="O1215" s="36"/>
    </row>
    <row r="1216" spans="1:15" ht="21" x14ac:dyDescent="0.4">
      <c r="A1216" s="35"/>
      <c r="B1216" s="35"/>
      <c r="C1216" s="35"/>
      <c r="D1216" s="35"/>
      <c r="E1216" s="35"/>
      <c r="F1216" s="36"/>
      <c r="G1216" s="42"/>
      <c r="H1216" s="35"/>
      <c r="I1216" s="35"/>
      <c r="J1216" s="35"/>
      <c r="K1216" s="35"/>
      <c r="L1216" s="35"/>
      <c r="M1216" s="35"/>
      <c r="N1216" s="36"/>
      <c r="O1216" s="36"/>
    </row>
    <row r="1217" spans="1:15" ht="21" x14ac:dyDescent="0.4">
      <c r="A1217" s="35"/>
      <c r="B1217" s="35"/>
      <c r="C1217" s="35"/>
      <c r="D1217" s="35"/>
      <c r="E1217" s="35"/>
      <c r="F1217" s="36"/>
      <c r="G1217" s="42"/>
      <c r="H1217" s="35"/>
      <c r="I1217" s="35"/>
      <c r="J1217" s="35"/>
      <c r="K1217" s="35"/>
      <c r="L1217" s="35"/>
      <c r="M1217" s="35"/>
      <c r="N1217" s="36"/>
      <c r="O1217" s="36"/>
    </row>
    <row r="1218" spans="1:15" ht="21" x14ac:dyDescent="0.4">
      <c r="A1218" s="35"/>
      <c r="B1218" s="35"/>
      <c r="C1218" s="35"/>
      <c r="D1218" s="35"/>
      <c r="E1218" s="35"/>
      <c r="F1218" s="36"/>
      <c r="G1218" s="42"/>
      <c r="H1218" s="35"/>
      <c r="I1218" s="35"/>
      <c r="J1218" s="35"/>
      <c r="K1218" s="35"/>
      <c r="L1218" s="35"/>
      <c r="M1218" s="35"/>
      <c r="N1218" s="36"/>
      <c r="O1218" s="36"/>
    </row>
    <row r="1219" spans="1:15" ht="21" x14ac:dyDescent="0.4">
      <c r="A1219" s="35"/>
      <c r="B1219" s="35"/>
      <c r="C1219" s="35"/>
      <c r="D1219" s="35"/>
      <c r="E1219" s="35"/>
      <c r="F1219" s="36"/>
      <c r="G1219" s="42"/>
      <c r="H1219" s="35"/>
      <c r="I1219" s="35"/>
      <c r="J1219" s="35"/>
      <c r="K1219" s="35"/>
      <c r="L1219" s="35"/>
      <c r="M1219" s="35"/>
      <c r="N1219" s="36"/>
      <c r="O1219" s="36"/>
    </row>
    <row r="1220" spans="1:15" ht="21" x14ac:dyDescent="0.4">
      <c r="A1220" s="35"/>
      <c r="B1220" s="35"/>
      <c r="C1220" s="35"/>
      <c r="D1220" s="35"/>
      <c r="E1220" s="35"/>
      <c r="F1220" s="36"/>
      <c r="G1220" s="42"/>
      <c r="H1220" s="35"/>
      <c r="I1220" s="35"/>
      <c r="J1220" s="35"/>
      <c r="K1220" s="35"/>
      <c r="L1220" s="35"/>
      <c r="M1220" s="35"/>
      <c r="N1220" s="36"/>
      <c r="O1220" s="36"/>
    </row>
    <row r="1221" spans="1:15" ht="21" x14ac:dyDescent="0.4">
      <c r="A1221" s="35"/>
      <c r="B1221" s="35"/>
      <c r="C1221" s="35"/>
      <c r="D1221" s="35"/>
      <c r="E1221" s="35"/>
      <c r="F1221" s="36"/>
      <c r="G1221" s="42"/>
      <c r="H1221" s="35"/>
      <c r="I1221" s="35"/>
      <c r="J1221" s="35"/>
      <c r="K1221" s="35"/>
      <c r="L1221" s="35"/>
      <c r="M1221" s="35"/>
      <c r="N1221" s="36"/>
      <c r="O1221" s="36"/>
    </row>
    <row r="1222" spans="1:15" ht="21" x14ac:dyDescent="0.4">
      <c r="A1222" s="35"/>
      <c r="B1222" s="35"/>
      <c r="C1222" s="35"/>
      <c r="D1222" s="35"/>
      <c r="E1222" s="35"/>
      <c r="F1222" s="36"/>
      <c r="G1222" s="42"/>
      <c r="H1222" s="35"/>
      <c r="I1222" s="35"/>
      <c r="J1222" s="35"/>
      <c r="K1222" s="35"/>
      <c r="L1222" s="35"/>
      <c r="M1222" s="35"/>
      <c r="N1222" s="36"/>
      <c r="O1222" s="36"/>
    </row>
    <row r="1223" spans="1:15" ht="21" x14ac:dyDescent="0.4">
      <c r="A1223" s="35"/>
      <c r="B1223" s="35"/>
      <c r="C1223" s="35"/>
      <c r="D1223" s="35"/>
      <c r="E1223" s="35"/>
      <c r="F1223" s="36"/>
      <c r="G1223" s="42"/>
      <c r="H1223" s="35"/>
      <c r="I1223" s="35"/>
      <c r="J1223" s="35"/>
      <c r="K1223" s="35"/>
      <c r="L1223" s="35"/>
      <c r="M1223" s="35"/>
      <c r="N1223" s="36"/>
      <c r="O1223" s="36"/>
    </row>
    <row r="1224" spans="1:15" ht="21" x14ac:dyDescent="0.4">
      <c r="A1224" s="35"/>
      <c r="B1224" s="35"/>
      <c r="C1224" s="35"/>
      <c r="D1224" s="35"/>
      <c r="E1224" s="35"/>
      <c r="F1224" s="36"/>
      <c r="G1224" s="42"/>
      <c r="H1224" s="35"/>
      <c r="I1224" s="35"/>
      <c r="J1224" s="35"/>
      <c r="K1224" s="35"/>
      <c r="L1224" s="35"/>
      <c r="M1224" s="35"/>
      <c r="N1224" s="36"/>
      <c r="O1224" s="36"/>
    </row>
    <row r="1225" spans="1:15" ht="21" x14ac:dyDescent="0.4">
      <c r="A1225" s="35"/>
      <c r="B1225" s="35"/>
      <c r="C1225" s="35"/>
      <c r="D1225" s="35"/>
      <c r="E1225" s="35"/>
      <c r="F1225" s="36"/>
      <c r="G1225" s="42"/>
      <c r="H1225" s="35"/>
      <c r="I1225" s="35"/>
      <c r="J1225" s="35"/>
      <c r="K1225" s="35"/>
      <c r="L1225" s="35"/>
      <c r="M1225" s="35"/>
      <c r="N1225" s="36"/>
      <c r="O1225" s="36"/>
    </row>
    <row r="1226" spans="1:15" ht="21" x14ac:dyDescent="0.4">
      <c r="A1226" s="35"/>
      <c r="B1226" s="35"/>
      <c r="C1226" s="35"/>
      <c r="D1226" s="35"/>
      <c r="E1226" s="35"/>
      <c r="F1226" s="36"/>
      <c r="G1226" s="42"/>
      <c r="H1226" s="35"/>
      <c r="I1226" s="35"/>
      <c r="J1226" s="35"/>
      <c r="K1226" s="35"/>
      <c r="L1226" s="35"/>
      <c r="M1226" s="35"/>
      <c r="N1226" s="36"/>
      <c r="O1226" s="36"/>
    </row>
    <row r="1227" spans="1:15" ht="21" x14ac:dyDescent="0.4">
      <c r="A1227" s="35"/>
      <c r="B1227" s="35"/>
      <c r="C1227" s="35"/>
      <c r="D1227" s="35"/>
      <c r="E1227" s="35"/>
      <c r="F1227" s="36"/>
      <c r="G1227" s="42"/>
      <c r="H1227" s="35"/>
      <c r="I1227" s="35"/>
      <c r="J1227" s="35"/>
      <c r="K1227" s="35"/>
      <c r="L1227" s="35"/>
      <c r="M1227" s="35"/>
      <c r="N1227" s="36"/>
      <c r="O1227" s="36"/>
    </row>
    <row r="1228" spans="1:15" ht="21" x14ac:dyDescent="0.4">
      <c r="A1228" s="35"/>
      <c r="B1228" s="35"/>
      <c r="C1228" s="35"/>
      <c r="D1228" s="35"/>
      <c r="E1228" s="35"/>
      <c r="F1228" s="36"/>
      <c r="G1228" s="42"/>
      <c r="H1228" s="35"/>
      <c r="I1228" s="35"/>
      <c r="J1228" s="35"/>
      <c r="K1228" s="35"/>
      <c r="L1228" s="35"/>
      <c r="M1228" s="35"/>
      <c r="N1228" s="36"/>
      <c r="O1228" s="36"/>
    </row>
    <row r="1229" spans="1:15" ht="21" x14ac:dyDescent="0.4">
      <c r="A1229" s="35"/>
      <c r="B1229" s="35"/>
      <c r="C1229" s="35"/>
      <c r="D1229" s="35"/>
      <c r="E1229" s="35"/>
      <c r="F1229" s="36"/>
      <c r="G1229" s="42"/>
      <c r="H1229" s="35"/>
      <c r="I1229" s="35"/>
      <c r="J1229" s="35"/>
      <c r="K1229" s="35"/>
      <c r="L1229" s="35"/>
      <c r="M1229" s="35"/>
      <c r="N1229" s="36"/>
      <c r="O1229" s="36"/>
    </row>
    <row r="1230" spans="1:15" ht="21" x14ac:dyDescent="0.4">
      <c r="A1230" s="35"/>
      <c r="B1230" s="35"/>
      <c r="C1230" s="35"/>
      <c r="D1230" s="35"/>
      <c r="E1230" s="35"/>
      <c r="F1230" s="36"/>
      <c r="G1230" s="42"/>
      <c r="H1230" s="35"/>
      <c r="I1230" s="35"/>
      <c r="J1230" s="35"/>
      <c r="K1230" s="35"/>
      <c r="L1230" s="35"/>
      <c r="M1230" s="35"/>
      <c r="N1230" s="36"/>
      <c r="O1230" s="36"/>
    </row>
    <row r="1231" spans="1:15" ht="21" x14ac:dyDescent="0.4">
      <c r="A1231" s="35"/>
      <c r="B1231" s="35"/>
      <c r="C1231" s="35"/>
      <c r="D1231" s="35"/>
      <c r="E1231" s="35"/>
      <c r="F1231" s="36"/>
      <c r="G1231" s="42"/>
      <c r="H1231" s="35"/>
      <c r="I1231" s="35"/>
      <c r="J1231" s="35"/>
      <c r="K1231" s="35"/>
      <c r="L1231" s="35"/>
      <c r="M1231" s="35"/>
      <c r="N1231" s="36"/>
      <c r="O1231" s="36"/>
    </row>
    <row r="1232" spans="1:15" ht="21" x14ac:dyDescent="0.4">
      <c r="A1232" s="35"/>
      <c r="B1232" s="35"/>
      <c r="C1232" s="35"/>
      <c r="D1232" s="35"/>
      <c r="E1232" s="35"/>
      <c r="F1232" s="36"/>
      <c r="G1232" s="42"/>
      <c r="H1232" s="35"/>
      <c r="I1232" s="35"/>
      <c r="J1232" s="35"/>
      <c r="K1232" s="35"/>
      <c r="L1232" s="35"/>
      <c r="M1232" s="35"/>
      <c r="N1232" s="36"/>
      <c r="O1232" s="36"/>
    </row>
    <row r="1233" spans="1:15" ht="21" x14ac:dyDescent="0.4">
      <c r="A1233" s="35"/>
      <c r="B1233" s="35"/>
      <c r="C1233" s="35"/>
      <c r="D1233" s="35"/>
      <c r="E1233" s="35"/>
      <c r="F1233" s="36"/>
      <c r="G1233" s="42"/>
      <c r="H1233" s="35"/>
      <c r="I1233" s="35"/>
      <c r="J1233" s="35"/>
      <c r="K1233" s="35"/>
      <c r="L1233" s="35"/>
      <c r="M1233" s="35"/>
      <c r="N1233" s="36"/>
      <c r="O1233" s="36"/>
    </row>
    <row r="1234" spans="1:15" ht="21" x14ac:dyDescent="0.4">
      <c r="A1234" s="35"/>
      <c r="B1234" s="35"/>
      <c r="C1234" s="35"/>
      <c r="D1234" s="35"/>
      <c r="E1234" s="35"/>
      <c r="F1234" s="36"/>
      <c r="G1234" s="42"/>
      <c r="H1234" s="35"/>
      <c r="I1234" s="35"/>
      <c r="J1234" s="35"/>
      <c r="K1234" s="35"/>
      <c r="L1234" s="35"/>
      <c r="M1234" s="35"/>
      <c r="N1234" s="36"/>
      <c r="O1234" s="36"/>
    </row>
    <row r="1235" spans="1:15" ht="21" x14ac:dyDescent="0.4">
      <c r="A1235" s="35"/>
      <c r="B1235" s="35"/>
      <c r="C1235" s="35"/>
      <c r="D1235" s="35"/>
      <c r="E1235" s="35"/>
      <c r="F1235" s="36"/>
      <c r="G1235" s="42"/>
      <c r="H1235" s="35"/>
      <c r="I1235" s="35"/>
      <c r="J1235" s="35"/>
      <c r="K1235" s="35"/>
      <c r="L1235" s="35"/>
      <c r="M1235" s="35"/>
      <c r="N1235" s="36"/>
      <c r="O1235" s="36"/>
    </row>
    <row r="1236" spans="1:15" ht="21" x14ac:dyDescent="0.4">
      <c r="A1236" s="35"/>
      <c r="B1236" s="35"/>
      <c r="C1236" s="35"/>
      <c r="D1236" s="35"/>
      <c r="E1236" s="35"/>
      <c r="F1236" s="36"/>
      <c r="G1236" s="42"/>
      <c r="H1236" s="35"/>
      <c r="I1236" s="35"/>
      <c r="J1236" s="35"/>
      <c r="K1236" s="35"/>
      <c r="L1236" s="35"/>
      <c r="M1236" s="35"/>
      <c r="N1236" s="36"/>
      <c r="O1236" s="36"/>
    </row>
    <row r="1237" spans="1:15" ht="21" x14ac:dyDescent="0.4">
      <c r="A1237" s="35"/>
      <c r="B1237" s="35"/>
      <c r="C1237" s="35"/>
      <c r="D1237" s="35"/>
      <c r="E1237" s="35"/>
      <c r="F1237" s="36"/>
      <c r="G1237" s="42"/>
      <c r="H1237" s="35"/>
      <c r="I1237" s="35"/>
      <c r="J1237" s="35"/>
      <c r="K1237" s="35"/>
      <c r="L1237" s="35"/>
      <c r="M1237" s="35"/>
      <c r="N1237" s="36"/>
      <c r="O1237" s="36"/>
    </row>
    <row r="1238" spans="1:15" ht="21" x14ac:dyDescent="0.4">
      <c r="A1238" s="35"/>
      <c r="B1238" s="35"/>
      <c r="C1238" s="35"/>
      <c r="D1238" s="35"/>
      <c r="E1238" s="35"/>
      <c r="F1238" s="36"/>
      <c r="G1238" s="42"/>
      <c r="H1238" s="35"/>
      <c r="I1238" s="35"/>
      <c r="J1238" s="35"/>
      <c r="K1238" s="35"/>
      <c r="L1238" s="35"/>
      <c r="M1238" s="35"/>
      <c r="N1238" s="36"/>
      <c r="O1238" s="36"/>
    </row>
    <row r="1239" spans="1:15" ht="21" x14ac:dyDescent="0.4">
      <c r="A1239" s="35"/>
      <c r="B1239" s="35"/>
      <c r="C1239" s="35"/>
      <c r="D1239" s="35"/>
      <c r="E1239" s="35"/>
      <c r="F1239" s="36"/>
      <c r="G1239" s="42"/>
      <c r="H1239" s="35"/>
      <c r="I1239" s="35"/>
      <c r="J1239" s="35"/>
      <c r="K1239" s="35"/>
      <c r="L1239" s="35"/>
      <c r="M1239" s="35"/>
      <c r="N1239" s="36"/>
      <c r="O1239" s="36"/>
    </row>
    <row r="1240" spans="1:15" ht="21" x14ac:dyDescent="0.4">
      <c r="A1240" s="35"/>
      <c r="B1240" s="35"/>
      <c r="C1240" s="35"/>
      <c r="D1240" s="35"/>
      <c r="E1240" s="35"/>
      <c r="F1240" s="36"/>
      <c r="G1240" s="42"/>
      <c r="H1240" s="35"/>
      <c r="I1240" s="35"/>
      <c r="J1240" s="35"/>
      <c r="K1240" s="35"/>
      <c r="L1240" s="35"/>
      <c r="M1240" s="35"/>
      <c r="N1240" s="36"/>
      <c r="O1240" s="36"/>
    </row>
    <row r="1241" spans="1:15" ht="21" x14ac:dyDescent="0.4">
      <c r="A1241" s="35"/>
      <c r="B1241" s="35"/>
      <c r="C1241" s="35"/>
      <c r="D1241" s="35"/>
      <c r="E1241" s="35"/>
      <c r="F1241" s="36"/>
      <c r="G1241" s="42"/>
      <c r="H1241" s="35"/>
      <c r="I1241" s="35"/>
      <c r="J1241" s="35"/>
      <c r="K1241" s="35"/>
      <c r="L1241" s="35"/>
      <c r="M1241" s="35"/>
      <c r="N1241" s="36"/>
      <c r="O1241" s="36"/>
    </row>
    <row r="1242" spans="1:15" ht="21" x14ac:dyDescent="0.4">
      <c r="A1242" s="35"/>
      <c r="B1242" s="35"/>
      <c r="C1242" s="35"/>
      <c r="D1242" s="35"/>
      <c r="E1242" s="35"/>
      <c r="F1242" s="36"/>
      <c r="G1242" s="42"/>
      <c r="H1242" s="35"/>
      <c r="I1242" s="35"/>
      <c r="J1242" s="35"/>
      <c r="K1242" s="35"/>
      <c r="L1242" s="35"/>
      <c r="M1242" s="35"/>
      <c r="N1242" s="36"/>
      <c r="O1242" s="36"/>
    </row>
    <row r="1243" spans="1:15" ht="21" x14ac:dyDescent="0.4">
      <c r="A1243" s="35"/>
      <c r="B1243" s="35"/>
      <c r="C1243" s="35"/>
      <c r="D1243" s="35"/>
      <c r="E1243" s="35"/>
      <c r="F1243" s="36"/>
      <c r="G1243" s="42"/>
      <c r="H1243" s="35"/>
      <c r="I1243" s="35"/>
      <c r="J1243" s="35"/>
      <c r="K1243" s="35"/>
      <c r="L1243" s="35"/>
      <c r="M1243" s="35"/>
      <c r="N1243" s="36"/>
      <c r="O1243" s="36"/>
    </row>
    <row r="1244" spans="1:15" ht="21" x14ac:dyDescent="0.4">
      <c r="A1244" s="35"/>
      <c r="B1244" s="35"/>
      <c r="C1244" s="35"/>
      <c r="D1244" s="35"/>
      <c r="E1244" s="35"/>
      <c r="F1244" s="36"/>
      <c r="G1244" s="42"/>
      <c r="H1244" s="35"/>
      <c r="I1244" s="35"/>
      <c r="J1244" s="35"/>
      <c r="K1244" s="35"/>
      <c r="L1244" s="35"/>
      <c r="M1244" s="35"/>
      <c r="N1244" s="36"/>
      <c r="O1244" s="36"/>
    </row>
    <row r="1245" spans="1:15" ht="21" x14ac:dyDescent="0.4">
      <c r="A1245" s="35"/>
      <c r="B1245" s="35"/>
      <c r="C1245" s="35"/>
      <c r="D1245" s="35"/>
      <c r="E1245" s="35"/>
      <c r="F1245" s="36"/>
      <c r="G1245" s="42"/>
      <c r="H1245" s="35"/>
      <c r="I1245" s="35"/>
      <c r="J1245" s="35"/>
      <c r="K1245" s="35"/>
      <c r="L1245" s="35"/>
      <c r="M1245" s="35"/>
      <c r="N1245" s="36"/>
      <c r="O1245" s="36"/>
    </row>
    <row r="1246" spans="1:15" ht="21" x14ac:dyDescent="0.4">
      <c r="A1246" s="35"/>
      <c r="B1246" s="35"/>
      <c r="C1246" s="35"/>
      <c r="D1246" s="35"/>
      <c r="E1246" s="35"/>
      <c r="F1246" s="36"/>
      <c r="G1246" s="42"/>
      <c r="H1246" s="35"/>
      <c r="I1246" s="35"/>
      <c r="J1246" s="35"/>
      <c r="K1246" s="35"/>
      <c r="L1246" s="35"/>
      <c r="M1246" s="35"/>
      <c r="N1246" s="36"/>
      <c r="O1246" s="36"/>
    </row>
    <row r="1247" spans="1:15" ht="21" x14ac:dyDescent="0.4">
      <c r="A1247" s="35"/>
      <c r="B1247" s="35"/>
      <c r="C1247" s="35"/>
      <c r="D1247" s="35"/>
      <c r="E1247" s="35"/>
      <c r="F1247" s="36"/>
      <c r="G1247" s="42"/>
      <c r="H1247" s="35"/>
      <c r="I1247" s="35"/>
      <c r="J1247" s="35"/>
      <c r="K1247" s="35"/>
      <c r="L1247" s="35"/>
      <c r="M1247" s="35"/>
      <c r="N1247" s="36"/>
      <c r="O1247" s="36"/>
    </row>
    <row r="1248" spans="1:15" ht="21" x14ac:dyDescent="0.4">
      <c r="A1248" s="35"/>
      <c r="B1248" s="35"/>
      <c r="C1248" s="35"/>
      <c r="D1248" s="35"/>
      <c r="E1248" s="35"/>
      <c r="F1248" s="36"/>
      <c r="G1248" s="42"/>
      <c r="H1248" s="35"/>
      <c r="I1248" s="35"/>
      <c r="J1248" s="35"/>
      <c r="K1248" s="35"/>
      <c r="L1248" s="35"/>
      <c r="M1248" s="35"/>
      <c r="N1248" s="36"/>
      <c r="O1248" s="36"/>
    </row>
    <row r="1249" spans="1:15" ht="21" x14ac:dyDescent="0.4">
      <c r="A1249" s="35"/>
      <c r="B1249" s="35"/>
      <c r="C1249" s="35"/>
      <c r="D1249" s="35"/>
      <c r="E1249" s="35"/>
      <c r="F1249" s="36"/>
      <c r="G1249" s="42"/>
      <c r="H1249" s="35"/>
      <c r="I1249" s="35"/>
      <c r="J1249" s="35"/>
      <c r="K1249" s="35"/>
      <c r="L1249" s="35"/>
      <c r="M1249" s="35"/>
      <c r="N1249" s="36"/>
      <c r="O1249" s="36"/>
    </row>
    <row r="1250" spans="1:15" ht="21" x14ac:dyDescent="0.4">
      <c r="A1250" s="35"/>
      <c r="B1250" s="35"/>
      <c r="C1250" s="35"/>
      <c r="D1250" s="35"/>
      <c r="E1250" s="35"/>
      <c r="F1250" s="36"/>
      <c r="G1250" s="42"/>
      <c r="H1250" s="35"/>
      <c r="I1250" s="35"/>
      <c r="J1250" s="35"/>
      <c r="K1250" s="35"/>
      <c r="L1250" s="35"/>
      <c r="M1250" s="35"/>
      <c r="N1250" s="36"/>
      <c r="O1250" s="36"/>
    </row>
    <row r="1251" spans="1:15" ht="21" x14ac:dyDescent="0.4">
      <c r="A1251" s="35"/>
      <c r="B1251" s="35"/>
      <c r="C1251" s="35"/>
      <c r="D1251" s="35"/>
      <c r="E1251" s="35"/>
      <c r="F1251" s="36"/>
      <c r="G1251" s="42"/>
      <c r="H1251" s="35"/>
      <c r="I1251" s="35"/>
      <c r="J1251" s="35"/>
      <c r="K1251" s="35"/>
      <c r="L1251" s="35"/>
      <c r="M1251" s="35"/>
      <c r="N1251" s="36"/>
      <c r="O1251" s="36"/>
    </row>
    <row r="1252" spans="1:15" ht="21" x14ac:dyDescent="0.4">
      <c r="A1252" s="35"/>
      <c r="B1252" s="35"/>
      <c r="C1252" s="35"/>
      <c r="D1252" s="35"/>
      <c r="E1252" s="35"/>
      <c r="F1252" s="36"/>
      <c r="G1252" s="42"/>
      <c r="H1252" s="35"/>
      <c r="I1252" s="35"/>
      <c r="J1252" s="35"/>
      <c r="K1252" s="35"/>
      <c r="L1252" s="35"/>
      <c r="M1252" s="35"/>
      <c r="N1252" s="36"/>
      <c r="O1252" s="36"/>
    </row>
    <row r="1253" spans="1:15" ht="21" x14ac:dyDescent="0.4">
      <c r="A1253" s="35"/>
      <c r="B1253" s="35"/>
      <c r="C1253" s="35"/>
      <c r="D1253" s="35"/>
      <c r="E1253" s="35"/>
      <c r="F1253" s="36"/>
      <c r="G1253" s="42"/>
      <c r="H1253" s="35"/>
      <c r="I1253" s="35"/>
      <c r="J1253" s="35"/>
      <c r="K1253" s="35"/>
      <c r="L1253" s="35"/>
      <c r="M1253" s="35"/>
      <c r="N1253" s="36"/>
      <c r="O1253" s="36"/>
    </row>
    <row r="1254" spans="1:15" ht="21" x14ac:dyDescent="0.4">
      <c r="A1254" s="35"/>
      <c r="B1254" s="35"/>
      <c r="C1254" s="35"/>
      <c r="D1254" s="35"/>
      <c r="E1254" s="35"/>
      <c r="F1254" s="36"/>
      <c r="G1254" s="42"/>
      <c r="H1254" s="35"/>
      <c r="I1254" s="35"/>
      <c r="J1254" s="35"/>
      <c r="K1254" s="35"/>
      <c r="L1254" s="35"/>
      <c r="M1254" s="35"/>
      <c r="N1254" s="36"/>
      <c r="O1254" s="36"/>
    </row>
    <row r="1255" spans="1:15" ht="21" x14ac:dyDescent="0.4">
      <c r="A1255" s="35"/>
      <c r="B1255" s="35"/>
      <c r="C1255" s="35"/>
      <c r="D1255" s="35"/>
      <c r="E1255" s="35"/>
      <c r="F1255" s="36"/>
      <c r="G1255" s="42"/>
      <c r="H1255" s="35"/>
      <c r="I1255" s="35"/>
      <c r="J1255" s="35"/>
      <c r="K1255" s="35"/>
      <c r="L1255" s="35"/>
      <c r="M1255" s="35"/>
      <c r="N1255" s="36"/>
      <c r="O1255" s="36"/>
    </row>
    <row r="1256" spans="1:15" ht="21" x14ac:dyDescent="0.4">
      <c r="A1256" s="35"/>
      <c r="B1256" s="35"/>
      <c r="C1256" s="35"/>
      <c r="D1256" s="35"/>
      <c r="E1256" s="35"/>
      <c r="F1256" s="36"/>
      <c r="G1256" s="42"/>
      <c r="H1256" s="35"/>
      <c r="I1256" s="35"/>
      <c r="J1256" s="35"/>
      <c r="K1256" s="35"/>
      <c r="L1256" s="35"/>
      <c r="M1256" s="35"/>
      <c r="N1256" s="36"/>
      <c r="O1256" s="36"/>
    </row>
    <row r="1257" spans="1:15" ht="21" x14ac:dyDescent="0.4">
      <c r="A1257" s="35"/>
      <c r="B1257" s="35"/>
      <c r="C1257" s="35"/>
      <c r="D1257" s="35"/>
      <c r="E1257" s="35"/>
      <c r="F1257" s="36"/>
      <c r="G1257" s="42"/>
      <c r="H1257" s="35"/>
      <c r="I1257" s="35"/>
      <c r="J1257" s="35"/>
      <c r="K1257" s="35"/>
      <c r="L1257" s="35"/>
      <c r="M1257" s="35"/>
      <c r="N1257" s="36"/>
      <c r="O1257" s="36"/>
    </row>
    <row r="1258" spans="1:15" ht="21" x14ac:dyDescent="0.4">
      <c r="A1258" s="35"/>
      <c r="B1258" s="35"/>
      <c r="C1258" s="35"/>
      <c r="D1258" s="35"/>
      <c r="E1258" s="35"/>
      <c r="F1258" s="36"/>
      <c r="G1258" s="42"/>
      <c r="H1258" s="35"/>
      <c r="I1258" s="35"/>
      <c r="J1258" s="35"/>
      <c r="K1258" s="35"/>
      <c r="L1258" s="35"/>
      <c r="M1258" s="35"/>
      <c r="N1258" s="36"/>
      <c r="O1258" s="36"/>
    </row>
    <row r="1259" spans="1:15" ht="21" x14ac:dyDescent="0.4">
      <c r="A1259" s="35"/>
      <c r="B1259" s="35"/>
      <c r="C1259" s="35"/>
      <c r="D1259" s="35"/>
      <c r="E1259" s="35"/>
      <c r="F1259" s="36"/>
      <c r="G1259" s="42"/>
      <c r="H1259" s="35"/>
      <c r="I1259" s="35"/>
      <c r="J1259" s="35"/>
      <c r="K1259" s="35"/>
      <c r="L1259" s="35"/>
      <c r="M1259" s="35"/>
      <c r="N1259" s="36"/>
      <c r="O1259" s="36"/>
    </row>
    <row r="1260" spans="1:15" ht="21" x14ac:dyDescent="0.4">
      <c r="A1260" s="35"/>
      <c r="B1260" s="35"/>
      <c r="C1260" s="35"/>
      <c r="D1260" s="35"/>
      <c r="E1260" s="35"/>
      <c r="F1260" s="36"/>
      <c r="G1260" s="42"/>
      <c r="H1260" s="35"/>
      <c r="I1260" s="35"/>
      <c r="J1260" s="35"/>
      <c r="K1260" s="35"/>
      <c r="L1260" s="35"/>
      <c r="M1260" s="35"/>
      <c r="N1260" s="36"/>
      <c r="O1260" s="36"/>
    </row>
    <row r="1261" spans="1:15" ht="21" x14ac:dyDescent="0.4">
      <c r="A1261" s="35"/>
      <c r="B1261" s="35"/>
      <c r="C1261" s="35"/>
      <c r="D1261" s="35"/>
      <c r="E1261" s="35"/>
      <c r="F1261" s="36"/>
      <c r="G1261" s="42"/>
      <c r="H1261" s="35"/>
      <c r="I1261" s="35"/>
      <c r="J1261" s="35"/>
      <c r="K1261" s="35"/>
      <c r="L1261" s="35"/>
      <c r="M1261" s="35"/>
      <c r="N1261" s="36"/>
      <c r="O1261" s="36"/>
    </row>
    <row r="1262" spans="1:15" ht="21" x14ac:dyDescent="0.4">
      <c r="A1262" s="35"/>
      <c r="B1262" s="35"/>
      <c r="C1262" s="35"/>
      <c r="D1262" s="35"/>
      <c r="E1262" s="35"/>
      <c r="F1262" s="36"/>
      <c r="G1262" s="42"/>
      <c r="H1262" s="35"/>
      <c r="I1262" s="35"/>
      <c r="J1262" s="35"/>
      <c r="K1262" s="35"/>
      <c r="L1262" s="35"/>
      <c r="M1262" s="35"/>
      <c r="N1262" s="36"/>
      <c r="O1262" s="36"/>
    </row>
    <row r="1263" spans="1:15" ht="21" x14ac:dyDescent="0.4">
      <c r="A1263" s="35"/>
      <c r="B1263" s="35"/>
      <c r="C1263" s="35"/>
      <c r="D1263" s="35"/>
      <c r="E1263" s="35"/>
      <c r="F1263" s="36"/>
      <c r="G1263" s="42"/>
      <c r="H1263" s="35"/>
      <c r="I1263" s="35"/>
      <c r="J1263" s="35"/>
      <c r="K1263" s="35"/>
      <c r="L1263" s="35"/>
      <c r="M1263" s="35"/>
      <c r="N1263" s="36"/>
      <c r="O1263" s="36"/>
    </row>
    <row r="1264" spans="1:15" ht="21" x14ac:dyDescent="0.4">
      <c r="A1264" s="35"/>
      <c r="B1264" s="35"/>
      <c r="C1264" s="35"/>
      <c r="D1264" s="35"/>
      <c r="E1264" s="35"/>
      <c r="F1264" s="36"/>
      <c r="G1264" s="42"/>
      <c r="H1264" s="35"/>
      <c r="I1264" s="35"/>
      <c r="J1264" s="35"/>
      <c r="K1264" s="35"/>
      <c r="L1264" s="35"/>
      <c r="M1264" s="35"/>
      <c r="N1264" s="36"/>
      <c r="O1264" s="36"/>
    </row>
    <row r="1265" spans="1:15" ht="21" x14ac:dyDescent="0.4">
      <c r="A1265" s="35"/>
      <c r="B1265" s="35"/>
      <c r="C1265" s="35"/>
      <c r="D1265" s="35"/>
      <c r="E1265" s="35"/>
      <c r="F1265" s="36"/>
      <c r="G1265" s="42"/>
      <c r="H1265" s="35"/>
      <c r="I1265" s="35"/>
      <c r="J1265" s="35"/>
      <c r="K1265" s="35"/>
      <c r="L1265" s="35"/>
      <c r="M1265" s="35"/>
      <c r="N1265" s="36"/>
      <c r="O1265" s="36"/>
    </row>
    <row r="1266" spans="1:15" ht="21" x14ac:dyDescent="0.4">
      <c r="A1266" s="35"/>
      <c r="B1266" s="35"/>
      <c r="C1266" s="35"/>
      <c r="D1266" s="35"/>
      <c r="E1266" s="35"/>
      <c r="F1266" s="36"/>
      <c r="G1266" s="42"/>
      <c r="H1266" s="35"/>
      <c r="I1266" s="35"/>
      <c r="J1266" s="35"/>
      <c r="K1266" s="35"/>
      <c r="L1266" s="35"/>
      <c r="M1266" s="35"/>
      <c r="N1266" s="36"/>
      <c r="O1266" s="36"/>
    </row>
    <row r="1267" spans="1:15" ht="21" x14ac:dyDescent="0.4">
      <c r="A1267" s="35"/>
      <c r="B1267" s="35"/>
      <c r="C1267" s="35"/>
      <c r="D1267" s="35"/>
      <c r="E1267" s="35"/>
      <c r="F1267" s="36"/>
      <c r="G1267" s="42"/>
      <c r="H1267" s="35"/>
      <c r="I1267" s="35"/>
      <c r="J1267" s="35"/>
      <c r="K1267" s="35"/>
      <c r="L1267" s="35"/>
      <c r="M1267" s="35"/>
      <c r="N1267" s="36"/>
      <c r="O1267" s="36"/>
    </row>
    <row r="1268" spans="1:15" ht="21" x14ac:dyDescent="0.4">
      <c r="A1268" s="35"/>
      <c r="B1268" s="35"/>
      <c r="C1268" s="35"/>
      <c r="D1268" s="35"/>
      <c r="E1268" s="35"/>
      <c r="F1268" s="36"/>
      <c r="G1268" s="42"/>
      <c r="H1268" s="35"/>
      <c r="I1268" s="35"/>
      <c r="J1268" s="35"/>
      <c r="K1268" s="35"/>
      <c r="L1268" s="35"/>
      <c r="M1268" s="35"/>
      <c r="N1268" s="36"/>
      <c r="O1268" s="36"/>
    </row>
    <row r="1269" spans="1:15" ht="21" x14ac:dyDescent="0.4">
      <c r="A1269" s="35"/>
      <c r="B1269" s="35"/>
      <c r="C1269" s="35"/>
      <c r="D1269" s="35"/>
      <c r="E1269" s="35"/>
      <c r="F1269" s="36"/>
      <c r="G1269" s="42"/>
      <c r="H1269" s="35"/>
      <c r="I1269" s="35"/>
      <c r="J1269" s="35"/>
      <c r="K1269" s="35"/>
      <c r="L1269" s="35"/>
      <c r="M1269" s="35"/>
      <c r="N1269" s="36"/>
      <c r="O1269" s="36"/>
    </row>
    <row r="1270" spans="1:15" ht="21" x14ac:dyDescent="0.4">
      <c r="A1270" s="35"/>
      <c r="B1270" s="35"/>
      <c r="C1270" s="35"/>
      <c r="D1270" s="35"/>
      <c r="E1270" s="35"/>
      <c r="F1270" s="36"/>
      <c r="G1270" s="42"/>
      <c r="H1270" s="35"/>
      <c r="I1270" s="35"/>
      <c r="J1270" s="35"/>
      <c r="K1270" s="35"/>
      <c r="L1270" s="35"/>
      <c r="M1270" s="35"/>
      <c r="N1270" s="36"/>
      <c r="O1270" s="36"/>
    </row>
    <row r="1271" spans="1:15" ht="21" x14ac:dyDescent="0.4">
      <c r="A1271" s="35"/>
      <c r="B1271" s="35"/>
      <c r="C1271" s="35"/>
      <c r="D1271" s="35"/>
      <c r="E1271" s="35"/>
      <c r="F1271" s="36"/>
      <c r="G1271" s="42"/>
      <c r="H1271" s="35"/>
      <c r="I1271" s="35"/>
      <c r="J1271" s="35"/>
      <c r="K1271" s="35"/>
      <c r="L1271" s="35"/>
      <c r="M1271" s="35"/>
      <c r="N1271" s="36"/>
      <c r="O1271" s="36"/>
    </row>
    <row r="1272" spans="1:15" ht="21" x14ac:dyDescent="0.4">
      <c r="A1272" s="35"/>
      <c r="B1272" s="35"/>
      <c r="C1272" s="35"/>
      <c r="D1272" s="35"/>
      <c r="E1272" s="35"/>
      <c r="F1272" s="36"/>
      <c r="G1272" s="42"/>
      <c r="H1272" s="35"/>
      <c r="I1272" s="35"/>
      <c r="J1272" s="35"/>
      <c r="K1272" s="35"/>
      <c r="L1272" s="35"/>
      <c r="M1272" s="35"/>
      <c r="N1272" s="36"/>
      <c r="O1272" s="36"/>
    </row>
    <row r="1273" spans="1:15" ht="21" x14ac:dyDescent="0.4">
      <c r="A1273" s="35"/>
      <c r="B1273" s="35"/>
      <c r="C1273" s="35"/>
      <c r="D1273" s="35"/>
      <c r="E1273" s="35"/>
      <c r="F1273" s="36"/>
      <c r="G1273" s="42"/>
      <c r="H1273" s="35"/>
      <c r="I1273" s="35"/>
      <c r="J1273" s="35"/>
      <c r="K1273" s="35"/>
      <c r="L1273" s="35"/>
      <c r="M1273" s="35"/>
      <c r="N1273" s="36"/>
      <c r="O1273" s="36"/>
    </row>
    <row r="1274" spans="1:15" ht="21" x14ac:dyDescent="0.4">
      <c r="A1274" s="35"/>
      <c r="B1274" s="35"/>
      <c r="C1274" s="35"/>
      <c r="D1274" s="35"/>
      <c r="E1274" s="35"/>
      <c r="F1274" s="36"/>
      <c r="G1274" s="42"/>
      <c r="H1274" s="35"/>
      <c r="I1274" s="35"/>
      <c r="J1274" s="35"/>
      <c r="K1274" s="35"/>
      <c r="L1274" s="35"/>
      <c r="M1274" s="35"/>
      <c r="N1274" s="36"/>
      <c r="O1274" s="36"/>
    </row>
    <row r="1275" spans="1:15" ht="21" x14ac:dyDescent="0.4">
      <c r="A1275" s="35"/>
      <c r="B1275" s="35"/>
      <c r="C1275" s="35"/>
      <c r="D1275" s="35"/>
      <c r="E1275" s="35"/>
      <c r="F1275" s="36"/>
      <c r="G1275" s="42"/>
      <c r="H1275" s="35"/>
      <c r="I1275" s="35"/>
      <c r="J1275" s="35"/>
      <c r="K1275" s="35"/>
      <c r="L1275" s="35"/>
      <c r="M1275" s="35"/>
      <c r="N1275" s="36"/>
      <c r="O1275" s="36"/>
    </row>
    <row r="1276" spans="1:15" ht="21" x14ac:dyDescent="0.4">
      <c r="A1276" s="35"/>
      <c r="B1276" s="35"/>
      <c r="C1276" s="35"/>
      <c r="D1276" s="35"/>
      <c r="E1276" s="35"/>
      <c r="F1276" s="36"/>
      <c r="G1276" s="42"/>
      <c r="H1276" s="35"/>
      <c r="I1276" s="35"/>
      <c r="J1276" s="35"/>
      <c r="K1276" s="35"/>
      <c r="L1276" s="35"/>
      <c r="M1276" s="35"/>
      <c r="N1276" s="36"/>
      <c r="O1276" s="36"/>
    </row>
    <row r="1277" spans="1:15" ht="21" x14ac:dyDescent="0.4">
      <c r="A1277" s="35"/>
      <c r="B1277" s="35"/>
      <c r="C1277" s="35"/>
      <c r="D1277" s="35"/>
      <c r="E1277" s="35"/>
      <c r="F1277" s="36"/>
      <c r="G1277" s="42"/>
      <c r="H1277" s="35"/>
      <c r="I1277" s="35"/>
      <c r="J1277" s="35"/>
      <c r="K1277" s="35"/>
      <c r="L1277" s="35"/>
      <c r="M1277" s="35"/>
      <c r="N1277" s="36"/>
      <c r="O1277" s="36"/>
    </row>
    <row r="1278" spans="1:15" ht="21" x14ac:dyDescent="0.4">
      <c r="A1278" s="35"/>
      <c r="B1278" s="35"/>
      <c r="C1278" s="35"/>
      <c r="D1278" s="35"/>
      <c r="E1278" s="35"/>
      <c r="F1278" s="36"/>
      <c r="G1278" s="42"/>
      <c r="H1278" s="35"/>
      <c r="I1278" s="35"/>
      <c r="J1278" s="35"/>
      <c r="K1278" s="35"/>
      <c r="L1278" s="35"/>
      <c r="M1278" s="35"/>
      <c r="N1278" s="36"/>
      <c r="O1278" s="36"/>
    </row>
    <row r="1279" spans="1:15" ht="21" x14ac:dyDescent="0.4">
      <c r="A1279" s="35"/>
      <c r="B1279" s="35"/>
      <c r="C1279" s="35"/>
      <c r="D1279" s="35"/>
      <c r="E1279" s="35"/>
      <c r="F1279" s="36"/>
      <c r="G1279" s="42"/>
      <c r="H1279" s="35"/>
      <c r="I1279" s="35"/>
      <c r="J1279" s="35"/>
      <c r="K1279" s="35"/>
      <c r="L1279" s="35"/>
      <c r="M1279" s="35"/>
      <c r="N1279" s="36"/>
      <c r="O1279" s="36"/>
    </row>
    <row r="1280" spans="1:15" ht="21" x14ac:dyDescent="0.4">
      <c r="A1280" s="35"/>
      <c r="B1280" s="35"/>
      <c r="C1280" s="35"/>
      <c r="D1280" s="35"/>
      <c r="E1280" s="35"/>
      <c r="F1280" s="36"/>
      <c r="G1280" s="42"/>
      <c r="H1280" s="35"/>
      <c r="I1280" s="35"/>
      <c r="J1280" s="35"/>
      <c r="K1280" s="35"/>
      <c r="L1280" s="35"/>
      <c r="M1280" s="35"/>
      <c r="N1280" s="36"/>
      <c r="O1280" s="36"/>
    </row>
    <row r="1281" spans="1:15" ht="21" x14ac:dyDescent="0.4">
      <c r="A1281" s="35"/>
      <c r="B1281" s="35"/>
      <c r="C1281" s="35"/>
      <c r="D1281" s="35"/>
      <c r="E1281" s="35"/>
      <c r="F1281" s="36"/>
      <c r="G1281" s="42"/>
      <c r="H1281" s="35"/>
      <c r="I1281" s="35"/>
      <c r="J1281" s="35"/>
      <c r="K1281" s="35"/>
      <c r="L1281" s="35"/>
      <c r="M1281" s="35"/>
      <c r="N1281" s="36"/>
      <c r="O1281" s="36"/>
    </row>
    <row r="1282" spans="1:15" ht="21" x14ac:dyDescent="0.4">
      <c r="A1282" s="35"/>
      <c r="B1282" s="35"/>
      <c r="C1282" s="35"/>
      <c r="D1282" s="35"/>
      <c r="E1282" s="35"/>
      <c r="F1282" s="36"/>
      <c r="G1282" s="42"/>
      <c r="H1282" s="35"/>
      <c r="I1282" s="35"/>
      <c r="J1282" s="35"/>
      <c r="K1282" s="35"/>
      <c r="L1282" s="35"/>
      <c r="M1282" s="35"/>
      <c r="N1282" s="36"/>
      <c r="O1282" s="36"/>
    </row>
    <row r="1283" spans="1:15" ht="21" x14ac:dyDescent="0.4">
      <c r="A1283" s="35"/>
      <c r="B1283" s="35"/>
      <c r="C1283" s="35"/>
      <c r="D1283" s="35"/>
      <c r="E1283" s="35"/>
      <c r="F1283" s="36"/>
      <c r="G1283" s="42"/>
      <c r="H1283" s="35"/>
      <c r="I1283" s="35"/>
      <c r="J1283" s="35"/>
      <c r="K1283" s="35"/>
      <c r="L1283" s="35"/>
      <c r="M1283" s="35"/>
      <c r="N1283" s="36"/>
      <c r="O1283" s="36"/>
    </row>
    <row r="1284" spans="1:15" ht="21" x14ac:dyDescent="0.4">
      <c r="A1284" s="35"/>
      <c r="B1284" s="35"/>
      <c r="C1284" s="35"/>
      <c r="D1284" s="35"/>
      <c r="E1284" s="35"/>
      <c r="F1284" s="36"/>
      <c r="G1284" s="42"/>
      <c r="H1284" s="35"/>
      <c r="I1284" s="35"/>
      <c r="J1284" s="35"/>
      <c r="K1284" s="35"/>
      <c r="L1284" s="35"/>
      <c r="M1284" s="35"/>
      <c r="N1284" s="36"/>
      <c r="O1284" s="36"/>
    </row>
    <row r="1285" spans="1:15" ht="21" x14ac:dyDescent="0.4">
      <c r="A1285" s="35"/>
      <c r="B1285" s="35"/>
      <c r="C1285" s="35"/>
      <c r="D1285" s="35"/>
      <c r="E1285" s="35"/>
      <c r="F1285" s="36"/>
      <c r="G1285" s="42"/>
      <c r="H1285" s="35"/>
      <c r="I1285" s="35"/>
      <c r="J1285" s="35"/>
      <c r="K1285" s="35"/>
      <c r="L1285" s="35"/>
      <c r="M1285" s="35"/>
      <c r="N1285" s="36"/>
      <c r="O1285" s="36"/>
    </row>
    <row r="1286" spans="1:15" ht="21" x14ac:dyDescent="0.4">
      <c r="A1286" s="35"/>
      <c r="B1286" s="35"/>
      <c r="C1286" s="35"/>
      <c r="D1286" s="35"/>
      <c r="E1286" s="35"/>
      <c r="F1286" s="36"/>
      <c r="G1286" s="42"/>
      <c r="H1286" s="35"/>
      <c r="I1286" s="35"/>
      <c r="J1286" s="35"/>
      <c r="K1286" s="35"/>
      <c r="L1286" s="35"/>
      <c r="M1286" s="35"/>
      <c r="N1286" s="36"/>
      <c r="O1286" s="36"/>
    </row>
    <row r="1287" spans="1:15" ht="21" x14ac:dyDescent="0.4">
      <c r="A1287" s="35"/>
      <c r="B1287" s="35"/>
      <c r="C1287" s="35"/>
      <c r="D1287" s="35"/>
      <c r="E1287" s="35"/>
      <c r="F1287" s="36"/>
      <c r="G1287" s="42"/>
      <c r="H1287" s="35"/>
      <c r="I1287" s="35"/>
      <c r="J1287" s="35"/>
      <c r="K1287" s="35"/>
      <c r="L1287" s="35"/>
      <c r="M1287" s="35"/>
      <c r="N1287" s="36"/>
      <c r="O1287" s="36"/>
    </row>
    <row r="1288" spans="1:15" ht="21" x14ac:dyDescent="0.4">
      <c r="A1288" s="35"/>
      <c r="B1288" s="35"/>
      <c r="C1288" s="35"/>
      <c r="D1288" s="35"/>
      <c r="E1288" s="35"/>
      <c r="F1288" s="36"/>
      <c r="G1288" s="42"/>
      <c r="H1288" s="35"/>
      <c r="I1288" s="35"/>
      <c r="J1288" s="35"/>
      <c r="K1288" s="35"/>
      <c r="L1288" s="35"/>
      <c r="M1288" s="35"/>
      <c r="N1288" s="36"/>
      <c r="O1288" s="36"/>
    </row>
    <row r="1289" spans="1:15" ht="21" x14ac:dyDescent="0.4">
      <c r="A1289" s="35"/>
      <c r="B1289" s="35"/>
      <c r="C1289" s="35"/>
      <c r="D1289" s="35"/>
      <c r="E1289" s="35"/>
      <c r="F1289" s="36"/>
      <c r="G1289" s="42"/>
      <c r="H1289" s="35"/>
      <c r="I1289" s="35"/>
      <c r="J1289" s="35"/>
      <c r="K1289" s="35"/>
      <c r="L1289" s="35"/>
      <c r="M1289" s="35"/>
      <c r="N1289" s="36"/>
      <c r="O1289" s="36"/>
    </row>
    <row r="1290" spans="1:15" ht="21" x14ac:dyDescent="0.4">
      <c r="A1290" s="35"/>
      <c r="B1290" s="35"/>
      <c r="C1290" s="35"/>
      <c r="D1290" s="35"/>
      <c r="E1290" s="35"/>
      <c r="F1290" s="36"/>
      <c r="G1290" s="42"/>
      <c r="H1290" s="35"/>
      <c r="I1290" s="35"/>
      <c r="J1290" s="35"/>
      <c r="K1290" s="35"/>
      <c r="L1290" s="35"/>
      <c r="M1290" s="35"/>
      <c r="N1290" s="36"/>
      <c r="O1290" s="36"/>
    </row>
    <row r="1291" spans="1:15" ht="21" x14ac:dyDescent="0.4">
      <c r="A1291" s="35"/>
      <c r="B1291" s="35"/>
      <c r="C1291" s="35"/>
      <c r="D1291" s="35"/>
      <c r="E1291" s="35"/>
      <c r="F1291" s="36"/>
      <c r="G1291" s="42"/>
      <c r="H1291" s="35"/>
      <c r="I1291" s="35"/>
      <c r="J1291" s="35"/>
      <c r="K1291" s="35"/>
      <c r="L1291" s="35"/>
      <c r="M1291" s="35"/>
      <c r="N1291" s="36"/>
      <c r="O1291" s="36"/>
    </row>
    <row r="1292" spans="1:15" ht="21" x14ac:dyDescent="0.4">
      <c r="A1292" s="35"/>
      <c r="B1292" s="35"/>
      <c r="C1292" s="35"/>
      <c r="D1292" s="35"/>
      <c r="E1292" s="35"/>
      <c r="F1292" s="36"/>
      <c r="G1292" s="42"/>
      <c r="H1292" s="35"/>
      <c r="I1292" s="35"/>
      <c r="J1292" s="35"/>
      <c r="K1292" s="35"/>
      <c r="L1292" s="35"/>
      <c r="M1292" s="35"/>
      <c r="N1292" s="36"/>
      <c r="O1292" s="36"/>
    </row>
    <row r="1293" spans="1:15" ht="21" x14ac:dyDescent="0.4">
      <c r="A1293" s="35"/>
      <c r="B1293" s="35"/>
      <c r="C1293" s="35"/>
      <c r="D1293" s="35"/>
      <c r="E1293" s="35"/>
      <c r="F1293" s="36"/>
      <c r="G1293" s="42"/>
      <c r="H1293" s="35"/>
      <c r="I1293" s="35"/>
      <c r="J1293" s="35"/>
      <c r="K1293" s="35"/>
      <c r="L1293" s="35"/>
      <c r="M1293" s="35"/>
      <c r="N1293" s="36"/>
      <c r="O1293" s="36"/>
    </row>
    <row r="1294" spans="1:15" ht="21" x14ac:dyDescent="0.4">
      <c r="A1294" s="35"/>
      <c r="B1294" s="35"/>
      <c r="C1294" s="35"/>
      <c r="D1294" s="35"/>
      <c r="E1294" s="35"/>
      <c r="F1294" s="36"/>
      <c r="G1294" s="42"/>
      <c r="H1294" s="35"/>
      <c r="I1294" s="35"/>
      <c r="J1294" s="35"/>
      <c r="K1294" s="35"/>
      <c r="L1294" s="35"/>
      <c r="M1294" s="35"/>
      <c r="N1294" s="36"/>
      <c r="O1294" s="36"/>
    </row>
    <row r="1295" spans="1:15" ht="21" x14ac:dyDescent="0.4">
      <c r="A1295" s="35"/>
      <c r="B1295" s="35"/>
      <c r="C1295" s="35"/>
      <c r="D1295" s="35"/>
      <c r="E1295" s="35"/>
      <c r="F1295" s="36"/>
      <c r="G1295" s="42"/>
      <c r="H1295" s="35"/>
      <c r="I1295" s="35"/>
      <c r="J1295" s="35"/>
      <c r="K1295" s="35"/>
      <c r="L1295" s="35"/>
      <c r="M1295" s="35"/>
      <c r="N1295" s="36"/>
      <c r="O1295" s="36"/>
    </row>
    <row r="1296" spans="1:15" ht="21" x14ac:dyDescent="0.4">
      <c r="A1296" s="35"/>
      <c r="B1296" s="35"/>
      <c r="C1296" s="35"/>
      <c r="D1296" s="35"/>
      <c r="E1296" s="35"/>
      <c r="F1296" s="36"/>
      <c r="G1296" s="42"/>
      <c r="H1296" s="35"/>
      <c r="I1296" s="35"/>
      <c r="J1296" s="35"/>
      <c r="K1296" s="35"/>
      <c r="L1296" s="35"/>
      <c r="M1296" s="35"/>
      <c r="N1296" s="36"/>
      <c r="O1296" s="36"/>
    </row>
    <row r="1297" spans="1:15" ht="21" x14ac:dyDescent="0.4">
      <c r="A1297" s="35"/>
      <c r="B1297" s="35"/>
      <c r="C1297" s="35"/>
      <c r="D1297" s="35"/>
      <c r="E1297" s="35"/>
      <c r="F1297" s="36"/>
      <c r="G1297" s="42"/>
      <c r="H1297" s="35"/>
      <c r="I1297" s="35"/>
      <c r="J1297" s="35"/>
      <c r="K1297" s="35"/>
      <c r="L1297" s="35"/>
      <c r="M1297" s="35"/>
      <c r="N1297" s="36"/>
      <c r="O1297" s="36"/>
    </row>
    <row r="1298" spans="1:15" ht="21" x14ac:dyDescent="0.4">
      <c r="A1298" s="35"/>
      <c r="B1298" s="35"/>
      <c r="C1298" s="35"/>
      <c r="D1298" s="35"/>
      <c r="E1298" s="35"/>
      <c r="F1298" s="36"/>
      <c r="G1298" s="42"/>
      <c r="H1298" s="35"/>
      <c r="I1298" s="35"/>
      <c r="J1298" s="35"/>
      <c r="K1298" s="35"/>
      <c r="L1298" s="35"/>
      <c r="M1298" s="35"/>
      <c r="N1298" s="36"/>
      <c r="O1298" s="36"/>
    </row>
    <row r="1299" spans="1:15" ht="21" x14ac:dyDescent="0.4">
      <c r="A1299" s="35"/>
      <c r="B1299" s="35"/>
      <c r="C1299" s="35"/>
      <c r="D1299" s="35"/>
      <c r="E1299" s="35"/>
      <c r="F1299" s="36"/>
      <c r="G1299" s="42"/>
      <c r="H1299" s="35"/>
      <c r="I1299" s="35"/>
      <c r="J1299" s="35"/>
      <c r="K1299" s="35"/>
      <c r="L1299" s="35"/>
      <c r="M1299" s="35"/>
      <c r="N1299" s="36"/>
      <c r="O1299" s="36"/>
    </row>
    <row r="1300" spans="1:15" ht="21" x14ac:dyDescent="0.4">
      <c r="A1300" s="35"/>
      <c r="B1300" s="35"/>
      <c r="C1300" s="35"/>
      <c r="D1300" s="35"/>
      <c r="E1300" s="35"/>
      <c r="F1300" s="36"/>
      <c r="G1300" s="42"/>
      <c r="H1300" s="35"/>
      <c r="I1300" s="35"/>
      <c r="J1300" s="35"/>
      <c r="K1300" s="35"/>
      <c r="L1300" s="35"/>
      <c r="M1300" s="35"/>
      <c r="N1300" s="36"/>
      <c r="O1300" s="36"/>
    </row>
    <row r="1301" spans="1:15" ht="21" x14ac:dyDescent="0.4">
      <c r="A1301" s="35"/>
      <c r="B1301" s="35"/>
      <c r="C1301" s="35"/>
      <c r="D1301" s="35"/>
      <c r="E1301" s="35"/>
      <c r="F1301" s="36"/>
      <c r="G1301" s="42"/>
      <c r="H1301" s="35"/>
      <c r="I1301" s="35"/>
      <c r="J1301" s="35"/>
      <c r="K1301" s="35"/>
      <c r="L1301" s="35"/>
      <c r="M1301" s="35"/>
      <c r="N1301" s="36"/>
      <c r="O1301" s="36"/>
    </row>
    <row r="1302" spans="1:15" ht="21" x14ac:dyDescent="0.4">
      <c r="A1302" s="35"/>
      <c r="B1302" s="35"/>
      <c r="C1302" s="35"/>
      <c r="D1302" s="35"/>
      <c r="E1302" s="35"/>
      <c r="F1302" s="36"/>
      <c r="G1302" s="42"/>
      <c r="H1302" s="35"/>
      <c r="I1302" s="35"/>
      <c r="J1302" s="35"/>
      <c r="K1302" s="35"/>
      <c r="L1302" s="35"/>
      <c r="M1302" s="35"/>
      <c r="N1302" s="36"/>
      <c r="O1302" s="36"/>
    </row>
    <row r="1303" spans="1:15" ht="21" x14ac:dyDescent="0.4">
      <c r="A1303" s="35"/>
      <c r="B1303" s="35"/>
      <c r="C1303" s="35"/>
      <c r="D1303" s="35"/>
      <c r="E1303" s="35"/>
      <c r="F1303" s="36"/>
      <c r="G1303" s="42"/>
      <c r="H1303" s="35"/>
      <c r="I1303" s="35"/>
      <c r="J1303" s="35"/>
      <c r="K1303" s="35"/>
      <c r="L1303" s="35"/>
      <c r="M1303" s="35"/>
      <c r="N1303" s="36"/>
      <c r="O1303" s="36"/>
    </row>
    <row r="1304" spans="1:15" ht="21" x14ac:dyDescent="0.4">
      <c r="A1304" s="35"/>
      <c r="B1304" s="35"/>
      <c r="C1304" s="35"/>
      <c r="D1304" s="35"/>
      <c r="E1304" s="35"/>
      <c r="F1304" s="36"/>
      <c r="G1304" s="42"/>
      <c r="H1304" s="35"/>
      <c r="I1304" s="35"/>
      <c r="J1304" s="35"/>
      <c r="K1304" s="35"/>
      <c r="L1304" s="35"/>
      <c r="M1304" s="35"/>
      <c r="N1304" s="36"/>
      <c r="O1304" s="36"/>
    </row>
    <row r="1305" spans="1:15" ht="21" x14ac:dyDescent="0.4">
      <c r="A1305" s="35"/>
      <c r="B1305" s="35"/>
      <c r="C1305" s="35"/>
      <c r="D1305" s="35"/>
      <c r="E1305" s="35"/>
      <c r="F1305" s="36"/>
      <c r="G1305" s="42"/>
      <c r="H1305" s="35"/>
      <c r="I1305" s="35"/>
      <c r="J1305" s="35"/>
      <c r="K1305" s="35"/>
      <c r="L1305" s="35"/>
      <c r="M1305" s="35"/>
      <c r="N1305" s="36"/>
      <c r="O1305" s="36"/>
    </row>
    <row r="1306" spans="1:15" ht="21" x14ac:dyDescent="0.4">
      <c r="A1306" s="35"/>
      <c r="B1306" s="35"/>
      <c r="C1306" s="35"/>
      <c r="D1306" s="35"/>
      <c r="E1306" s="35"/>
      <c r="F1306" s="36"/>
      <c r="G1306" s="42"/>
      <c r="H1306" s="35"/>
      <c r="I1306" s="35"/>
      <c r="J1306" s="35"/>
      <c r="K1306" s="35"/>
      <c r="L1306" s="35"/>
      <c r="M1306" s="35"/>
      <c r="N1306" s="36"/>
      <c r="O1306" s="36"/>
    </row>
    <row r="1307" spans="1:15" ht="21" x14ac:dyDescent="0.4">
      <c r="A1307" s="35"/>
      <c r="B1307" s="35"/>
      <c r="C1307" s="35"/>
      <c r="D1307" s="35"/>
      <c r="E1307" s="35"/>
      <c r="F1307" s="36"/>
      <c r="G1307" s="42"/>
      <c r="H1307" s="35"/>
      <c r="I1307" s="35"/>
      <c r="J1307" s="35"/>
      <c r="K1307" s="35"/>
      <c r="L1307" s="35"/>
      <c r="M1307" s="35"/>
      <c r="N1307" s="36"/>
      <c r="O1307" s="36"/>
    </row>
    <row r="1308" spans="1:15" ht="21" x14ac:dyDescent="0.4">
      <c r="A1308" s="35"/>
      <c r="B1308" s="35"/>
      <c r="C1308" s="35"/>
      <c r="D1308" s="35"/>
      <c r="E1308" s="35"/>
      <c r="F1308" s="36"/>
      <c r="G1308" s="42"/>
      <c r="H1308" s="35"/>
      <c r="I1308" s="35"/>
      <c r="J1308" s="35"/>
      <c r="K1308" s="35"/>
      <c r="L1308" s="35"/>
      <c r="M1308" s="35"/>
      <c r="N1308" s="36"/>
      <c r="O1308" s="36"/>
    </row>
    <row r="1309" spans="1:15" ht="21" x14ac:dyDescent="0.4">
      <c r="A1309" s="35"/>
      <c r="B1309" s="35"/>
      <c r="C1309" s="35"/>
      <c r="D1309" s="35"/>
      <c r="E1309" s="35"/>
      <c r="F1309" s="36"/>
      <c r="G1309" s="42"/>
      <c r="H1309" s="35"/>
      <c r="I1309" s="35"/>
      <c r="J1309" s="35"/>
      <c r="K1309" s="35"/>
      <c r="L1309" s="35"/>
      <c r="M1309" s="35"/>
      <c r="N1309" s="36"/>
      <c r="O1309" s="36"/>
    </row>
    <row r="1310" spans="1:15" ht="21" x14ac:dyDescent="0.4">
      <c r="A1310" s="35"/>
      <c r="B1310" s="35"/>
      <c r="C1310" s="35"/>
      <c r="D1310" s="35"/>
      <c r="E1310" s="35"/>
      <c r="F1310" s="36"/>
      <c r="G1310" s="42"/>
      <c r="H1310" s="35"/>
      <c r="I1310" s="35"/>
      <c r="J1310" s="35"/>
      <c r="K1310" s="35"/>
      <c r="L1310" s="35"/>
      <c r="M1310" s="35"/>
      <c r="N1310" s="36"/>
      <c r="O1310" s="36"/>
    </row>
    <row r="1311" spans="1:15" ht="21" x14ac:dyDescent="0.4">
      <c r="A1311" s="35"/>
      <c r="B1311" s="35"/>
      <c r="C1311" s="35"/>
      <c r="D1311" s="35"/>
      <c r="E1311" s="35"/>
      <c r="F1311" s="36"/>
      <c r="G1311" s="42"/>
      <c r="H1311" s="35"/>
      <c r="I1311" s="35"/>
      <c r="J1311" s="35"/>
      <c r="K1311" s="35"/>
      <c r="L1311" s="35"/>
      <c r="M1311" s="35"/>
      <c r="N1311" s="36"/>
      <c r="O1311" s="36"/>
    </row>
    <row r="1312" spans="1:15" ht="21" x14ac:dyDescent="0.4">
      <c r="A1312" s="35"/>
      <c r="B1312" s="35"/>
      <c r="C1312" s="35"/>
      <c r="D1312" s="35"/>
      <c r="E1312" s="35"/>
      <c r="F1312" s="36"/>
      <c r="G1312" s="42"/>
      <c r="H1312" s="35"/>
      <c r="I1312" s="35"/>
      <c r="J1312" s="35"/>
      <c r="K1312" s="35"/>
      <c r="L1312" s="35"/>
      <c r="M1312" s="35"/>
      <c r="N1312" s="36"/>
      <c r="O1312" s="36"/>
    </row>
    <row r="1313" spans="1:15" ht="21" x14ac:dyDescent="0.4">
      <c r="A1313" s="35"/>
      <c r="B1313" s="35"/>
      <c r="C1313" s="35"/>
      <c r="D1313" s="35"/>
      <c r="E1313" s="35"/>
      <c r="F1313" s="36"/>
      <c r="G1313" s="42"/>
      <c r="H1313" s="35"/>
      <c r="I1313" s="35"/>
      <c r="J1313" s="35"/>
      <c r="K1313" s="35"/>
      <c r="L1313" s="35"/>
      <c r="M1313" s="35"/>
      <c r="N1313" s="36"/>
      <c r="O1313" s="36"/>
    </row>
    <row r="1314" spans="1:15" ht="21" x14ac:dyDescent="0.4">
      <c r="A1314" s="35"/>
      <c r="B1314" s="35"/>
      <c r="C1314" s="35"/>
      <c r="D1314" s="35"/>
      <c r="E1314" s="35"/>
      <c r="F1314" s="36"/>
      <c r="G1314" s="42"/>
      <c r="H1314" s="35"/>
      <c r="I1314" s="35"/>
      <c r="J1314" s="35"/>
      <c r="K1314" s="35"/>
      <c r="L1314" s="35"/>
      <c r="M1314" s="35"/>
      <c r="N1314" s="36"/>
      <c r="O1314" s="36"/>
    </row>
    <row r="1315" spans="1:15" ht="21" x14ac:dyDescent="0.4">
      <c r="A1315" s="35"/>
      <c r="B1315" s="35"/>
      <c r="C1315" s="35"/>
      <c r="D1315" s="35"/>
      <c r="E1315" s="35"/>
      <c r="F1315" s="36"/>
      <c r="G1315" s="42"/>
      <c r="H1315" s="35"/>
      <c r="I1315" s="35"/>
      <c r="J1315" s="35"/>
      <c r="K1315" s="35"/>
      <c r="L1315" s="35"/>
      <c r="M1315" s="35"/>
      <c r="N1315" s="36"/>
      <c r="O1315" s="36"/>
    </row>
    <row r="1316" spans="1:15" ht="21" x14ac:dyDescent="0.4">
      <c r="A1316" s="35"/>
      <c r="B1316" s="35"/>
      <c r="C1316" s="35"/>
      <c r="D1316" s="35"/>
      <c r="E1316" s="35"/>
      <c r="F1316" s="36"/>
      <c r="G1316" s="42"/>
      <c r="H1316" s="35"/>
      <c r="I1316" s="35"/>
      <c r="J1316" s="35"/>
      <c r="K1316" s="35"/>
      <c r="L1316" s="35"/>
      <c r="M1316" s="35"/>
      <c r="N1316" s="36"/>
      <c r="O1316" s="36"/>
    </row>
    <row r="1317" spans="1:15" ht="21" x14ac:dyDescent="0.4">
      <c r="A1317" s="35"/>
      <c r="B1317" s="35"/>
      <c r="C1317" s="35"/>
      <c r="D1317" s="35"/>
      <c r="E1317" s="35"/>
      <c r="F1317" s="36"/>
      <c r="G1317" s="42"/>
      <c r="H1317" s="35"/>
      <c r="I1317" s="35"/>
      <c r="J1317" s="35"/>
      <c r="K1317" s="35"/>
      <c r="L1317" s="35"/>
      <c r="M1317" s="35"/>
      <c r="N1317" s="36"/>
      <c r="O1317" s="36"/>
    </row>
    <row r="1318" spans="1:15" ht="21" x14ac:dyDescent="0.4">
      <c r="A1318" s="35"/>
      <c r="B1318" s="35"/>
      <c r="C1318" s="35"/>
      <c r="D1318" s="35"/>
      <c r="E1318" s="35"/>
      <c r="F1318" s="36"/>
      <c r="G1318" s="42"/>
      <c r="H1318" s="35"/>
      <c r="I1318" s="35"/>
      <c r="J1318" s="35"/>
      <c r="K1318" s="35"/>
      <c r="L1318" s="35"/>
      <c r="M1318" s="35"/>
      <c r="N1318" s="36"/>
      <c r="O1318" s="36"/>
    </row>
    <row r="1319" spans="1:15" ht="21" x14ac:dyDescent="0.4">
      <c r="A1319" s="35"/>
      <c r="B1319" s="35"/>
      <c r="C1319" s="35"/>
      <c r="D1319" s="35"/>
      <c r="E1319" s="35"/>
      <c r="F1319" s="36"/>
      <c r="G1319" s="42"/>
      <c r="H1319" s="35"/>
      <c r="I1319" s="35"/>
      <c r="J1319" s="35"/>
      <c r="K1319" s="35"/>
      <c r="L1319" s="35"/>
      <c r="M1319" s="35"/>
      <c r="N1319" s="36"/>
      <c r="O1319" s="36"/>
    </row>
    <row r="1320" spans="1:15" ht="21" x14ac:dyDescent="0.4">
      <c r="A1320" s="35"/>
      <c r="B1320" s="35"/>
      <c r="C1320" s="35"/>
      <c r="D1320" s="35"/>
      <c r="E1320" s="35"/>
      <c r="F1320" s="36"/>
      <c r="G1320" s="42"/>
      <c r="H1320" s="35"/>
      <c r="I1320" s="35"/>
      <c r="J1320" s="35"/>
      <c r="K1320" s="35"/>
      <c r="L1320" s="35"/>
      <c r="M1320" s="35"/>
      <c r="N1320" s="36"/>
      <c r="O1320" s="36"/>
    </row>
    <row r="1321" spans="1:15" ht="21" x14ac:dyDescent="0.4">
      <c r="A1321" s="35"/>
      <c r="B1321" s="35"/>
      <c r="C1321" s="35"/>
      <c r="D1321" s="35"/>
      <c r="E1321" s="35"/>
      <c r="F1321" s="36"/>
      <c r="G1321" s="42"/>
      <c r="H1321" s="35"/>
      <c r="I1321" s="35"/>
      <c r="J1321" s="35"/>
      <c r="K1321" s="35"/>
      <c r="L1321" s="35"/>
      <c r="M1321" s="35"/>
      <c r="N1321" s="36"/>
      <c r="O1321" s="36"/>
    </row>
    <row r="1322" spans="1:15" ht="21" x14ac:dyDescent="0.4">
      <c r="A1322" s="35"/>
      <c r="B1322" s="35"/>
      <c r="C1322" s="35"/>
      <c r="D1322" s="35"/>
      <c r="E1322" s="35"/>
      <c r="F1322" s="36"/>
      <c r="G1322" s="42"/>
      <c r="H1322" s="35"/>
      <c r="I1322" s="35"/>
      <c r="J1322" s="35"/>
      <c r="K1322" s="35"/>
      <c r="L1322" s="35"/>
      <c r="M1322" s="35"/>
      <c r="N1322" s="36"/>
      <c r="O1322" s="36"/>
    </row>
    <row r="1323" spans="1:15" ht="21" x14ac:dyDescent="0.4">
      <c r="A1323" s="35"/>
      <c r="B1323" s="35"/>
      <c r="C1323" s="35"/>
      <c r="D1323" s="35"/>
      <c r="E1323" s="35"/>
      <c r="F1323" s="36"/>
      <c r="G1323" s="42"/>
      <c r="H1323" s="35"/>
      <c r="I1323" s="35"/>
      <c r="J1323" s="35"/>
      <c r="K1323" s="35"/>
      <c r="L1323" s="35"/>
      <c r="M1323" s="35"/>
      <c r="N1323" s="36"/>
      <c r="O1323" s="36"/>
    </row>
    <row r="1324" spans="1:15" ht="21" x14ac:dyDescent="0.4">
      <c r="A1324" s="35"/>
      <c r="B1324" s="35"/>
      <c r="C1324" s="35"/>
      <c r="D1324" s="35"/>
      <c r="E1324" s="35"/>
      <c r="F1324" s="36"/>
      <c r="G1324" s="42"/>
      <c r="H1324" s="35"/>
      <c r="I1324" s="35"/>
      <c r="J1324" s="35"/>
      <c r="K1324" s="35"/>
      <c r="L1324" s="35"/>
      <c r="M1324" s="35"/>
      <c r="N1324" s="36"/>
      <c r="O1324" s="36"/>
    </row>
    <row r="1325" spans="1:15" ht="21" x14ac:dyDescent="0.4">
      <c r="A1325" s="35"/>
      <c r="B1325" s="35"/>
      <c r="C1325" s="35"/>
      <c r="D1325" s="35"/>
      <c r="E1325" s="35"/>
      <c r="F1325" s="36"/>
      <c r="G1325" s="42"/>
      <c r="H1325" s="35"/>
      <c r="I1325" s="35"/>
      <c r="J1325" s="35"/>
      <c r="K1325" s="35"/>
      <c r="L1325" s="35"/>
      <c r="M1325" s="35"/>
      <c r="N1325" s="36"/>
      <c r="O1325" s="36"/>
    </row>
    <row r="1326" spans="1:15" ht="21" x14ac:dyDescent="0.4">
      <c r="A1326" s="35"/>
      <c r="B1326" s="35"/>
      <c r="C1326" s="35"/>
      <c r="D1326" s="35"/>
      <c r="E1326" s="35"/>
      <c r="F1326" s="36"/>
      <c r="G1326" s="42"/>
      <c r="H1326" s="35"/>
      <c r="I1326" s="35"/>
      <c r="J1326" s="35"/>
      <c r="K1326" s="35"/>
      <c r="L1326" s="35"/>
      <c r="M1326" s="35"/>
      <c r="N1326" s="36"/>
      <c r="O1326" s="36"/>
    </row>
    <row r="1327" spans="1:15" ht="21" x14ac:dyDescent="0.4">
      <c r="A1327" s="35"/>
      <c r="B1327" s="35"/>
      <c r="C1327" s="35"/>
      <c r="D1327" s="35"/>
      <c r="E1327" s="35"/>
      <c r="F1327" s="36"/>
      <c r="G1327" s="42"/>
      <c r="H1327" s="35"/>
      <c r="I1327" s="35"/>
      <c r="J1327" s="35"/>
      <c r="K1327" s="35"/>
      <c r="L1327" s="35"/>
      <c r="M1327" s="35"/>
      <c r="N1327" s="36"/>
      <c r="O1327" s="36"/>
    </row>
    <row r="1328" spans="1:15" ht="21" x14ac:dyDescent="0.4">
      <c r="A1328" s="35"/>
      <c r="B1328" s="35"/>
      <c r="C1328" s="35"/>
      <c r="D1328" s="35"/>
      <c r="E1328" s="35"/>
      <c r="F1328" s="36"/>
      <c r="G1328" s="42"/>
      <c r="H1328" s="35"/>
      <c r="I1328" s="35"/>
      <c r="J1328" s="35"/>
      <c r="K1328" s="35"/>
      <c r="L1328" s="35"/>
      <c r="M1328" s="35"/>
      <c r="N1328" s="36"/>
      <c r="O1328" s="36"/>
    </row>
    <row r="1329" spans="1:15" ht="21" x14ac:dyDescent="0.4">
      <c r="A1329" s="35"/>
      <c r="B1329" s="35"/>
      <c r="C1329" s="35"/>
      <c r="D1329" s="35"/>
      <c r="E1329" s="35"/>
      <c r="F1329" s="36"/>
      <c r="G1329" s="42"/>
      <c r="H1329" s="35"/>
      <c r="I1329" s="35"/>
      <c r="J1329" s="35"/>
      <c r="K1329" s="35"/>
      <c r="L1329" s="35"/>
      <c r="M1329" s="35"/>
      <c r="N1329" s="36"/>
      <c r="O1329" s="36"/>
    </row>
    <row r="1330" spans="1:15" ht="21" x14ac:dyDescent="0.4">
      <c r="A1330" s="35"/>
      <c r="B1330" s="35"/>
      <c r="C1330" s="35"/>
      <c r="D1330" s="35"/>
      <c r="E1330" s="35"/>
      <c r="F1330" s="36"/>
      <c r="G1330" s="42"/>
      <c r="H1330" s="35"/>
      <c r="I1330" s="35"/>
      <c r="J1330" s="35"/>
      <c r="K1330" s="35"/>
      <c r="L1330" s="35"/>
      <c r="M1330" s="35"/>
      <c r="N1330" s="36"/>
      <c r="O1330" s="36"/>
    </row>
    <row r="1331" spans="1:15" ht="21" x14ac:dyDescent="0.4">
      <c r="A1331" s="35"/>
      <c r="B1331" s="35"/>
      <c r="C1331" s="35"/>
      <c r="D1331" s="35"/>
      <c r="E1331" s="35"/>
      <c r="F1331" s="36"/>
      <c r="G1331" s="42"/>
      <c r="H1331" s="35"/>
      <c r="I1331" s="35"/>
      <c r="J1331" s="35"/>
      <c r="K1331" s="35"/>
      <c r="L1331" s="35"/>
      <c r="M1331" s="35"/>
      <c r="N1331" s="36"/>
      <c r="O1331" s="36"/>
    </row>
    <row r="1332" spans="1:15" ht="21" x14ac:dyDescent="0.4">
      <c r="A1332" s="35"/>
      <c r="B1332" s="35"/>
      <c r="C1332" s="35"/>
      <c r="D1332" s="35"/>
      <c r="E1332" s="35"/>
      <c r="F1332" s="36"/>
      <c r="G1332" s="42"/>
      <c r="H1332" s="35"/>
      <c r="I1332" s="35"/>
      <c r="J1332" s="35"/>
      <c r="K1332" s="35"/>
      <c r="L1332" s="35"/>
      <c r="M1332" s="35"/>
      <c r="N1332" s="36"/>
      <c r="O1332" s="36"/>
    </row>
    <row r="1333" spans="1:15" ht="21" x14ac:dyDescent="0.4">
      <c r="A1333" s="35"/>
      <c r="B1333" s="35"/>
      <c r="C1333" s="35"/>
      <c r="D1333" s="35"/>
      <c r="E1333" s="35"/>
      <c r="F1333" s="36"/>
      <c r="G1333" s="42"/>
      <c r="H1333" s="35"/>
      <c r="I1333" s="35"/>
      <c r="J1333" s="35"/>
      <c r="K1333" s="35"/>
      <c r="L1333" s="35"/>
      <c r="M1333" s="35"/>
      <c r="N1333" s="36"/>
      <c r="O1333" s="36"/>
    </row>
    <row r="1334" spans="1:15" ht="21" x14ac:dyDescent="0.4">
      <c r="A1334" s="35"/>
      <c r="B1334" s="35"/>
      <c r="C1334" s="35"/>
      <c r="D1334" s="35"/>
      <c r="E1334" s="35"/>
      <c r="F1334" s="36"/>
      <c r="G1334" s="42"/>
      <c r="H1334" s="35"/>
      <c r="I1334" s="35"/>
      <c r="J1334" s="35"/>
      <c r="K1334" s="35"/>
      <c r="L1334" s="35"/>
      <c r="M1334" s="35"/>
      <c r="N1334" s="36"/>
      <c r="O1334" s="36"/>
    </row>
    <row r="1335" spans="1:15" ht="21" x14ac:dyDescent="0.4">
      <c r="A1335" s="35"/>
      <c r="B1335" s="35"/>
      <c r="C1335" s="35"/>
      <c r="D1335" s="35"/>
      <c r="E1335" s="35"/>
      <c r="F1335" s="36"/>
      <c r="G1335" s="42"/>
      <c r="H1335" s="35"/>
      <c r="I1335" s="35"/>
      <c r="J1335" s="35"/>
      <c r="K1335" s="35"/>
      <c r="L1335" s="35"/>
      <c r="M1335" s="35"/>
      <c r="N1335" s="36"/>
      <c r="O1335" s="36"/>
    </row>
    <row r="1336" spans="1:15" ht="21" x14ac:dyDescent="0.4">
      <c r="A1336" s="35"/>
      <c r="B1336" s="35"/>
      <c r="C1336" s="35"/>
      <c r="D1336" s="35"/>
      <c r="E1336" s="35"/>
      <c r="F1336" s="36"/>
      <c r="G1336" s="42"/>
      <c r="H1336" s="35"/>
      <c r="I1336" s="35"/>
      <c r="J1336" s="35"/>
      <c r="K1336" s="35"/>
      <c r="L1336" s="35"/>
      <c r="M1336" s="35"/>
      <c r="N1336" s="36"/>
      <c r="O1336" s="36"/>
    </row>
    <row r="1337" spans="1:15" ht="21" x14ac:dyDescent="0.4">
      <c r="A1337" s="35"/>
      <c r="B1337" s="35"/>
      <c r="C1337" s="35"/>
      <c r="D1337" s="35"/>
      <c r="E1337" s="35"/>
      <c r="F1337" s="36"/>
      <c r="G1337" s="42"/>
      <c r="H1337" s="35"/>
      <c r="I1337" s="35"/>
      <c r="J1337" s="35"/>
      <c r="K1337" s="35"/>
      <c r="L1337" s="35"/>
      <c r="M1337" s="35"/>
      <c r="N1337" s="36"/>
      <c r="O1337" s="36"/>
    </row>
    <row r="1338" spans="1:15" ht="21" x14ac:dyDescent="0.4">
      <c r="A1338" s="35"/>
      <c r="B1338" s="35"/>
      <c r="C1338" s="35"/>
      <c r="D1338" s="35"/>
      <c r="E1338" s="35"/>
      <c r="F1338" s="36"/>
      <c r="G1338" s="42"/>
      <c r="H1338" s="35"/>
      <c r="I1338" s="35"/>
      <c r="J1338" s="35"/>
      <c r="K1338" s="35"/>
      <c r="L1338" s="35"/>
      <c r="M1338" s="35"/>
      <c r="N1338" s="36"/>
      <c r="O1338" s="36"/>
    </row>
    <row r="1339" spans="1:15" ht="21" x14ac:dyDescent="0.4">
      <c r="A1339" s="35"/>
      <c r="B1339" s="35"/>
      <c r="C1339" s="35"/>
      <c r="D1339" s="35"/>
      <c r="E1339" s="35"/>
      <c r="F1339" s="36"/>
      <c r="G1339" s="42"/>
      <c r="H1339" s="35"/>
      <c r="I1339" s="35"/>
      <c r="J1339" s="35"/>
      <c r="K1339" s="35"/>
      <c r="L1339" s="35"/>
      <c r="M1339" s="35"/>
      <c r="N1339" s="36"/>
      <c r="O1339" s="36"/>
    </row>
    <row r="1340" spans="1:15" ht="21" x14ac:dyDescent="0.4">
      <c r="A1340" s="35"/>
      <c r="B1340" s="35"/>
      <c r="C1340" s="35"/>
      <c r="D1340" s="35"/>
      <c r="E1340" s="35"/>
      <c r="F1340" s="36"/>
      <c r="G1340" s="42"/>
      <c r="H1340" s="35"/>
      <c r="I1340" s="35"/>
      <c r="J1340" s="35"/>
      <c r="K1340" s="35"/>
      <c r="L1340" s="35"/>
      <c r="M1340" s="35"/>
      <c r="N1340" s="36"/>
      <c r="O1340" s="36"/>
    </row>
    <row r="1341" spans="1:15" ht="21" x14ac:dyDescent="0.4">
      <c r="A1341" s="35"/>
      <c r="B1341" s="35"/>
      <c r="C1341" s="35"/>
      <c r="D1341" s="35"/>
      <c r="E1341" s="35"/>
      <c r="F1341" s="36"/>
      <c r="G1341" s="42"/>
      <c r="H1341" s="35"/>
      <c r="I1341" s="35"/>
      <c r="J1341" s="35"/>
      <c r="K1341" s="35"/>
      <c r="L1341" s="35"/>
      <c r="M1341" s="35"/>
      <c r="N1341" s="36"/>
      <c r="O1341" s="36"/>
    </row>
    <row r="1342" spans="1:15" ht="21" x14ac:dyDescent="0.4">
      <c r="A1342" s="35"/>
      <c r="B1342" s="35"/>
      <c r="C1342" s="35"/>
      <c r="D1342" s="35"/>
      <c r="E1342" s="35"/>
      <c r="F1342" s="36"/>
      <c r="G1342" s="42"/>
      <c r="H1342" s="35"/>
      <c r="I1342" s="35"/>
      <c r="J1342" s="35"/>
      <c r="K1342" s="35"/>
      <c r="L1342" s="35"/>
      <c r="M1342" s="35"/>
      <c r="N1342" s="36"/>
      <c r="O1342" s="36"/>
    </row>
    <row r="1343" spans="1:15" ht="21" x14ac:dyDescent="0.4">
      <c r="A1343" s="35"/>
      <c r="B1343" s="35"/>
      <c r="C1343" s="35"/>
      <c r="D1343" s="35"/>
      <c r="E1343" s="35"/>
      <c r="F1343" s="36"/>
      <c r="G1343" s="42"/>
      <c r="H1343" s="35"/>
      <c r="I1343" s="35"/>
      <c r="J1343" s="35"/>
      <c r="K1343" s="35"/>
      <c r="L1343" s="35"/>
      <c r="M1343" s="35"/>
      <c r="N1343" s="36"/>
      <c r="O1343" s="36"/>
    </row>
    <row r="1344" spans="1:15" ht="21" x14ac:dyDescent="0.4">
      <c r="A1344" s="35"/>
      <c r="B1344" s="35"/>
      <c r="C1344" s="35"/>
      <c r="D1344" s="35"/>
      <c r="E1344" s="35"/>
      <c r="F1344" s="36"/>
      <c r="G1344" s="42"/>
      <c r="H1344" s="35"/>
      <c r="I1344" s="35"/>
      <c r="J1344" s="35"/>
      <c r="K1344" s="35"/>
      <c r="L1344" s="35"/>
      <c r="M1344" s="35"/>
      <c r="N1344" s="36"/>
      <c r="O1344" s="36"/>
    </row>
    <row r="1345" spans="1:15" ht="21" x14ac:dyDescent="0.4">
      <c r="A1345" s="35"/>
      <c r="B1345" s="35"/>
      <c r="C1345" s="35"/>
      <c r="D1345" s="35"/>
      <c r="E1345" s="35"/>
      <c r="F1345" s="36"/>
      <c r="G1345" s="42"/>
      <c r="H1345" s="35"/>
      <c r="I1345" s="35"/>
      <c r="J1345" s="35"/>
      <c r="K1345" s="35"/>
      <c r="L1345" s="35"/>
      <c r="M1345" s="35"/>
      <c r="N1345" s="36"/>
      <c r="O1345" s="36"/>
    </row>
    <row r="1346" spans="1:15" ht="21" x14ac:dyDescent="0.4">
      <c r="A1346" s="35"/>
      <c r="B1346" s="35"/>
      <c r="C1346" s="35"/>
      <c r="D1346" s="35"/>
      <c r="E1346" s="35"/>
      <c r="F1346" s="36"/>
      <c r="G1346" s="42"/>
      <c r="H1346" s="35"/>
      <c r="I1346" s="35"/>
      <c r="J1346" s="35"/>
      <c r="K1346" s="35"/>
      <c r="L1346" s="35"/>
      <c r="M1346" s="35"/>
      <c r="N1346" s="36"/>
      <c r="O1346" s="36"/>
    </row>
    <row r="1347" spans="1:15" ht="21" x14ac:dyDescent="0.4">
      <c r="A1347" s="35"/>
      <c r="B1347" s="35"/>
      <c r="C1347" s="35"/>
      <c r="D1347" s="35"/>
      <c r="E1347" s="35"/>
      <c r="F1347" s="36"/>
      <c r="G1347" s="42"/>
      <c r="H1347" s="35"/>
      <c r="I1347" s="35"/>
      <c r="J1347" s="35"/>
      <c r="K1347" s="35"/>
      <c r="L1347" s="35"/>
      <c r="M1347" s="35"/>
      <c r="N1347" s="36"/>
      <c r="O1347" s="36"/>
    </row>
    <row r="1348" spans="1:15" ht="21" x14ac:dyDescent="0.4">
      <c r="A1348" s="35"/>
      <c r="B1348" s="35"/>
      <c r="C1348" s="35"/>
      <c r="D1348" s="35"/>
      <c r="E1348" s="35"/>
      <c r="F1348" s="36"/>
      <c r="G1348" s="42"/>
      <c r="H1348" s="35"/>
      <c r="I1348" s="35"/>
      <c r="J1348" s="35"/>
      <c r="K1348" s="35"/>
      <c r="L1348" s="35"/>
      <c r="M1348" s="35"/>
      <c r="N1348" s="36"/>
      <c r="O1348" s="36"/>
    </row>
    <row r="1349" spans="1:15" ht="21" x14ac:dyDescent="0.4">
      <c r="A1349" s="35"/>
      <c r="B1349" s="35"/>
      <c r="C1349" s="35"/>
      <c r="D1349" s="35"/>
      <c r="E1349" s="35"/>
      <c r="F1349" s="36"/>
      <c r="G1349" s="42"/>
      <c r="H1349" s="35"/>
      <c r="I1349" s="35"/>
      <c r="J1349" s="35"/>
      <c r="K1349" s="35"/>
      <c r="L1349" s="35"/>
      <c r="M1349" s="35"/>
      <c r="N1349" s="36"/>
      <c r="O1349" s="36"/>
    </row>
    <row r="1350" spans="1:15" ht="21" x14ac:dyDescent="0.4">
      <c r="A1350" s="35"/>
      <c r="B1350" s="35"/>
      <c r="C1350" s="35"/>
      <c r="D1350" s="35"/>
      <c r="E1350" s="35"/>
      <c r="F1350" s="36"/>
      <c r="G1350" s="42"/>
      <c r="H1350" s="35"/>
      <c r="I1350" s="35"/>
      <c r="J1350" s="35"/>
      <c r="K1350" s="35"/>
      <c r="L1350" s="35"/>
      <c r="M1350" s="35"/>
      <c r="N1350" s="36"/>
      <c r="O1350" s="36"/>
    </row>
    <row r="1351" spans="1:15" ht="21" x14ac:dyDescent="0.4">
      <c r="A1351" s="35"/>
      <c r="B1351" s="35"/>
      <c r="C1351" s="35"/>
      <c r="D1351" s="35"/>
      <c r="E1351" s="35"/>
      <c r="F1351" s="36"/>
      <c r="G1351" s="42"/>
      <c r="H1351" s="35"/>
      <c r="I1351" s="35"/>
      <c r="J1351" s="35"/>
      <c r="K1351" s="35"/>
      <c r="L1351" s="35"/>
      <c r="M1351" s="35"/>
      <c r="N1351" s="36"/>
      <c r="O1351" s="36"/>
    </row>
    <row r="1352" spans="1:15" ht="21" x14ac:dyDescent="0.4">
      <c r="A1352" s="35"/>
      <c r="B1352" s="35"/>
      <c r="C1352" s="35"/>
      <c r="D1352" s="35"/>
      <c r="E1352" s="35"/>
      <c r="F1352" s="36"/>
      <c r="G1352" s="42"/>
      <c r="H1352" s="35"/>
      <c r="I1352" s="35"/>
      <c r="J1352" s="35"/>
      <c r="K1352" s="35"/>
      <c r="L1352" s="35"/>
      <c r="M1352" s="35"/>
      <c r="N1352" s="36"/>
      <c r="O1352" s="36"/>
    </row>
    <row r="1353" spans="1:15" ht="21" x14ac:dyDescent="0.4">
      <c r="A1353" s="35"/>
      <c r="B1353" s="35"/>
      <c r="C1353" s="35"/>
      <c r="D1353" s="35"/>
      <c r="E1353" s="35"/>
      <c r="F1353" s="36"/>
      <c r="G1353" s="42"/>
      <c r="H1353" s="35"/>
      <c r="I1353" s="35"/>
      <c r="J1353" s="35"/>
      <c r="K1353" s="35"/>
      <c r="L1353" s="35"/>
      <c r="M1353" s="35"/>
      <c r="N1353" s="36"/>
      <c r="O1353" s="36"/>
    </row>
    <row r="1354" spans="1:15" ht="21" x14ac:dyDescent="0.4">
      <c r="A1354" s="35"/>
      <c r="B1354" s="35"/>
      <c r="C1354" s="35"/>
      <c r="D1354" s="35"/>
      <c r="E1354" s="35"/>
      <c r="F1354" s="36"/>
      <c r="G1354" s="42"/>
      <c r="H1354" s="35"/>
      <c r="I1354" s="35"/>
      <c r="J1354" s="35"/>
      <c r="K1354" s="35"/>
      <c r="L1354" s="35"/>
      <c r="M1354" s="35"/>
      <c r="N1354" s="36"/>
      <c r="O1354" s="36"/>
    </row>
    <row r="1355" spans="1:15" ht="21" x14ac:dyDescent="0.4">
      <c r="A1355" s="35"/>
      <c r="B1355" s="35"/>
      <c r="C1355" s="35"/>
      <c r="D1355" s="35"/>
      <c r="E1355" s="35"/>
      <c r="F1355" s="36"/>
      <c r="G1355" s="42"/>
      <c r="H1355" s="35"/>
      <c r="I1355" s="35"/>
      <c r="J1355" s="35"/>
      <c r="K1355" s="35"/>
      <c r="L1355" s="35"/>
      <c r="M1355" s="35"/>
      <c r="N1355" s="36"/>
      <c r="O1355" s="36"/>
    </row>
    <row r="1356" spans="1:15" ht="21" x14ac:dyDescent="0.4">
      <c r="A1356" s="35"/>
      <c r="B1356" s="35"/>
      <c r="C1356" s="35"/>
      <c r="D1356" s="35"/>
      <c r="E1356" s="35"/>
      <c r="F1356" s="36"/>
      <c r="G1356" s="42"/>
      <c r="H1356" s="35"/>
      <c r="I1356" s="35"/>
      <c r="J1356" s="35"/>
      <c r="K1356" s="35"/>
      <c r="L1356" s="35"/>
      <c r="M1356" s="35"/>
      <c r="N1356" s="36"/>
      <c r="O1356" s="36"/>
    </row>
    <row r="1357" spans="1:15" ht="21" x14ac:dyDescent="0.4">
      <c r="A1357" s="35"/>
      <c r="B1357" s="35"/>
      <c r="C1357" s="35"/>
      <c r="D1357" s="35"/>
      <c r="E1357" s="35"/>
      <c r="F1357" s="36"/>
      <c r="G1357" s="42"/>
      <c r="H1357" s="35"/>
      <c r="I1357" s="35"/>
      <c r="J1357" s="35"/>
      <c r="K1357" s="35"/>
      <c r="L1357" s="35"/>
      <c r="M1357" s="35"/>
      <c r="N1357" s="36"/>
      <c r="O1357" s="36"/>
    </row>
    <row r="1358" spans="1:15" ht="21" x14ac:dyDescent="0.4">
      <c r="A1358" s="35"/>
      <c r="B1358" s="35"/>
      <c r="C1358" s="35"/>
      <c r="D1358" s="35"/>
      <c r="E1358" s="35"/>
      <c r="F1358" s="36"/>
      <c r="G1358" s="42"/>
      <c r="H1358" s="35"/>
      <c r="I1358" s="35"/>
      <c r="J1358" s="35"/>
      <c r="K1358" s="35"/>
      <c r="L1358" s="35"/>
      <c r="M1358" s="35"/>
      <c r="N1358" s="36"/>
      <c r="O1358" s="36"/>
    </row>
    <row r="1359" spans="1:15" ht="21" x14ac:dyDescent="0.4">
      <c r="A1359" s="35"/>
      <c r="B1359" s="35"/>
      <c r="C1359" s="35"/>
      <c r="D1359" s="35"/>
      <c r="E1359" s="35"/>
      <c r="F1359" s="36"/>
      <c r="G1359" s="42"/>
      <c r="H1359" s="35"/>
      <c r="I1359" s="35"/>
      <c r="J1359" s="35"/>
      <c r="K1359" s="35"/>
      <c r="L1359" s="35"/>
      <c r="M1359" s="35"/>
      <c r="N1359" s="36"/>
      <c r="O1359" s="36"/>
    </row>
    <row r="1360" spans="1:15" ht="21" x14ac:dyDescent="0.4">
      <c r="A1360" s="35"/>
      <c r="B1360" s="35"/>
      <c r="C1360" s="35"/>
      <c r="D1360" s="35"/>
      <c r="E1360" s="35"/>
      <c r="F1360" s="36"/>
      <c r="G1360" s="42"/>
      <c r="H1360" s="35"/>
      <c r="I1360" s="35"/>
      <c r="J1360" s="35"/>
      <c r="K1360" s="35"/>
      <c r="L1360" s="35"/>
      <c r="M1360" s="35"/>
      <c r="N1360" s="36"/>
      <c r="O1360" s="36"/>
    </row>
    <row r="1361" spans="1:15" ht="21" x14ac:dyDescent="0.4">
      <c r="A1361" s="35"/>
      <c r="B1361" s="35"/>
      <c r="C1361" s="35"/>
      <c r="D1361" s="35"/>
      <c r="E1361" s="35"/>
      <c r="F1361" s="36"/>
      <c r="G1361" s="42"/>
      <c r="H1361" s="35"/>
      <c r="I1361" s="35"/>
      <c r="J1361" s="35"/>
      <c r="K1361" s="35"/>
      <c r="L1361" s="35"/>
      <c r="M1361" s="35"/>
      <c r="N1361" s="36"/>
      <c r="O1361" s="36"/>
    </row>
    <row r="1362" spans="1:15" ht="21" x14ac:dyDescent="0.4">
      <c r="A1362" s="35"/>
      <c r="B1362" s="35"/>
      <c r="C1362" s="35"/>
      <c r="D1362" s="35"/>
      <c r="E1362" s="35"/>
      <c r="F1362" s="36"/>
      <c r="G1362" s="42"/>
      <c r="H1362" s="35"/>
      <c r="I1362" s="35"/>
      <c r="J1362" s="35"/>
      <c r="K1362" s="35"/>
      <c r="L1362" s="35"/>
      <c r="M1362" s="35"/>
      <c r="N1362" s="36"/>
      <c r="O1362" s="36"/>
    </row>
    <row r="1363" spans="1:15" ht="21" x14ac:dyDescent="0.4">
      <c r="A1363" s="35"/>
      <c r="B1363" s="35"/>
      <c r="C1363" s="35"/>
      <c r="D1363" s="35"/>
      <c r="E1363" s="35"/>
      <c r="F1363" s="36"/>
      <c r="G1363" s="42"/>
      <c r="H1363" s="35"/>
      <c r="I1363" s="35"/>
      <c r="J1363" s="35"/>
      <c r="K1363" s="35"/>
      <c r="L1363" s="35"/>
      <c r="M1363" s="35"/>
      <c r="N1363" s="36"/>
      <c r="O1363" s="36"/>
    </row>
    <row r="1364" spans="1:15" ht="21" x14ac:dyDescent="0.4">
      <c r="A1364" s="35"/>
      <c r="B1364" s="35"/>
      <c r="C1364" s="35"/>
      <c r="D1364" s="35"/>
      <c r="E1364" s="35"/>
      <c r="F1364" s="36"/>
      <c r="G1364" s="42"/>
      <c r="H1364" s="35"/>
      <c r="I1364" s="35"/>
      <c r="J1364" s="35"/>
      <c r="K1364" s="35"/>
      <c r="L1364" s="35"/>
      <c r="M1364" s="35"/>
      <c r="N1364" s="36"/>
      <c r="O1364" s="36"/>
    </row>
    <row r="1365" spans="1:15" ht="21" x14ac:dyDescent="0.4">
      <c r="A1365" s="35"/>
      <c r="B1365" s="35"/>
      <c r="C1365" s="35"/>
      <c r="D1365" s="35"/>
      <c r="E1365" s="35"/>
      <c r="F1365" s="36"/>
      <c r="G1365" s="42"/>
      <c r="H1365" s="35"/>
      <c r="I1365" s="35"/>
      <c r="J1365" s="35"/>
      <c r="K1365" s="35"/>
      <c r="L1365" s="35"/>
      <c r="M1365" s="35"/>
      <c r="N1365" s="36"/>
      <c r="O1365" s="36"/>
    </row>
    <row r="1366" spans="1:15" ht="21" x14ac:dyDescent="0.4">
      <c r="A1366" s="35"/>
      <c r="B1366" s="35"/>
      <c r="C1366" s="35"/>
      <c r="D1366" s="35"/>
      <c r="E1366" s="35"/>
      <c r="F1366" s="36"/>
      <c r="G1366" s="42"/>
      <c r="H1366" s="35"/>
      <c r="I1366" s="35"/>
      <c r="J1366" s="35"/>
      <c r="K1366" s="35"/>
      <c r="L1366" s="35"/>
      <c r="M1366" s="35"/>
      <c r="N1366" s="36"/>
      <c r="O1366" s="36"/>
    </row>
    <row r="1367" spans="1:15" ht="21" x14ac:dyDescent="0.4">
      <c r="A1367" s="35"/>
      <c r="B1367" s="35"/>
      <c r="C1367" s="35"/>
      <c r="D1367" s="35"/>
      <c r="E1367" s="35"/>
      <c r="F1367" s="36"/>
      <c r="G1367" s="42"/>
      <c r="H1367" s="35"/>
      <c r="I1367" s="35"/>
      <c r="J1367" s="35"/>
      <c r="K1367" s="35"/>
      <c r="L1367" s="35"/>
      <c r="M1367" s="35"/>
      <c r="N1367" s="36"/>
      <c r="O1367" s="36"/>
    </row>
    <row r="1368" spans="1:15" ht="21" x14ac:dyDescent="0.4">
      <c r="A1368" s="35"/>
      <c r="B1368" s="35"/>
      <c r="C1368" s="35"/>
      <c r="D1368" s="35"/>
      <c r="E1368" s="35"/>
      <c r="F1368" s="36"/>
      <c r="G1368" s="42"/>
      <c r="H1368" s="35"/>
      <c r="I1368" s="35"/>
      <c r="J1368" s="35"/>
      <c r="K1368" s="35"/>
      <c r="L1368" s="35"/>
      <c r="M1368" s="35"/>
      <c r="N1368" s="36"/>
      <c r="O1368" s="36"/>
    </row>
    <row r="1369" spans="1:15" ht="21" x14ac:dyDescent="0.4">
      <c r="A1369" s="35"/>
      <c r="B1369" s="35"/>
      <c r="C1369" s="35"/>
      <c r="D1369" s="35"/>
      <c r="E1369" s="35"/>
      <c r="F1369" s="36"/>
      <c r="G1369" s="42"/>
      <c r="H1369" s="35"/>
      <c r="I1369" s="35"/>
      <c r="J1369" s="35"/>
      <c r="K1369" s="35"/>
      <c r="L1369" s="35"/>
      <c r="M1369" s="35"/>
      <c r="N1369" s="36"/>
      <c r="O1369" s="36"/>
    </row>
    <row r="1370" spans="1:15" ht="21" x14ac:dyDescent="0.4">
      <c r="A1370" s="35"/>
      <c r="B1370" s="35"/>
      <c r="C1370" s="35"/>
      <c r="D1370" s="35"/>
      <c r="E1370" s="35"/>
      <c r="F1370" s="36"/>
      <c r="G1370" s="42"/>
      <c r="H1370" s="35"/>
      <c r="I1370" s="35"/>
      <c r="J1370" s="35"/>
      <c r="K1370" s="35"/>
      <c r="L1370" s="35"/>
      <c r="M1370" s="35"/>
      <c r="N1370" s="36"/>
      <c r="O1370" s="36"/>
    </row>
    <row r="1371" spans="1:15" ht="21" x14ac:dyDescent="0.4">
      <c r="A1371" s="35"/>
      <c r="B1371" s="35"/>
      <c r="C1371" s="35"/>
      <c r="D1371" s="35"/>
      <c r="E1371" s="35"/>
      <c r="F1371" s="36"/>
      <c r="G1371" s="42"/>
      <c r="H1371" s="35"/>
      <c r="I1371" s="35"/>
      <c r="J1371" s="35"/>
      <c r="K1371" s="35"/>
      <c r="L1371" s="35"/>
      <c r="M1371" s="35"/>
      <c r="N1371" s="36"/>
      <c r="O1371" s="36"/>
    </row>
    <row r="1372" spans="1:15" ht="21" x14ac:dyDescent="0.4">
      <c r="A1372" s="35"/>
      <c r="B1372" s="35"/>
      <c r="C1372" s="35"/>
      <c r="D1372" s="35"/>
      <c r="E1372" s="35"/>
      <c r="F1372" s="36"/>
      <c r="G1372" s="42"/>
      <c r="H1372" s="35"/>
      <c r="I1372" s="35"/>
      <c r="J1372" s="35"/>
      <c r="K1372" s="35"/>
      <c r="L1372" s="35"/>
      <c r="M1372" s="35"/>
      <c r="N1372" s="36"/>
      <c r="O1372" s="36"/>
    </row>
    <row r="1373" spans="1:15" ht="21" x14ac:dyDescent="0.4">
      <c r="A1373" s="35"/>
      <c r="B1373" s="35"/>
      <c r="C1373" s="35"/>
      <c r="D1373" s="35"/>
      <c r="E1373" s="35"/>
      <c r="F1373" s="36"/>
      <c r="G1373" s="42"/>
      <c r="H1373" s="35"/>
      <c r="I1373" s="35"/>
      <c r="J1373" s="35"/>
      <c r="K1373" s="35"/>
      <c r="L1373" s="35"/>
      <c r="M1373" s="35"/>
      <c r="N1373" s="36"/>
      <c r="O1373" s="36"/>
    </row>
    <row r="1374" spans="1:15" ht="21" x14ac:dyDescent="0.4">
      <c r="A1374" s="35"/>
      <c r="B1374" s="35"/>
      <c r="C1374" s="35"/>
      <c r="D1374" s="35"/>
      <c r="E1374" s="35"/>
      <c r="F1374" s="36"/>
      <c r="G1374" s="42"/>
      <c r="H1374" s="35"/>
      <c r="I1374" s="35"/>
      <c r="J1374" s="35"/>
      <c r="K1374" s="35"/>
      <c r="L1374" s="35"/>
      <c r="M1374" s="35"/>
      <c r="N1374" s="36"/>
      <c r="O1374" s="36"/>
    </row>
    <row r="1375" spans="1:15" ht="21" x14ac:dyDescent="0.4">
      <c r="A1375" s="35"/>
      <c r="B1375" s="35"/>
      <c r="C1375" s="35"/>
      <c r="D1375" s="35"/>
      <c r="E1375" s="35"/>
      <c r="F1375" s="36"/>
      <c r="G1375" s="42"/>
      <c r="H1375" s="35"/>
      <c r="I1375" s="35"/>
      <c r="J1375" s="35"/>
      <c r="K1375" s="35"/>
      <c r="L1375" s="35"/>
      <c r="M1375" s="35"/>
      <c r="N1375" s="36"/>
      <c r="O1375" s="36"/>
    </row>
    <row r="1376" spans="1:15" ht="21" x14ac:dyDescent="0.4">
      <c r="A1376" s="35"/>
      <c r="B1376" s="35"/>
      <c r="C1376" s="35"/>
      <c r="D1376" s="35"/>
      <c r="E1376" s="35"/>
      <c r="F1376" s="36"/>
      <c r="G1376" s="42"/>
      <c r="H1376" s="35"/>
      <c r="I1376" s="35"/>
      <c r="J1376" s="35"/>
      <c r="K1376" s="35"/>
      <c r="L1376" s="35"/>
      <c r="M1376" s="35"/>
      <c r="N1376" s="36"/>
      <c r="O1376" s="36"/>
    </row>
    <row r="1377" spans="1:15" ht="21" x14ac:dyDescent="0.4">
      <c r="A1377" s="35"/>
      <c r="B1377" s="35"/>
      <c r="C1377" s="35"/>
      <c r="D1377" s="35"/>
      <c r="E1377" s="35"/>
      <c r="F1377" s="36"/>
      <c r="G1377" s="42"/>
      <c r="H1377" s="35"/>
      <c r="I1377" s="35"/>
      <c r="J1377" s="35"/>
      <c r="K1377" s="35"/>
      <c r="L1377" s="35"/>
      <c r="M1377" s="35"/>
      <c r="N1377" s="36"/>
      <c r="O1377" s="36"/>
    </row>
    <row r="1378" spans="1:15" ht="21" x14ac:dyDescent="0.4">
      <c r="A1378" s="35"/>
      <c r="B1378" s="35"/>
      <c r="C1378" s="35"/>
      <c r="D1378" s="35"/>
      <c r="E1378" s="35"/>
      <c r="F1378" s="36"/>
      <c r="G1378" s="42"/>
      <c r="H1378" s="35"/>
      <c r="I1378" s="35"/>
      <c r="J1378" s="35"/>
      <c r="K1378" s="35"/>
      <c r="L1378" s="35"/>
      <c r="M1378" s="35"/>
      <c r="N1378" s="36"/>
      <c r="O1378" s="36"/>
    </row>
    <row r="1379" spans="1:15" ht="21" x14ac:dyDescent="0.4">
      <c r="A1379" s="35"/>
      <c r="B1379" s="35"/>
      <c r="C1379" s="35"/>
      <c r="D1379" s="35"/>
      <c r="E1379" s="35"/>
      <c r="F1379" s="36"/>
      <c r="G1379" s="42"/>
      <c r="H1379" s="35"/>
      <c r="I1379" s="35"/>
      <c r="J1379" s="35"/>
      <c r="K1379" s="35"/>
      <c r="L1379" s="35"/>
      <c r="M1379" s="35"/>
      <c r="N1379" s="36"/>
      <c r="O1379" s="36"/>
    </row>
    <row r="1380" spans="1:15" ht="21" x14ac:dyDescent="0.4">
      <c r="A1380" s="35"/>
      <c r="B1380" s="35"/>
      <c r="C1380" s="35"/>
      <c r="D1380" s="35"/>
      <c r="E1380" s="35"/>
      <c r="F1380" s="36"/>
      <c r="G1380" s="42"/>
      <c r="H1380" s="35"/>
      <c r="I1380" s="35"/>
      <c r="J1380" s="35"/>
      <c r="K1380" s="35"/>
      <c r="L1380" s="35"/>
      <c r="M1380" s="35"/>
      <c r="N1380" s="36"/>
      <c r="O1380" s="36"/>
    </row>
    <row r="1381" spans="1:15" ht="21" x14ac:dyDescent="0.4">
      <c r="A1381" s="35"/>
      <c r="B1381" s="35"/>
      <c r="C1381" s="35"/>
      <c r="D1381" s="35"/>
      <c r="E1381" s="35"/>
      <c r="F1381" s="36"/>
      <c r="G1381" s="42"/>
      <c r="H1381" s="35"/>
      <c r="I1381" s="35"/>
      <c r="J1381" s="35"/>
      <c r="K1381" s="35"/>
      <c r="L1381" s="35"/>
      <c r="M1381" s="35"/>
      <c r="N1381" s="36"/>
      <c r="O1381" s="36"/>
    </row>
    <row r="1382" spans="1:15" ht="21" x14ac:dyDescent="0.4">
      <c r="A1382" s="35"/>
      <c r="B1382" s="35"/>
      <c r="C1382" s="35"/>
      <c r="D1382" s="35"/>
      <c r="E1382" s="35"/>
      <c r="F1382" s="36"/>
      <c r="G1382" s="42"/>
      <c r="H1382" s="35"/>
      <c r="I1382" s="35"/>
      <c r="J1382" s="35"/>
      <c r="K1382" s="35"/>
      <c r="L1382" s="35"/>
      <c r="M1382" s="35"/>
      <c r="N1382" s="36"/>
      <c r="O1382" s="36"/>
    </row>
    <row r="1383" spans="1:15" ht="21" x14ac:dyDescent="0.4">
      <c r="A1383" s="35"/>
      <c r="B1383" s="35"/>
      <c r="C1383" s="35"/>
      <c r="D1383" s="35"/>
      <c r="E1383" s="35"/>
      <c r="F1383" s="36"/>
      <c r="G1383" s="42"/>
      <c r="H1383" s="35"/>
      <c r="I1383" s="35"/>
      <c r="J1383" s="35"/>
      <c r="K1383" s="35"/>
      <c r="L1383" s="35"/>
      <c r="M1383" s="35"/>
      <c r="N1383" s="36"/>
      <c r="O1383" s="36"/>
    </row>
    <row r="1384" spans="1:15" ht="21" x14ac:dyDescent="0.4">
      <c r="A1384" s="35"/>
      <c r="B1384" s="35"/>
      <c r="C1384" s="35"/>
      <c r="D1384" s="35"/>
      <c r="E1384" s="35"/>
      <c r="F1384" s="36"/>
      <c r="G1384" s="42"/>
      <c r="H1384" s="35"/>
      <c r="I1384" s="35"/>
      <c r="J1384" s="35"/>
      <c r="K1384" s="35"/>
      <c r="L1384" s="35"/>
      <c r="M1384" s="35"/>
      <c r="N1384" s="36"/>
      <c r="O1384" s="36"/>
    </row>
    <row r="1385" spans="1:15" ht="21" x14ac:dyDescent="0.4">
      <c r="A1385" s="35"/>
      <c r="B1385" s="35"/>
      <c r="C1385" s="35"/>
      <c r="D1385" s="35"/>
      <c r="E1385" s="35"/>
      <c r="F1385" s="36"/>
      <c r="G1385" s="42"/>
      <c r="H1385" s="35"/>
      <c r="I1385" s="35"/>
      <c r="J1385" s="35"/>
      <c r="K1385" s="35"/>
      <c r="L1385" s="35"/>
      <c r="M1385" s="35"/>
      <c r="N1385" s="36"/>
      <c r="O1385" s="36"/>
    </row>
    <row r="1386" spans="1:15" ht="21" x14ac:dyDescent="0.4">
      <c r="A1386" s="35"/>
      <c r="B1386" s="35"/>
      <c r="C1386" s="35"/>
      <c r="D1386" s="35"/>
      <c r="E1386" s="35"/>
      <c r="F1386" s="36"/>
      <c r="G1386" s="42"/>
      <c r="H1386" s="35"/>
      <c r="I1386" s="35"/>
      <c r="J1386" s="35"/>
      <c r="K1386" s="35"/>
      <c r="L1386" s="35"/>
      <c r="M1386" s="35"/>
      <c r="N1386" s="36"/>
      <c r="O1386" s="36"/>
    </row>
    <row r="1387" spans="1:15" ht="21" x14ac:dyDescent="0.4">
      <c r="A1387" s="35"/>
      <c r="B1387" s="35"/>
      <c r="C1387" s="35"/>
      <c r="D1387" s="35"/>
      <c r="E1387" s="35"/>
      <c r="F1387" s="36"/>
      <c r="G1387" s="42"/>
      <c r="H1387" s="35"/>
      <c r="I1387" s="35"/>
      <c r="J1387" s="35"/>
      <c r="K1387" s="35"/>
      <c r="L1387" s="35"/>
      <c r="M1387" s="35"/>
      <c r="N1387" s="36"/>
      <c r="O1387" s="36"/>
    </row>
    <row r="1388" spans="1:15" ht="21" x14ac:dyDescent="0.4">
      <c r="A1388" s="35"/>
      <c r="B1388" s="35"/>
      <c r="C1388" s="35"/>
      <c r="D1388" s="35"/>
      <c r="E1388" s="35"/>
      <c r="F1388" s="36"/>
      <c r="G1388" s="42"/>
      <c r="H1388" s="35"/>
      <c r="I1388" s="35"/>
      <c r="J1388" s="35"/>
      <c r="K1388" s="35"/>
      <c r="L1388" s="35"/>
      <c r="M1388" s="35"/>
      <c r="N1388" s="36"/>
      <c r="O1388" s="36"/>
    </row>
    <row r="1389" spans="1:15" ht="21" x14ac:dyDescent="0.4">
      <c r="A1389" s="35"/>
      <c r="B1389" s="35"/>
      <c r="C1389" s="35"/>
      <c r="D1389" s="35"/>
      <c r="E1389" s="35"/>
      <c r="F1389" s="36"/>
      <c r="G1389" s="42"/>
      <c r="H1389" s="35"/>
      <c r="I1389" s="35"/>
      <c r="J1389" s="35"/>
      <c r="K1389" s="35"/>
      <c r="L1389" s="35"/>
      <c r="M1389" s="35"/>
      <c r="N1389" s="36"/>
      <c r="O1389" s="36"/>
    </row>
    <row r="1390" spans="1:15" ht="21" x14ac:dyDescent="0.4">
      <c r="A1390" s="35"/>
      <c r="B1390" s="35"/>
      <c r="C1390" s="35"/>
      <c r="D1390" s="35"/>
      <c r="E1390" s="35"/>
      <c r="F1390" s="36"/>
      <c r="G1390" s="42"/>
      <c r="H1390" s="35"/>
      <c r="I1390" s="35"/>
      <c r="J1390" s="35"/>
      <c r="K1390" s="35"/>
      <c r="L1390" s="35"/>
      <c r="M1390" s="35"/>
      <c r="N1390" s="36"/>
      <c r="O1390" s="36"/>
    </row>
    <row r="1391" spans="1:15" ht="21" x14ac:dyDescent="0.4">
      <c r="A1391" s="35"/>
      <c r="B1391" s="35"/>
      <c r="C1391" s="35"/>
      <c r="D1391" s="35"/>
      <c r="E1391" s="35"/>
      <c r="F1391" s="36"/>
      <c r="G1391" s="42"/>
      <c r="H1391" s="35"/>
      <c r="I1391" s="35"/>
      <c r="J1391" s="35"/>
      <c r="K1391" s="35"/>
      <c r="L1391" s="35"/>
      <c r="M1391" s="35"/>
      <c r="N1391" s="36"/>
      <c r="O1391" s="36"/>
    </row>
    <row r="1392" spans="1:15" ht="21" x14ac:dyDescent="0.4">
      <c r="A1392" s="35"/>
      <c r="B1392" s="35"/>
      <c r="C1392" s="35"/>
      <c r="D1392" s="35"/>
      <c r="E1392" s="35"/>
      <c r="F1392" s="36"/>
      <c r="G1392" s="42"/>
      <c r="H1392" s="35"/>
      <c r="I1392" s="35"/>
      <c r="J1392" s="35"/>
      <c r="K1392" s="35"/>
      <c r="L1392" s="35"/>
      <c r="M1392" s="35"/>
      <c r="N1392" s="36"/>
      <c r="O1392" s="36"/>
    </row>
    <row r="1393" spans="1:15" ht="21" x14ac:dyDescent="0.4">
      <c r="A1393" s="35"/>
      <c r="B1393" s="35"/>
      <c r="C1393" s="35"/>
      <c r="D1393" s="35"/>
      <c r="E1393" s="35"/>
      <c r="F1393" s="36"/>
      <c r="G1393" s="42"/>
      <c r="H1393" s="35"/>
      <c r="I1393" s="35"/>
      <c r="J1393" s="35"/>
      <c r="K1393" s="35"/>
      <c r="L1393" s="35"/>
      <c r="M1393" s="35"/>
      <c r="N1393" s="36"/>
      <c r="O1393" s="36"/>
    </row>
    <row r="1394" spans="1:15" ht="21" x14ac:dyDescent="0.4">
      <c r="A1394" s="35"/>
      <c r="B1394" s="35"/>
      <c r="C1394" s="35"/>
      <c r="D1394" s="35"/>
      <c r="E1394" s="35"/>
      <c r="F1394" s="36"/>
      <c r="G1394" s="42"/>
      <c r="H1394" s="35"/>
      <c r="I1394" s="35"/>
      <c r="J1394" s="35"/>
      <c r="K1394" s="35"/>
      <c r="L1394" s="35"/>
      <c r="M1394" s="35"/>
      <c r="N1394" s="36"/>
      <c r="O1394" s="36"/>
    </row>
    <row r="1395" spans="1:15" ht="21" x14ac:dyDescent="0.4">
      <c r="A1395" s="35"/>
      <c r="B1395" s="35"/>
      <c r="C1395" s="35"/>
      <c r="D1395" s="35"/>
      <c r="E1395" s="35"/>
      <c r="F1395" s="36"/>
      <c r="G1395" s="42"/>
      <c r="H1395" s="35"/>
      <c r="I1395" s="35"/>
      <c r="J1395" s="35"/>
      <c r="K1395" s="35"/>
      <c r="L1395" s="35"/>
      <c r="M1395" s="35"/>
      <c r="N1395" s="36"/>
      <c r="O1395" s="36"/>
    </row>
    <row r="1396" spans="1:15" ht="21" x14ac:dyDescent="0.4">
      <c r="A1396" s="35"/>
      <c r="B1396" s="35"/>
      <c r="C1396" s="35"/>
      <c r="D1396" s="35"/>
      <c r="E1396" s="35"/>
      <c r="F1396" s="36"/>
      <c r="G1396" s="42"/>
      <c r="H1396" s="35"/>
      <c r="I1396" s="35"/>
      <c r="J1396" s="35"/>
      <c r="K1396" s="35"/>
      <c r="L1396" s="35"/>
      <c r="M1396" s="35"/>
      <c r="N1396" s="36"/>
      <c r="O1396" s="36"/>
    </row>
    <row r="1397" spans="1:15" ht="21" x14ac:dyDescent="0.4">
      <c r="A1397" s="35"/>
      <c r="B1397" s="35"/>
      <c r="C1397" s="35"/>
      <c r="D1397" s="35"/>
      <c r="E1397" s="35"/>
      <c r="F1397" s="36"/>
      <c r="G1397" s="42"/>
      <c r="H1397" s="35"/>
      <c r="I1397" s="35"/>
      <c r="J1397" s="35"/>
      <c r="K1397" s="35"/>
      <c r="L1397" s="35"/>
      <c r="M1397" s="35"/>
      <c r="N1397" s="36"/>
      <c r="O1397" s="36"/>
    </row>
    <row r="1398" spans="1:15" ht="21" x14ac:dyDescent="0.4">
      <c r="A1398" s="35"/>
      <c r="B1398" s="35"/>
      <c r="C1398" s="35"/>
      <c r="D1398" s="35"/>
      <c r="E1398" s="35"/>
      <c r="F1398" s="36"/>
      <c r="G1398" s="42"/>
      <c r="H1398" s="35"/>
      <c r="I1398" s="35"/>
      <c r="J1398" s="35"/>
      <c r="K1398" s="35"/>
      <c r="L1398" s="35"/>
      <c r="M1398" s="35"/>
      <c r="N1398" s="36"/>
      <c r="O1398" s="36"/>
    </row>
    <row r="1399" spans="1:15" ht="21" x14ac:dyDescent="0.4">
      <c r="A1399" s="35"/>
      <c r="B1399" s="35"/>
      <c r="C1399" s="35"/>
      <c r="D1399" s="35"/>
      <c r="E1399" s="35"/>
      <c r="F1399" s="36"/>
      <c r="G1399" s="42"/>
      <c r="H1399" s="35"/>
      <c r="I1399" s="35"/>
      <c r="J1399" s="35"/>
      <c r="K1399" s="35"/>
      <c r="L1399" s="35"/>
      <c r="M1399" s="35"/>
      <c r="N1399" s="36"/>
      <c r="O1399" s="36"/>
    </row>
    <row r="1400" spans="1:15" ht="21" x14ac:dyDescent="0.4">
      <c r="A1400" s="35"/>
      <c r="B1400" s="35"/>
      <c r="C1400" s="35"/>
      <c r="D1400" s="35"/>
      <c r="E1400" s="35"/>
      <c r="F1400" s="36"/>
      <c r="G1400" s="42"/>
      <c r="H1400" s="35"/>
      <c r="I1400" s="35"/>
      <c r="J1400" s="35"/>
      <c r="K1400" s="35"/>
      <c r="L1400" s="35"/>
      <c r="M1400" s="35"/>
      <c r="N1400" s="36"/>
      <c r="O1400" s="36"/>
    </row>
    <row r="1401" spans="1:15" ht="21" x14ac:dyDescent="0.4">
      <c r="A1401" s="35"/>
      <c r="B1401" s="35"/>
      <c r="C1401" s="35"/>
      <c r="D1401" s="35"/>
      <c r="E1401" s="35"/>
      <c r="F1401" s="36"/>
      <c r="G1401" s="42"/>
      <c r="H1401" s="35"/>
      <c r="I1401" s="35"/>
      <c r="J1401" s="35"/>
      <c r="K1401" s="35"/>
      <c r="L1401" s="35"/>
      <c r="M1401" s="35"/>
      <c r="N1401" s="36"/>
      <c r="O1401" s="36"/>
    </row>
    <row r="1402" spans="1:15" ht="21" x14ac:dyDescent="0.4">
      <c r="A1402" s="35"/>
      <c r="B1402" s="35"/>
      <c r="C1402" s="35"/>
      <c r="D1402" s="35"/>
      <c r="E1402" s="35"/>
      <c r="F1402" s="36"/>
      <c r="G1402" s="42"/>
      <c r="H1402" s="35"/>
      <c r="I1402" s="35"/>
      <c r="J1402" s="35"/>
      <c r="K1402" s="35"/>
      <c r="L1402" s="35"/>
      <c r="M1402" s="35"/>
      <c r="N1402" s="36"/>
      <c r="O1402" s="36"/>
    </row>
    <row r="1403" spans="1:15" ht="21" x14ac:dyDescent="0.4">
      <c r="A1403" s="35"/>
      <c r="B1403" s="35"/>
      <c r="C1403" s="35"/>
      <c r="D1403" s="35"/>
      <c r="E1403" s="35"/>
      <c r="F1403" s="36"/>
      <c r="G1403" s="42"/>
      <c r="H1403" s="35"/>
      <c r="I1403" s="35"/>
      <c r="J1403" s="35"/>
      <c r="K1403" s="35"/>
      <c r="L1403" s="35"/>
      <c r="M1403" s="35"/>
      <c r="N1403" s="36"/>
      <c r="O1403" s="36"/>
    </row>
    <row r="1404" spans="1:15" ht="21" x14ac:dyDescent="0.4">
      <c r="A1404" s="35"/>
      <c r="B1404" s="35"/>
      <c r="C1404" s="35"/>
      <c r="D1404" s="35"/>
      <c r="E1404" s="35"/>
      <c r="F1404" s="36"/>
      <c r="G1404" s="42"/>
      <c r="H1404" s="35"/>
      <c r="I1404" s="35"/>
      <c r="J1404" s="35"/>
      <c r="K1404" s="35"/>
      <c r="L1404" s="35"/>
      <c r="M1404" s="35"/>
      <c r="N1404" s="36"/>
      <c r="O1404" s="36"/>
    </row>
    <row r="1405" spans="1:15" ht="21" x14ac:dyDescent="0.4">
      <c r="A1405" s="35"/>
      <c r="B1405" s="35"/>
      <c r="C1405" s="35"/>
      <c r="D1405" s="35"/>
      <c r="E1405" s="35"/>
      <c r="F1405" s="36"/>
      <c r="G1405" s="42"/>
      <c r="H1405" s="35"/>
      <c r="I1405" s="35"/>
      <c r="J1405" s="35"/>
      <c r="K1405" s="35"/>
      <c r="L1405" s="35"/>
      <c r="M1405" s="35"/>
      <c r="N1405" s="36"/>
      <c r="O1405" s="36"/>
    </row>
    <row r="1406" spans="1:15" ht="21" x14ac:dyDescent="0.4">
      <c r="A1406" s="35"/>
      <c r="B1406" s="35"/>
      <c r="C1406" s="35"/>
      <c r="D1406" s="35"/>
      <c r="E1406" s="35"/>
      <c r="F1406" s="36"/>
      <c r="G1406" s="42"/>
      <c r="H1406" s="35"/>
      <c r="I1406" s="35"/>
      <c r="J1406" s="35"/>
      <c r="K1406" s="35"/>
      <c r="L1406" s="35"/>
      <c r="M1406" s="35"/>
      <c r="N1406" s="36"/>
      <c r="O1406" s="36"/>
    </row>
    <row r="1407" spans="1:15" ht="21" x14ac:dyDescent="0.4">
      <c r="A1407" s="35"/>
      <c r="B1407" s="35"/>
      <c r="C1407" s="35"/>
      <c r="D1407" s="35"/>
      <c r="E1407" s="35"/>
      <c r="F1407" s="36"/>
      <c r="G1407" s="42"/>
      <c r="H1407" s="35"/>
      <c r="I1407" s="35"/>
      <c r="J1407" s="35"/>
      <c r="K1407" s="35"/>
      <c r="L1407" s="35"/>
      <c r="M1407" s="35"/>
      <c r="N1407" s="36"/>
      <c r="O1407" s="36"/>
    </row>
    <row r="1408" spans="1:15" ht="21" x14ac:dyDescent="0.4">
      <c r="A1408" s="35"/>
      <c r="B1408" s="35"/>
      <c r="C1408" s="35"/>
      <c r="D1408" s="35"/>
      <c r="E1408" s="35"/>
      <c r="F1408" s="36"/>
      <c r="G1408" s="42"/>
      <c r="H1408" s="35"/>
      <c r="I1408" s="35"/>
      <c r="J1408" s="35"/>
      <c r="K1408" s="35"/>
      <c r="L1408" s="35"/>
      <c r="M1408" s="35"/>
      <c r="N1408" s="36"/>
      <c r="O1408" s="36"/>
    </row>
    <row r="1409" spans="1:15" ht="21" x14ac:dyDescent="0.4">
      <c r="A1409" s="35"/>
      <c r="B1409" s="35"/>
      <c r="C1409" s="35"/>
      <c r="D1409" s="35"/>
      <c r="E1409" s="35"/>
      <c r="F1409" s="36"/>
      <c r="G1409" s="42"/>
      <c r="H1409" s="35"/>
      <c r="I1409" s="35"/>
      <c r="J1409" s="35"/>
      <c r="K1409" s="35"/>
      <c r="L1409" s="35"/>
      <c r="M1409" s="35"/>
      <c r="N1409" s="36"/>
      <c r="O1409" s="36"/>
    </row>
    <row r="1410" spans="1:15" ht="21" x14ac:dyDescent="0.4">
      <c r="A1410" s="35"/>
      <c r="B1410" s="35"/>
      <c r="C1410" s="35"/>
      <c r="D1410" s="35"/>
      <c r="E1410" s="35"/>
      <c r="F1410" s="36"/>
      <c r="G1410" s="42"/>
      <c r="H1410" s="35"/>
      <c r="I1410" s="35"/>
      <c r="J1410" s="35"/>
      <c r="K1410" s="35"/>
      <c r="L1410" s="35"/>
      <c r="M1410" s="35"/>
      <c r="N1410" s="36"/>
      <c r="O1410" s="36"/>
    </row>
    <row r="1411" spans="1:15" ht="21" x14ac:dyDescent="0.4">
      <c r="A1411" s="35"/>
      <c r="B1411" s="35"/>
      <c r="C1411" s="35"/>
      <c r="D1411" s="35"/>
      <c r="E1411" s="35"/>
      <c r="F1411" s="36"/>
      <c r="G1411" s="42"/>
      <c r="H1411" s="35"/>
      <c r="I1411" s="35"/>
      <c r="J1411" s="35"/>
      <c r="K1411" s="35"/>
      <c r="L1411" s="35"/>
      <c r="M1411" s="35"/>
      <c r="N1411" s="36"/>
      <c r="O1411" s="36"/>
    </row>
    <row r="1412" spans="1:15" ht="21" x14ac:dyDescent="0.4">
      <c r="A1412" s="35"/>
      <c r="B1412" s="35"/>
      <c r="C1412" s="35"/>
      <c r="D1412" s="35"/>
      <c r="E1412" s="35"/>
      <c r="F1412" s="36"/>
      <c r="G1412" s="42"/>
      <c r="H1412" s="35"/>
      <c r="I1412" s="35"/>
      <c r="J1412" s="35"/>
      <c r="K1412" s="35"/>
      <c r="L1412" s="35"/>
      <c r="M1412" s="35"/>
      <c r="N1412" s="36"/>
      <c r="O1412" s="36"/>
    </row>
    <row r="1413" spans="1:15" ht="21" x14ac:dyDescent="0.4">
      <c r="A1413" s="35"/>
      <c r="B1413" s="35"/>
      <c r="C1413" s="35"/>
      <c r="D1413" s="35"/>
      <c r="E1413" s="35"/>
      <c r="F1413" s="36"/>
      <c r="G1413" s="42"/>
      <c r="H1413" s="35"/>
      <c r="I1413" s="35"/>
      <c r="J1413" s="35"/>
      <c r="K1413" s="35"/>
      <c r="L1413" s="35"/>
      <c r="M1413" s="35"/>
      <c r="N1413" s="36"/>
      <c r="O1413" s="36"/>
    </row>
    <row r="1414" spans="1:15" ht="21" x14ac:dyDescent="0.4">
      <c r="A1414" s="35"/>
      <c r="B1414" s="35"/>
      <c r="C1414" s="35"/>
      <c r="D1414" s="35"/>
      <c r="E1414" s="35"/>
      <c r="F1414" s="36"/>
      <c r="G1414" s="42"/>
      <c r="H1414" s="35"/>
      <c r="I1414" s="35"/>
      <c r="J1414" s="35"/>
      <c r="K1414" s="35"/>
      <c r="L1414" s="35"/>
      <c r="M1414" s="35"/>
      <c r="N1414" s="36"/>
      <c r="O1414" s="36"/>
    </row>
    <row r="1415" spans="1:15" ht="21" x14ac:dyDescent="0.4">
      <c r="A1415" s="35"/>
      <c r="B1415" s="35"/>
      <c r="C1415" s="35"/>
      <c r="D1415" s="35"/>
      <c r="E1415" s="35"/>
      <c r="F1415" s="36"/>
      <c r="G1415" s="42"/>
      <c r="H1415" s="35"/>
      <c r="I1415" s="35"/>
      <c r="J1415" s="35"/>
      <c r="K1415" s="35"/>
      <c r="L1415" s="35"/>
      <c r="M1415" s="35"/>
      <c r="N1415" s="36"/>
      <c r="O1415" s="36"/>
    </row>
    <row r="1416" spans="1:15" ht="21" x14ac:dyDescent="0.4">
      <c r="A1416" s="35"/>
      <c r="B1416" s="35"/>
      <c r="C1416" s="35"/>
      <c r="D1416" s="35"/>
      <c r="E1416" s="35"/>
      <c r="F1416" s="36"/>
      <c r="G1416" s="42"/>
      <c r="H1416" s="35"/>
      <c r="I1416" s="35"/>
      <c r="J1416" s="35"/>
      <c r="K1416" s="35"/>
      <c r="L1416" s="35"/>
      <c r="M1416" s="35"/>
      <c r="N1416" s="36"/>
      <c r="O1416" s="36"/>
    </row>
    <row r="1417" spans="1:15" ht="21" x14ac:dyDescent="0.4">
      <c r="A1417" s="35"/>
      <c r="B1417" s="35"/>
      <c r="C1417" s="35"/>
      <c r="D1417" s="35"/>
      <c r="E1417" s="35"/>
      <c r="F1417" s="36"/>
      <c r="G1417" s="42"/>
      <c r="H1417" s="35"/>
      <c r="I1417" s="35"/>
      <c r="J1417" s="35"/>
      <c r="K1417" s="35"/>
      <c r="L1417" s="35"/>
      <c r="M1417" s="35"/>
      <c r="N1417" s="36"/>
      <c r="O1417" s="36"/>
    </row>
    <row r="1418" spans="1:15" ht="21" x14ac:dyDescent="0.4">
      <c r="A1418" s="35"/>
      <c r="B1418" s="35"/>
      <c r="C1418" s="35"/>
      <c r="D1418" s="35"/>
      <c r="E1418" s="35"/>
      <c r="F1418" s="36"/>
      <c r="G1418" s="42"/>
      <c r="H1418" s="35"/>
      <c r="I1418" s="35"/>
      <c r="J1418" s="35"/>
      <c r="K1418" s="35"/>
      <c r="L1418" s="35"/>
      <c r="M1418" s="35"/>
      <c r="N1418" s="36"/>
      <c r="O1418" s="36"/>
    </row>
    <row r="1419" spans="1:15" ht="21" x14ac:dyDescent="0.4">
      <c r="A1419" s="35"/>
      <c r="B1419" s="35"/>
      <c r="C1419" s="35"/>
      <c r="D1419" s="35"/>
      <c r="E1419" s="35"/>
      <c r="F1419" s="36"/>
      <c r="G1419" s="42"/>
      <c r="H1419" s="35"/>
      <c r="I1419" s="35"/>
      <c r="J1419" s="35"/>
      <c r="K1419" s="35"/>
      <c r="L1419" s="35"/>
      <c r="M1419" s="35"/>
      <c r="N1419" s="36"/>
      <c r="O1419" s="36"/>
    </row>
    <row r="1420" spans="1:15" ht="21" x14ac:dyDescent="0.4">
      <c r="A1420" s="35"/>
      <c r="B1420" s="35"/>
      <c r="C1420" s="35"/>
      <c r="D1420" s="35"/>
      <c r="E1420" s="35"/>
      <c r="F1420" s="36"/>
      <c r="G1420" s="42"/>
      <c r="H1420" s="35"/>
      <c r="I1420" s="35"/>
      <c r="J1420" s="35"/>
      <c r="K1420" s="35"/>
      <c r="L1420" s="35"/>
      <c r="M1420" s="35"/>
      <c r="N1420" s="36"/>
      <c r="O1420" s="36"/>
    </row>
    <row r="1421" spans="1:15" ht="21" x14ac:dyDescent="0.4">
      <c r="A1421" s="35"/>
      <c r="B1421" s="35"/>
      <c r="C1421" s="35"/>
      <c r="D1421" s="35"/>
      <c r="E1421" s="35"/>
      <c r="F1421" s="36"/>
      <c r="G1421" s="42"/>
      <c r="H1421" s="35"/>
      <c r="I1421" s="35"/>
      <c r="J1421" s="35"/>
      <c r="K1421" s="35"/>
      <c r="L1421" s="35"/>
      <c r="M1421" s="35"/>
      <c r="N1421" s="36"/>
      <c r="O1421" s="36"/>
    </row>
    <row r="1422" spans="1:15" ht="21" x14ac:dyDescent="0.4">
      <c r="A1422" s="35"/>
      <c r="B1422" s="35"/>
      <c r="C1422" s="35"/>
      <c r="D1422" s="35"/>
      <c r="E1422" s="35"/>
      <c r="F1422" s="36"/>
      <c r="G1422" s="42"/>
      <c r="H1422" s="35"/>
      <c r="I1422" s="35"/>
      <c r="J1422" s="35"/>
      <c r="K1422" s="35"/>
      <c r="L1422" s="35"/>
      <c r="M1422" s="35"/>
      <c r="N1422" s="36"/>
      <c r="O1422" s="36"/>
    </row>
    <row r="1423" spans="1:15" ht="21" x14ac:dyDescent="0.4">
      <c r="A1423" s="35"/>
      <c r="B1423" s="35"/>
      <c r="C1423" s="35"/>
      <c r="D1423" s="35"/>
      <c r="E1423" s="35"/>
      <c r="F1423" s="36"/>
      <c r="G1423" s="42"/>
      <c r="H1423" s="35"/>
      <c r="I1423" s="35"/>
      <c r="J1423" s="35"/>
      <c r="K1423" s="35"/>
      <c r="L1423" s="35"/>
      <c r="M1423" s="35"/>
      <c r="N1423" s="36"/>
      <c r="O1423" s="36"/>
    </row>
    <row r="1424" spans="1:15" ht="21" x14ac:dyDescent="0.4">
      <c r="A1424" s="35"/>
      <c r="B1424" s="35"/>
      <c r="C1424" s="35"/>
      <c r="D1424" s="35"/>
      <c r="E1424" s="35"/>
      <c r="F1424" s="36"/>
      <c r="G1424" s="42"/>
      <c r="H1424" s="35"/>
      <c r="I1424" s="35"/>
      <c r="J1424" s="35"/>
      <c r="K1424" s="35"/>
      <c r="L1424" s="35"/>
      <c r="M1424" s="35"/>
      <c r="N1424" s="36"/>
      <c r="O1424" s="36"/>
    </row>
    <row r="1425" spans="1:15" ht="21" x14ac:dyDescent="0.4">
      <c r="A1425" s="35"/>
      <c r="B1425" s="35"/>
      <c r="C1425" s="35"/>
      <c r="D1425" s="35"/>
      <c r="E1425" s="35"/>
      <c r="F1425" s="36"/>
      <c r="G1425" s="42"/>
      <c r="H1425" s="35"/>
      <c r="I1425" s="35"/>
      <c r="J1425" s="35"/>
      <c r="K1425" s="35"/>
      <c r="L1425" s="35"/>
      <c r="M1425" s="35"/>
      <c r="N1425" s="36"/>
      <c r="O1425" s="36"/>
    </row>
    <row r="1426" spans="1:15" ht="21" x14ac:dyDescent="0.4">
      <c r="A1426" s="35"/>
      <c r="B1426" s="35"/>
      <c r="C1426" s="35"/>
      <c r="D1426" s="35"/>
      <c r="E1426" s="35"/>
      <c r="F1426" s="36"/>
      <c r="G1426" s="42"/>
      <c r="H1426" s="35"/>
      <c r="I1426" s="35"/>
      <c r="J1426" s="35"/>
      <c r="K1426" s="35"/>
      <c r="L1426" s="35"/>
      <c r="M1426" s="35"/>
      <c r="N1426" s="36"/>
      <c r="O1426" s="36"/>
    </row>
    <row r="1427" spans="1:15" ht="21" x14ac:dyDescent="0.4">
      <c r="A1427" s="35"/>
      <c r="B1427" s="35"/>
      <c r="C1427" s="35"/>
      <c r="D1427" s="35"/>
      <c r="E1427" s="35"/>
      <c r="F1427" s="36"/>
      <c r="G1427" s="42"/>
      <c r="H1427" s="35"/>
      <c r="I1427" s="35"/>
      <c r="J1427" s="35"/>
      <c r="K1427" s="35"/>
      <c r="L1427" s="35"/>
      <c r="M1427" s="35"/>
      <c r="N1427" s="36"/>
      <c r="O1427" s="36"/>
    </row>
    <row r="1428" spans="1:15" ht="21" x14ac:dyDescent="0.4">
      <c r="A1428" s="35"/>
      <c r="B1428" s="35"/>
      <c r="C1428" s="35"/>
      <c r="D1428" s="35"/>
      <c r="E1428" s="35"/>
      <c r="F1428" s="36"/>
      <c r="G1428" s="42"/>
      <c r="H1428" s="35"/>
      <c r="I1428" s="35"/>
      <c r="J1428" s="35"/>
      <c r="K1428" s="35"/>
      <c r="L1428" s="35"/>
      <c r="M1428" s="35"/>
      <c r="N1428" s="36"/>
      <c r="O1428" s="36"/>
    </row>
    <row r="1429" spans="1:15" ht="21" x14ac:dyDescent="0.4">
      <c r="A1429" s="35"/>
      <c r="B1429" s="35"/>
      <c r="C1429" s="35"/>
      <c r="D1429" s="35"/>
      <c r="E1429" s="35"/>
      <c r="F1429" s="36"/>
      <c r="G1429" s="42"/>
      <c r="H1429" s="35"/>
      <c r="I1429" s="35"/>
      <c r="J1429" s="35"/>
      <c r="K1429" s="35"/>
      <c r="L1429" s="35"/>
      <c r="M1429" s="35"/>
      <c r="N1429" s="36"/>
      <c r="O1429" s="36"/>
    </row>
    <row r="1430" spans="1:15" ht="21" x14ac:dyDescent="0.4">
      <c r="A1430" s="35"/>
      <c r="B1430" s="35"/>
      <c r="C1430" s="35"/>
      <c r="D1430" s="35"/>
      <c r="E1430" s="35"/>
      <c r="F1430" s="36"/>
      <c r="G1430" s="42"/>
      <c r="H1430" s="35"/>
      <c r="I1430" s="35"/>
      <c r="J1430" s="35"/>
      <c r="K1430" s="35"/>
      <c r="L1430" s="35"/>
      <c r="M1430" s="35"/>
      <c r="N1430" s="36"/>
      <c r="O1430" s="36"/>
    </row>
    <row r="1431" spans="1:15" ht="21" x14ac:dyDescent="0.4">
      <c r="A1431" s="35"/>
      <c r="B1431" s="35"/>
      <c r="C1431" s="35"/>
      <c r="D1431" s="35"/>
      <c r="E1431" s="35"/>
      <c r="F1431" s="36"/>
      <c r="G1431" s="42"/>
      <c r="H1431" s="35"/>
      <c r="I1431" s="35"/>
      <c r="J1431" s="35"/>
      <c r="K1431" s="35"/>
      <c r="L1431" s="35"/>
      <c r="M1431" s="35"/>
      <c r="N1431" s="36"/>
      <c r="O1431" s="36"/>
    </row>
    <row r="1432" spans="1:15" ht="21" x14ac:dyDescent="0.4">
      <c r="A1432" s="35"/>
      <c r="B1432" s="35"/>
      <c r="C1432" s="35"/>
      <c r="D1432" s="35"/>
      <c r="E1432" s="35"/>
      <c r="F1432" s="36"/>
      <c r="G1432" s="42"/>
      <c r="H1432" s="35"/>
      <c r="I1432" s="35"/>
      <c r="J1432" s="35"/>
      <c r="K1432" s="35"/>
      <c r="L1432" s="35"/>
      <c r="M1432" s="35"/>
      <c r="N1432" s="36"/>
      <c r="O1432" s="36"/>
    </row>
    <row r="1433" spans="1:15" ht="21" x14ac:dyDescent="0.4">
      <c r="A1433" s="35"/>
      <c r="B1433" s="35"/>
      <c r="C1433" s="35"/>
      <c r="D1433" s="35"/>
      <c r="E1433" s="35"/>
      <c r="F1433" s="36"/>
      <c r="G1433" s="42"/>
      <c r="H1433" s="35"/>
      <c r="I1433" s="35"/>
      <c r="J1433" s="35"/>
      <c r="K1433" s="35"/>
      <c r="L1433" s="35"/>
      <c r="M1433" s="35"/>
      <c r="N1433" s="36"/>
      <c r="O1433" s="36"/>
    </row>
    <row r="1434" spans="1:15" ht="21" x14ac:dyDescent="0.4">
      <c r="A1434" s="35"/>
      <c r="B1434" s="35"/>
      <c r="C1434" s="35"/>
      <c r="D1434" s="35"/>
      <c r="E1434" s="35"/>
      <c r="F1434" s="36"/>
      <c r="G1434" s="42"/>
      <c r="H1434" s="35"/>
      <c r="I1434" s="35"/>
      <c r="J1434" s="35"/>
      <c r="K1434" s="35"/>
      <c r="L1434" s="35"/>
      <c r="M1434" s="35"/>
      <c r="N1434" s="36"/>
      <c r="O1434" s="36"/>
    </row>
    <row r="1435" spans="1:15" ht="21" x14ac:dyDescent="0.4">
      <c r="A1435" s="35"/>
      <c r="B1435" s="35"/>
      <c r="C1435" s="35"/>
      <c r="D1435" s="35"/>
      <c r="E1435" s="35"/>
      <c r="F1435" s="36"/>
      <c r="G1435" s="42"/>
      <c r="H1435" s="35"/>
      <c r="I1435" s="35"/>
      <c r="J1435" s="35"/>
      <c r="K1435" s="35"/>
      <c r="L1435" s="35"/>
      <c r="M1435" s="35"/>
      <c r="N1435" s="36"/>
      <c r="O1435" s="36"/>
    </row>
    <row r="1436" spans="1:15" ht="21" x14ac:dyDescent="0.4">
      <c r="A1436" s="35"/>
      <c r="B1436" s="35"/>
      <c r="C1436" s="35"/>
      <c r="D1436" s="35"/>
      <c r="E1436" s="35"/>
      <c r="F1436" s="36"/>
      <c r="G1436" s="42"/>
      <c r="H1436" s="35"/>
      <c r="I1436" s="35"/>
      <c r="J1436" s="35"/>
      <c r="K1436" s="35"/>
      <c r="L1436" s="35"/>
      <c r="M1436" s="35"/>
      <c r="N1436" s="36"/>
      <c r="O1436" s="36"/>
    </row>
    <row r="1437" spans="1:15" ht="21" x14ac:dyDescent="0.4">
      <c r="A1437" s="35"/>
      <c r="B1437" s="35"/>
      <c r="C1437" s="35"/>
      <c r="D1437" s="35"/>
      <c r="E1437" s="35"/>
      <c r="F1437" s="36"/>
      <c r="G1437" s="42"/>
      <c r="H1437" s="35"/>
      <c r="I1437" s="35"/>
      <c r="J1437" s="35"/>
      <c r="K1437" s="35"/>
      <c r="L1437" s="35"/>
      <c r="M1437" s="35"/>
      <c r="N1437" s="36"/>
      <c r="O1437" s="36"/>
    </row>
    <row r="1438" spans="1:15" ht="21" x14ac:dyDescent="0.4">
      <c r="A1438" s="35"/>
      <c r="B1438" s="35"/>
      <c r="C1438" s="35"/>
      <c r="D1438" s="35"/>
      <c r="E1438" s="35"/>
      <c r="F1438" s="36"/>
      <c r="G1438" s="42"/>
      <c r="H1438" s="35"/>
      <c r="I1438" s="35"/>
      <c r="J1438" s="35"/>
      <c r="K1438" s="35"/>
      <c r="L1438" s="35"/>
      <c r="M1438" s="35"/>
      <c r="N1438" s="36"/>
      <c r="O1438" s="36"/>
    </row>
    <row r="1439" spans="1:15" ht="21" x14ac:dyDescent="0.4">
      <c r="A1439" s="35"/>
      <c r="B1439" s="35"/>
      <c r="C1439" s="35"/>
      <c r="D1439" s="35"/>
      <c r="E1439" s="35"/>
      <c r="F1439" s="36"/>
      <c r="G1439" s="42"/>
      <c r="H1439" s="35"/>
      <c r="I1439" s="35"/>
      <c r="J1439" s="35"/>
      <c r="K1439" s="35"/>
      <c r="L1439" s="35"/>
      <c r="M1439" s="35"/>
      <c r="N1439" s="36"/>
      <c r="O1439" s="36"/>
    </row>
    <row r="1440" spans="1:15" ht="21" x14ac:dyDescent="0.4">
      <c r="A1440" s="35"/>
      <c r="B1440" s="35"/>
      <c r="C1440" s="35"/>
      <c r="D1440" s="35"/>
      <c r="E1440" s="35"/>
      <c r="F1440" s="36"/>
      <c r="G1440" s="42"/>
      <c r="H1440" s="35"/>
      <c r="I1440" s="35"/>
      <c r="J1440" s="35"/>
      <c r="K1440" s="35"/>
      <c r="L1440" s="35"/>
      <c r="M1440" s="35"/>
      <c r="N1440" s="36"/>
      <c r="O1440" s="36"/>
    </row>
    <row r="1441" spans="1:15" ht="21" x14ac:dyDescent="0.4">
      <c r="A1441" s="35"/>
      <c r="B1441" s="35"/>
      <c r="C1441" s="35"/>
      <c r="D1441" s="35"/>
      <c r="E1441" s="35"/>
      <c r="F1441" s="36"/>
      <c r="G1441" s="42"/>
      <c r="H1441" s="35"/>
      <c r="I1441" s="35"/>
      <c r="J1441" s="35"/>
      <c r="K1441" s="35"/>
      <c r="L1441" s="35"/>
      <c r="M1441" s="35"/>
      <c r="N1441" s="36"/>
      <c r="O1441" s="36"/>
    </row>
    <row r="1442" spans="1:15" ht="21" x14ac:dyDescent="0.4">
      <c r="A1442" s="35"/>
      <c r="B1442" s="35"/>
      <c r="C1442" s="35"/>
      <c r="D1442" s="35"/>
      <c r="E1442" s="35"/>
      <c r="F1442" s="36"/>
      <c r="G1442" s="42"/>
      <c r="H1442" s="35"/>
      <c r="I1442" s="35"/>
      <c r="J1442" s="35"/>
      <c r="K1442" s="35"/>
      <c r="L1442" s="35"/>
      <c r="M1442" s="35"/>
      <c r="N1442" s="36"/>
      <c r="O1442" s="36"/>
    </row>
    <row r="1443" spans="1:15" ht="21" x14ac:dyDescent="0.4">
      <c r="A1443" s="35"/>
      <c r="B1443" s="35"/>
      <c r="C1443" s="35"/>
      <c r="D1443" s="35"/>
      <c r="E1443" s="35"/>
      <c r="F1443" s="36"/>
      <c r="G1443" s="42"/>
      <c r="H1443" s="35"/>
      <c r="I1443" s="35"/>
      <c r="J1443" s="35"/>
      <c r="K1443" s="35"/>
      <c r="L1443" s="35"/>
      <c r="M1443" s="35"/>
      <c r="N1443" s="36"/>
      <c r="O1443" s="36"/>
    </row>
    <row r="1444" spans="1:15" ht="21" x14ac:dyDescent="0.4">
      <c r="A1444" s="35"/>
      <c r="B1444" s="35"/>
      <c r="C1444" s="35"/>
      <c r="D1444" s="35"/>
      <c r="E1444" s="35"/>
      <c r="F1444" s="36"/>
      <c r="G1444" s="42"/>
      <c r="H1444" s="35"/>
      <c r="I1444" s="35"/>
      <c r="J1444" s="35"/>
      <c r="K1444" s="35"/>
      <c r="L1444" s="35"/>
      <c r="M1444" s="35"/>
      <c r="N1444" s="36"/>
      <c r="O1444" s="36"/>
    </row>
    <row r="1445" spans="1:15" ht="21" x14ac:dyDescent="0.4">
      <c r="A1445" s="35"/>
      <c r="B1445" s="35"/>
      <c r="C1445" s="35"/>
      <c r="D1445" s="35"/>
      <c r="E1445" s="35"/>
      <c r="F1445" s="36"/>
      <c r="G1445" s="42"/>
      <c r="H1445" s="35"/>
      <c r="I1445" s="35"/>
      <c r="J1445" s="35"/>
      <c r="K1445" s="35"/>
      <c r="L1445" s="35"/>
      <c r="M1445" s="35"/>
      <c r="N1445" s="36"/>
      <c r="O1445" s="36"/>
    </row>
    <row r="1446" spans="1:15" ht="21" x14ac:dyDescent="0.4">
      <c r="A1446" s="35"/>
      <c r="B1446" s="35"/>
      <c r="C1446" s="35"/>
      <c r="D1446" s="35"/>
      <c r="E1446" s="35"/>
      <c r="F1446" s="36"/>
      <c r="G1446" s="42"/>
      <c r="H1446" s="35"/>
      <c r="I1446" s="35"/>
      <c r="J1446" s="35"/>
      <c r="K1446" s="35"/>
      <c r="L1446" s="35"/>
      <c r="M1446" s="35"/>
      <c r="N1446" s="36"/>
      <c r="O1446" s="36"/>
    </row>
    <row r="1447" spans="1:15" ht="21" x14ac:dyDescent="0.4">
      <c r="A1447" s="35"/>
      <c r="B1447" s="35"/>
      <c r="C1447" s="35"/>
      <c r="D1447" s="35"/>
      <c r="E1447" s="35"/>
      <c r="F1447" s="36"/>
      <c r="G1447" s="42"/>
      <c r="H1447" s="35"/>
      <c r="I1447" s="35"/>
      <c r="J1447" s="35"/>
      <c r="K1447" s="35"/>
      <c r="L1447" s="35"/>
      <c r="M1447" s="35"/>
      <c r="N1447" s="36"/>
      <c r="O1447" s="36"/>
    </row>
    <row r="1448" spans="1:15" ht="21" x14ac:dyDescent="0.4">
      <c r="A1448" s="35"/>
      <c r="B1448" s="35"/>
      <c r="C1448" s="35"/>
      <c r="D1448" s="35"/>
      <c r="E1448" s="35"/>
      <c r="F1448" s="36"/>
      <c r="G1448" s="42"/>
      <c r="H1448" s="35"/>
      <c r="I1448" s="35"/>
      <c r="J1448" s="35"/>
      <c r="K1448" s="35"/>
      <c r="L1448" s="35"/>
      <c r="M1448" s="35"/>
      <c r="N1448" s="36"/>
      <c r="O1448" s="36"/>
    </row>
    <row r="1449" spans="1:15" ht="21" x14ac:dyDescent="0.4">
      <c r="A1449" s="35"/>
      <c r="B1449" s="35"/>
      <c r="C1449" s="35"/>
      <c r="D1449" s="35"/>
      <c r="E1449" s="35"/>
      <c r="F1449" s="36"/>
      <c r="G1449" s="42"/>
      <c r="H1449" s="35"/>
      <c r="I1449" s="35"/>
      <c r="J1449" s="35"/>
      <c r="K1449" s="35"/>
      <c r="L1449" s="35"/>
      <c r="M1449" s="35"/>
      <c r="N1449" s="36"/>
      <c r="O1449" s="36"/>
    </row>
    <row r="1450" spans="1:15" ht="21" x14ac:dyDescent="0.4">
      <c r="A1450" s="35"/>
      <c r="B1450" s="35"/>
      <c r="C1450" s="35"/>
      <c r="D1450" s="35"/>
      <c r="E1450" s="35"/>
      <c r="F1450" s="36"/>
      <c r="G1450" s="42"/>
      <c r="H1450" s="35"/>
      <c r="I1450" s="35"/>
      <c r="J1450" s="35"/>
      <c r="K1450" s="35"/>
      <c r="L1450" s="35"/>
      <c r="M1450" s="35"/>
      <c r="N1450" s="36"/>
      <c r="O1450" s="36"/>
    </row>
    <row r="1451" spans="1:15" ht="21" x14ac:dyDescent="0.4">
      <c r="A1451" s="35"/>
      <c r="B1451" s="35"/>
      <c r="C1451" s="35"/>
      <c r="D1451" s="35"/>
      <c r="E1451" s="35"/>
      <c r="F1451" s="36"/>
      <c r="G1451" s="42"/>
      <c r="H1451" s="35"/>
      <c r="I1451" s="35"/>
      <c r="J1451" s="35"/>
      <c r="K1451" s="35"/>
      <c r="L1451" s="35"/>
      <c r="M1451" s="35"/>
      <c r="N1451" s="36"/>
      <c r="O1451" s="36"/>
    </row>
    <row r="1452" spans="1:15" ht="21" x14ac:dyDescent="0.4">
      <c r="A1452" s="35"/>
      <c r="B1452" s="35"/>
      <c r="C1452" s="35"/>
      <c r="D1452" s="35"/>
      <c r="E1452" s="35"/>
      <c r="F1452" s="36"/>
      <c r="G1452" s="42"/>
      <c r="H1452" s="35"/>
      <c r="I1452" s="35"/>
      <c r="J1452" s="35"/>
      <c r="K1452" s="35"/>
      <c r="L1452" s="35"/>
      <c r="M1452" s="35"/>
      <c r="N1452" s="36"/>
      <c r="O1452" s="36"/>
    </row>
    <row r="1453" spans="1:15" ht="21" x14ac:dyDescent="0.4">
      <c r="A1453" s="35"/>
      <c r="B1453" s="35"/>
      <c r="C1453" s="35"/>
      <c r="D1453" s="35"/>
      <c r="E1453" s="35"/>
      <c r="F1453" s="36"/>
      <c r="G1453" s="42"/>
      <c r="H1453" s="35"/>
      <c r="I1453" s="35"/>
      <c r="J1453" s="35"/>
      <c r="K1453" s="35"/>
      <c r="L1453" s="35"/>
      <c r="M1453" s="35"/>
      <c r="N1453" s="36"/>
      <c r="O1453" s="36"/>
    </row>
    <row r="1454" spans="1:15" ht="21" x14ac:dyDescent="0.4">
      <c r="A1454" s="35"/>
      <c r="B1454" s="35"/>
      <c r="C1454" s="35"/>
      <c r="D1454" s="35"/>
      <c r="E1454" s="35"/>
      <c r="F1454" s="36"/>
      <c r="G1454" s="42"/>
      <c r="H1454" s="35"/>
      <c r="I1454" s="35"/>
      <c r="J1454" s="35"/>
      <c r="K1454" s="35"/>
      <c r="L1454" s="35"/>
      <c r="M1454" s="35"/>
      <c r="N1454" s="36"/>
      <c r="O1454" s="36"/>
    </row>
    <row r="1455" spans="1:15" ht="21" x14ac:dyDescent="0.4">
      <c r="A1455" s="35"/>
      <c r="B1455" s="35"/>
      <c r="C1455" s="35"/>
      <c r="D1455" s="35"/>
      <c r="E1455" s="35"/>
      <c r="F1455" s="36"/>
      <c r="G1455" s="42"/>
      <c r="H1455" s="35"/>
      <c r="I1455" s="35"/>
      <c r="J1455" s="35"/>
      <c r="K1455" s="35"/>
      <c r="L1455" s="35"/>
      <c r="M1455" s="35"/>
      <c r="N1455" s="36"/>
      <c r="O1455" s="36"/>
    </row>
    <row r="1456" spans="1:15" ht="21" x14ac:dyDescent="0.4">
      <c r="A1456" s="35"/>
      <c r="B1456" s="35"/>
      <c r="C1456" s="35"/>
      <c r="D1456" s="35"/>
      <c r="E1456" s="35"/>
      <c r="F1456" s="36"/>
      <c r="G1456" s="42"/>
      <c r="H1456" s="35"/>
      <c r="I1456" s="35"/>
      <c r="J1456" s="35"/>
      <c r="K1456" s="35"/>
      <c r="L1456" s="35"/>
      <c r="M1456" s="35"/>
      <c r="N1456" s="36"/>
      <c r="O1456" s="36"/>
    </row>
    <row r="1457" spans="1:15" ht="21" x14ac:dyDescent="0.4">
      <c r="A1457" s="35"/>
      <c r="B1457" s="35"/>
      <c r="C1457" s="35"/>
      <c r="D1457" s="35"/>
      <c r="E1457" s="35"/>
      <c r="F1457" s="36"/>
      <c r="G1457" s="42"/>
      <c r="H1457" s="35"/>
      <c r="I1457" s="35"/>
      <c r="J1457" s="35"/>
      <c r="K1457" s="35"/>
      <c r="L1457" s="35"/>
      <c r="M1457" s="35"/>
      <c r="N1457" s="36"/>
      <c r="O1457" s="36"/>
    </row>
    <row r="1458" spans="1:15" ht="21" x14ac:dyDescent="0.4">
      <c r="A1458" s="35"/>
      <c r="B1458" s="35"/>
      <c r="C1458" s="35"/>
      <c r="D1458" s="35"/>
      <c r="E1458" s="35"/>
      <c r="F1458" s="36"/>
      <c r="G1458" s="42"/>
      <c r="H1458" s="35"/>
      <c r="I1458" s="35"/>
      <c r="J1458" s="35"/>
      <c r="K1458" s="35"/>
      <c r="L1458" s="35"/>
      <c r="M1458" s="35"/>
      <c r="N1458" s="36"/>
      <c r="O1458" s="36"/>
    </row>
    <row r="1459" spans="1:15" ht="21" x14ac:dyDescent="0.4">
      <c r="A1459" s="35"/>
      <c r="B1459" s="35"/>
      <c r="C1459" s="35"/>
      <c r="D1459" s="35"/>
      <c r="E1459" s="35"/>
      <c r="F1459" s="36"/>
      <c r="G1459" s="42"/>
      <c r="H1459" s="35"/>
      <c r="I1459" s="35"/>
      <c r="J1459" s="35"/>
      <c r="K1459" s="35"/>
      <c r="L1459" s="35"/>
      <c r="M1459" s="35"/>
      <c r="N1459" s="36"/>
      <c r="O1459" s="36"/>
    </row>
    <row r="1460" spans="1:15" ht="21" x14ac:dyDescent="0.4">
      <c r="A1460" s="35"/>
      <c r="B1460" s="35"/>
      <c r="C1460" s="35"/>
      <c r="D1460" s="35"/>
      <c r="E1460" s="35"/>
      <c r="F1460" s="36"/>
      <c r="G1460" s="42"/>
      <c r="H1460" s="35"/>
      <c r="I1460" s="35"/>
      <c r="J1460" s="35"/>
      <c r="K1460" s="35"/>
      <c r="L1460" s="35"/>
      <c r="M1460" s="35"/>
      <c r="N1460" s="36"/>
      <c r="O1460" s="36"/>
    </row>
    <row r="1461" spans="1:15" ht="21" x14ac:dyDescent="0.4">
      <c r="A1461" s="35"/>
      <c r="B1461" s="35"/>
      <c r="C1461" s="35"/>
      <c r="D1461" s="35"/>
      <c r="E1461" s="35"/>
      <c r="F1461" s="36"/>
      <c r="G1461" s="42"/>
      <c r="H1461" s="35"/>
      <c r="I1461" s="35"/>
      <c r="J1461" s="35"/>
      <c r="K1461" s="35"/>
      <c r="L1461" s="35"/>
      <c r="M1461" s="35"/>
      <c r="N1461" s="36"/>
      <c r="O1461" s="36"/>
    </row>
    <row r="1462" spans="1:15" ht="21" x14ac:dyDescent="0.4">
      <c r="A1462" s="35"/>
      <c r="B1462" s="35"/>
      <c r="C1462" s="35"/>
      <c r="D1462" s="35"/>
      <c r="E1462" s="35"/>
      <c r="F1462" s="36"/>
      <c r="G1462" s="42"/>
      <c r="H1462" s="35"/>
      <c r="I1462" s="35"/>
      <c r="J1462" s="35"/>
      <c r="K1462" s="35"/>
      <c r="L1462" s="35"/>
      <c r="M1462" s="35"/>
      <c r="N1462" s="36"/>
      <c r="O1462" s="36"/>
    </row>
    <row r="1463" spans="1:15" ht="21" x14ac:dyDescent="0.4">
      <c r="A1463" s="35"/>
      <c r="B1463" s="35"/>
      <c r="C1463" s="35"/>
      <c r="D1463" s="35"/>
      <c r="E1463" s="35"/>
      <c r="F1463" s="36"/>
      <c r="G1463" s="42"/>
      <c r="H1463" s="35"/>
      <c r="I1463" s="35"/>
      <c r="J1463" s="35"/>
      <c r="K1463" s="35"/>
      <c r="L1463" s="35"/>
      <c r="M1463" s="35"/>
      <c r="N1463" s="36"/>
      <c r="O1463" s="36"/>
    </row>
  </sheetData>
  <mergeCells count="1">
    <mergeCell ref="A3:O3"/>
  </mergeCells>
  <phoneticPr fontId="1" type="noConversion"/>
  <conditionalFormatting sqref="P940">
    <cfRule type="cellIs" dxfId="11" priority="3" operator="lessThan">
      <formula>2</formula>
    </cfRule>
    <cfRule type="colorScale" priority="4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conditionalFormatting sqref="N5:N524">
    <cfRule type="cellIs" dxfId="10" priority="1" operator="lessThan">
      <formula>2</formula>
    </cfRule>
    <cfRule type="colorScale" priority="2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printOptions horizontalCentered="1"/>
  <pageMargins left="0.25" right="0.25" top="0.5" bottom="0.25" header="0.3" footer="0.3"/>
  <pageSetup scale="56" fitToHeight="0" orientation="landscape" r:id="rId1"/>
  <rowBreaks count="15" manualBreakCount="15">
    <brk id="39" max="14" man="1"/>
    <brk id="69" max="14" man="1"/>
    <brk id="98" max="14" man="1"/>
    <brk id="129" max="14" man="1"/>
    <brk id="151" max="14" man="1"/>
    <brk id="184" max="14" man="1"/>
    <brk id="223" max="14" man="1"/>
    <brk id="263" max="14" man="1"/>
    <brk id="306" max="14" man="1"/>
    <brk id="328" max="14" man="1"/>
    <brk id="369" max="14" man="1"/>
    <brk id="415" max="14" man="1"/>
    <brk id="450" max="14" man="1"/>
    <brk id="488" max="14" man="1"/>
    <brk id="524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rviceSurveyPrint">
                <anchor moveWithCells="1">
                  <from>
                    <xdr:col>0</xdr:col>
                    <xdr:colOff>38100</xdr:colOff>
                    <xdr:row>1</xdr:row>
                    <xdr:rowOff>30480</xdr:rowOff>
                  </from>
                  <to>
                    <xdr:col>2</xdr:col>
                    <xdr:colOff>182880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E2184-BB12-4F79-8695-A04C89414D48}">
  <sheetPr codeName="Sheet24"/>
  <dimension ref="A1:AP178"/>
  <sheetViews>
    <sheetView workbookViewId="0"/>
  </sheetViews>
  <sheetFormatPr defaultRowHeight="14.4" x14ac:dyDescent="0.3"/>
  <cols>
    <col min="1" max="1" width="7.77734375" bestFit="1" customWidth="1"/>
    <col min="2" max="2" width="9.109375" bestFit="1" customWidth="1"/>
    <col min="3" max="3" width="15" bestFit="1" customWidth="1"/>
    <col min="4" max="4" width="20.6640625" bestFit="1" customWidth="1"/>
    <col min="5" max="5" width="10.21875" bestFit="1" customWidth="1"/>
    <col min="6" max="6" width="11.33203125" bestFit="1" customWidth="1"/>
    <col min="7" max="7" width="32.33203125" bestFit="1" customWidth="1"/>
    <col min="8" max="8" width="26.88671875" bestFit="1" customWidth="1"/>
    <col min="9" max="9" width="27" bestFit="1" customWidth="1"/>
    <col min="10" max="10" width="19.5546875" bestFit="1" customWidth="1"/>
    <col min="11" max="11" width="7.5546875" bestFit="1" customWidth="1"/>
    <col min="12" max="12" width="6" bestFit="1" customWidth="1"/>
    <col min="13" max="13" width="12" bestFit="1" customWidth="1"/>
    <col min="14" max="14" width="7.109375" bestFit="1" customWidth="1"/>
    <col min="15" max="15" width="14.88671875" bestFit="1" customWidth="1"/>
    <col min="16" max="16" width="19.44140625" bestFit="1" customWidth="1"/>
    <col min="17" max="17" width="20.77734375" bestFit="1" customWidth="1"/>
    <col min="18" max="18" width="33.77734375" bestFit="1" customWidth="1"/>
    <col min="19" max="19" width="14.88671875" bestFit="1" customWidth="1"/>
    <col min="20" max="20" width="24.21875" bestFit="1" customWidth="1"/>
    <col min="21" max="21" width="30" bestFit="1" customWidth="1"/>
    <col min="22" max="22" width="24.109375" bestFit="1" customWidth="1"/>
    <col min="23" max="23" width="23" bestFit="1" customWidth="1"/>
    <col min="24" max="24" width="24.109375" bestFit="1" customWidth="1"/>
    <col min="25" max="25" width="23" bestFit="1" customWidth="1"/>
    <col min="26" max="26" width="21.21875" bestFit="1" customWidth="1"/>
    <col min="27" max="27" width="22.77734375" bestFit="1" customWidth="1"/>
    <col min="28" max="28" width="19.109375" bestFit="1" customWidth="1"/>
    <col min="29" max="29" width="22.77734375" bestFit="1" customWidth="1"/>
    <col min="30" max="30" width="14.5546875" bestFit="1" customWidth="1"/>
    <col min="31" max="31" width="12.88671875" bestFit="1" customWidth="1"/>
    <col min="32" max="32" width="18.33203125" bestFit="1" customWidth="1"/>
    <col min="33" max="33" width="18" bestFit="1" customWidth="1"/>
    <col min="34" max="34" width="12.88671875" bestFit="1" customWidth="1"/>
    <col min="35" max="35" width="18.33203125" bestFit="1" customWidth="1"/>
    <col min="36" max="36" width="18" bestFit="1" customWidth="1"/>
    <col min="37" max="37" width="12.88671875" bestFit="1" customWidth="1"/>
    <col min="38" max="38" width="18.33203125" bestFit="1" customWidth="1"/>
    <col min="39" max="39" width="18" bestFit="1" customWidth="1"/>
    <col min="40" max="40" width="12.88671875" bestFit="1" customWidth="1"/>
    <col min="41" max="41" width="18.33203125" bestFit="1" customWidth="1"/>
    <col min="42" max="42" width="18" bestFit="1" customWidth="1"/>
    <col min="43" max="43" width="12.88671875" bestFit="1" customWidth="1"/>
    <col min="44" max="44" width="18.33203125" bestFit="1" customWidth="1"/>
    <col min="45" max="45" width="18" bestFit="1" customWidth="1"/>
  </cols>
  <sheetData>
    <row r="1" spans="1:42" x14ac:dyDescent="0.3">
      <c r="A1" t="s">
        <v>270</v>
      </c>
      <c r="B1" t="s">
        <v>271</v>
      </c>
      <c r="C1" t="s">
        <v>374</v>
      </c>
      <c r="D1" t="s">
        <v>375</v>
      </c>
      <c r="E1" t="s">
        <v>272</v>
      </c>
      <c r="F1" t="s">
        <v>273</v>
      </c>
      <c r="G1" t="s">
        <v>10</v>
      </c>
      <c r="H1" t="s">
        <v>331</v>
      </c>
      <c r="I1" t="s">
        <v>332</v>
      </c>
      <c r="J1" t="s">
        <v>333</v>
      </c>
      <c r="K1" t="s">
        <v>334</v>
      </c>
      <c r="L1" t="s">
        <v>335</v>
      </c>
      <c r="M1" t="s">
        <v>13</v>
      </c>
      <c r="N1" t="s">
        <v>376</v>
      </c>
      <c r="O1" t="s">
        <v>336</v>
      </c>
      <c r="P1" t="s">
        <v>32</v>
      </c>
      <c r="Q1" t="s">
        <v>280</v>
      </c>
      <c r="R1" t="s">
        <v>279</v>
      </c>
      <c r="S1" t="s">
        <v>277</v>
      </c>
      <c r="T1" t="s">
        <v>278</v>
      </c>
      <c r="U1" t="s">
        <v>387</v>
      </c>
      <c r="V1" t="s">
        <v>35</v>
      </c>
      <c r="W1" t="s">
        <v>36</v>
      </c>
      <c r="X1" t="s">
        <v>37</v>
      </c>
      <c r="Y1" t="s">
        <v>38</v>
      </c>
      <c r="Z1" t="s">
        <v>337</v>
      </c>
      <c r="AA1" t="s">
        <v>39</v>
      </c>
      <c r="AB1" t="s">
        <v>338</v>
      </c>
      <c r="AC1" t="s">
        <v>339</v>
      </c>
      <c r="AD1" t="s">
        <v>293</v>
      </c>
      <c r="AE1" t="s">
        <v>281</v>
      </c>
      <c r="AF1" t="s">
        <v>283</v>
      </c>
      <c r="AG1" t="s">
        <v>282</v>
      </c>
      <c r="AH1" t="s">
        <v>284</v>
      </c>
      <c r="AI1" t="s">
        <v>286</v>
      </c>
      <c r="AJ1" t="s">
        <v>285</v>
      </c>
      <c r="AK1" t="s">
        <v>287</v>
      </c>
      <c r="AL1" t="s">
        <v>289</v>
      </c>
      <c r="AM1" t="s">
        <v>288</v>
      </c>
      <c r="AN1" t="s">
        <v>290</v>
      </c>
      <c r="AO1" t="s">
        <v>292</v>
      </c>
      <c r="AP1" t="s">
        <v>291</v>
      </c>
    </row>
    <row r="2" spans="1:42" x14ac:dyDescent="0.3">
      <c r="A2" t="s">
        <v>761</v>
      </c>
      <c r="B2" t="s">
        <v>98</v>
      </c>
      <c r="C2" t="s">
        <v>431</v>
      </c>
      <c r="D2" t="s">
        <v>58</v>
      </c>
      <c r="E2" t="s">
        <v>1347</v>
      </c>
      <c r="F2" t="s">
        <v>340</v>
      </c>
      <c r="G2" t="s">
        <v>1157</v>
      </c>
      <c r="H2" t="s">
        <v>1632</v>
      </c>
      <c r="I2" t="s">
        <v>215</v>
      </c>
      <c r="J2" t="s">
        <v>1633</v>
      </c>
      <c r="K2" t="s">
        <v>341</v>
      </c>
      <c r="L2" t="s">
        <v>1634</v>
      </c>
      <c r="M2" t="s">
        <v>300</v>
      </c>
      <c r="N2" t="s">
        <v>1635</v>
      </c>
      <c r="O2" t="s">
        <v>328</v>
      </c>
      <c r="U2" t="s">
        <v>1160</v>
      </c>
      <c r="V2" t="s">
        <v>215</v>
      </c>
      <c r="W2" t="s">
        <v>215</v>
      </c>
      <c r="X2" t="s">
        <v>215</v>
      </c>
      <c r="Y2" t="s">
        <v>215</v>
      </c>
      <c r="AB2" t="s">
        <v>1636</v>
      </c>
      <c r="AE2">
        <v>124.93</v>
      </c>
      <c r="AF2">
        <v>137.63</v>
      </c>
      <c r="AG2">
        <v>112.24</v>
      </c>
      <c r="AH2">
        <v>125.81</v>
      </c>
      <c r="AI2">
        <v>138.57</v>
      </c>
      <c r="AJ2">
        <v>113.04</v>
      </c>
      <c r="AK2">
        <v>155.19</v>
      </c>
      <c r="AL2">
        <v>187.41</v>
      </c>
      <c r="AM2">
        <v>122.98</v>
      </c>
      <c r="AN2">
        <v>135.27000000000001</v>
      </c>
      <c r="AO2">
        <v>147.96</v>
      </c>
      <c r="AP2">
        <v>122.57</v>
      </c>
    </row>
    <row r="3" spans="1:42" x14ac:dyDescent="0.3">
      <c r="A3" t="s">
        <v>657</v>
      </c>
      <c r="B3" t="s">
        <v>98</v>
      </c>
      <c r="C3" t="s">
        <v>431</v>
      </c>
      <c r="D3" t="s">
        <v>59</v>
      </c>
      <c r="E3" t="s">
        <v>1553</v>
      </c>
      <c r="F3" t="s">
        <v>340</v>
      </c>
      <c r="G3" t="s">
        <v>658</v>
      </c>
      <c r="H3" t="s">
        <v>1637</v>
      </c>
      <c r="I3" t="s">
        <v>215</v>
      </c>
      <c r="J3" t="s">
        <v>1638</v>
      </c>
      <c r="K3" t="s">
        <v>341</v>
      </c>
      <c r="L3" t="s">
        <v>1639</v>
      </c>
      <c r="M3" t="s">
        <v>303</v>
      </c>
      <c r="N3" t="s">
        <v>348</v>
      </c>
      <c r="O3" t="s">
        <v>318</v>
      </c>
      <c r="P3" t="s">
        <v>299</v>
      </c>
      <c r="V3" t="s">
        <v>215</v>
      </c>
      <c r="W3" t="s">
        <v>215</v>
      </c>
      <c r="X3" t="s">
        <v>215</v>
      </c>
      <c r="Y3" t="s">
        <v>215</v>
      </c>
      <c r="AB3" t="s">
        <v>409</v>
      </c>
      <c r="AE3">
        <v>54.16</v>
      </c>
      <c r="AF3">
        <v>62.13</v>
      </c>
      <c r="AG3">
        <v>46.2</v>
      </c>
      <c r="AH3">
        <v>21.68</v>
      </c>
      <c r="AI3">
        <v>46.96</v>
      </c>
      <c r="AJ3">
        <v>-3.61</v>
      </c>
      <c r="AK3">
        <v>52.98</v>
      </c>
      <c r="AL3">
        <v>63.51</v>
      </c>
      <c r="AM3">
        <v>42.45</v>
      </c>
      <c r="AN3">
        <v>32.840000000000003</v>
      </c>
      <c r="AO3">
        <v>55.83</v>
      </c>
      <c r="AP3">
        <v>9.85</v>
      </c>
    </row>
    <row r="4" spans="1:42" x14ac:dyDescent="0.3">
      <c r="A4" t="s">
        <v>810</v>
      </c>
      <c r="B4" t="s">
        <v>98</v>
      </c>
      <c r="C4" t="s">
        <v>431</v>
      </c>
      <c r="D4" t="s">
        <v>59</v>
      </c>
      <c r="E4" t="s">
        <v>1555</v>
      </c>
      <c r="F4" t="s">
        <v>340</v>
      </c>
      <c r="G4" t="s">
        <v>1161</v>
      </c>
      <c r="H4" t="s">
        <v>1640</v>
      </c>
      <c r="I4" t="s">
        <v>215</v>
      </c>
      <c r="J4" t="s">
        <v>1641</v>
      </c>
      <c r="K4" t="s">
        <v>341</v>
      </c>
      <c r="L4" t="s">
        <v>1642</v>
      </c>
      <c r="M4" t="s">
        <v>300</v>
      </c>
      <c r="N4" t="s">
        <v>397</v>
      </c>
      <c r="O4" t="s">
        <v>366</v>
      </c>
      <c r="U4" t="s">
        <v>1164</v>
      </c>
      <c r="V4" t="s">
        <v>215</v>
      </c>
      <c r="W4" t="s">
        <v>215</v>
      </c>
      <c r="X4" t="s">
        <v>215</v>
      </c>
      <c r="Y4" t="s">
        <v>215</v>
      </c>
      <c r="AH4">
        <v>102.39</v>
      </c>
      <c r="AI4">
        <v>133.11000000000001</v>
      </c>
      <c r="AJ4">
        <v>71.67</v>
      </c>
      <c r="AK4">
        <v>143.38</v>
      </c>
      <c r="AL4">
        <v>143.38</v>
      </c>
      <c r="AM4">
        <v>143.38</v>
      </c>
      <c r="AN4">
        <v>121.32</v>
      </c>
      <c r="AO4">
        <v>158.65</v>
      </c>
      <c r="AP4">
        <v>83.99</v>
      </c>
    </row>
    <row r="5" spans="1:42" x14ac:dyDescent="0.3">
      <c r="A5" t="s">
        <v>774</v>
      </c>
      <c r="B5" t="s">
        <v>98</v>
      </c>
      <c r="C5" t="s">
        <v>431</v>
      </c>
      <c r="D5" t="s">
        <v>52</v>
      </c>
      <c r="E5" t="s">
        <v>1484</v>
      </c>
      <c r="F5" t="s">
        <v>340</v>
      </c>
      <c r="G5" t="s">
        <v>884</v>
      </c>
      <c r="H5" t="s">
        <v>1643</v>
      </c>
      <c r="I5" t="s">
        <v>215</v>
      </c>
      <c r="J5" t="s">
        <v>1644</v>
      </c>
      <c r="K5" t="s">
        <v>341</v>
      </c>
      <c r="L5" t="s">
        <v>1645</v>
      </c>
      <c r="M5" t="s">
        <v>300</v>
      </c>
      <c r="N5" t="s">
        <v>150</v>
      </c>
      <c r="O5" t="s">
        <v>322</v>
      </c>
      <c r="U5" t="s">
        <v>921</v>
      </c>
      <c r="V5" t="s">
        <v>215</v>
      </c>
      <c r="W5" t="s">
        <v>215</v>
      </c>
      <c r="X5" t="s">
        <v>215</v>
      </c>
      <c r="Y5" t="s">
        <v>215</v>
      </c>
      <c r="AH5">
        <v>122.77</v>
      </c>
      <c r="AI5">
        <v>184.68</v>
      </c>
      <c r="AJ5">
        <v>60.85</v>
      </c>
      <c r="AK5">
        <v>178.6</v>
      </c>
      <c r="AL5">
        <v>178.6</v>
      </c>
      <c r="AM5">
        <v>178.6</v>
      </c>
      <c r="AN5">
        <v>68.69</v>
      </c>
      <c r="AO5">
        <v>178.6</v>
      </c>
      <c r="AP5">
        <v>-41.22</v>
      </c>
    </row>
    <row r="6" spans="1:42" x14ac:dyDescent="0.3">
      <c r="A6" t="s">
        <v>659</v>
      </c>
      <c r="B6" t="s">
        <v>98</v>
      </c>
      <c r="C6" t="s">
        <v>431</v>
      </c>
      <c r="D6" t="s">
        <v>52</v>
      </c>
      <c r="E6" t="s">
        <v>1486</v>
      </c>
      <c r="F6" t="s">
        <v>340</v>
      </c>
      <c r="G6" t="s">
        <v>660</v>
      </c>
      <c r="H6" t="s">
        <v>1646</v>
      </c>
      <c r="I6" t="s">
        <v>215</v>
      </c>
      <c r="J6" t="s">
        <v>1647</v>
      </c>
      <c r="K6" t="s">
        <v>341</v>
      </c>
      <c r="L6" t="s">
        <v>1645</v>
      </c>
      <c r="M6" t="s">
        <v>298</v>
      </c>
      <c r="N6" t="s">
        <v>343</v>
      </c>
      <c r="O6" t="s">
        <v>327</v>
      </c>
      <c r="P6" t="s">
        <v>296</v>
      </c>
      <c r="V6" t="s">
        <v>215</v>
      </c>
      <c r="W6" t="s">
        <v>215</v>
      </c>
      <c r="X6" t="s">
        <v>215</v>
      </c>
      <c r="Y6" t="s">
        <v>215</v>
      </c>
      <c r="AH6">
        <v>10.88</v>
      </c>
      <c r="AI6">
        <v>22.85</v>
      </c>
      <c r="AJ6">
        <v>-1.0900000000000001</v>
      </c>
      <c r="AK6">
        <v>29.24</v>
      </c>
      <c r="AL6">
        <v>31.79</v>
      </c>
      <c r="AM6">
        <v>26.69</v>
      </c>
      <c r="AN6">
        <v>18.239999999999998</v>
      </c>
      <c r="AO6">
        <v>25.65</v>
      </c>
      <c r="AP6">
        <v>10.83</v>
      </c>
    </row>
    <row r="7" spans="1:42" x14ac:dyDescent="0.3">
      <c r="A7" t="s">
        <v>775</v>
      </c>
      <c r="B7" t="s">
        <v>98</v>
      </c>
      <c r="C7" t="s">
        <v>431</v>
      </c>
      <c r="D7" t="s">
        <v>52</v>
      </c>
      <c r="E7" t="s">
        <v>1349</v>
      </c>
      <c r="F7" t="s">
        <v>340</v>
      </c>
      <c r="G7" t="s">
        <v>882</v>
      </c>
      <c r="H7" t="s">
        <v>1648</v>
      </c>
      <c r="I7" t="s">
        <v>215</v>
      </c>
      <c r="J7" t="s">
        <v>1649</v>
      </c>
      <c r="K7" t="s">
        <v>341</v>
      </c>
      <c r="L7" t="s">
        <v>1650</v>
      </c>
      <c r="M7" t="s">
        <v>323</v>
      </c>
      <c r="N7" t="s">
        <v>191</v>
      </c>
      <c r="O7" t="s">
        <v>133</v>
      </c>
      <c r="V7" t="s">
        <v>215</v>
      </c>
      <c r="W7" t="s">
        <v>215</v>
      </c>
      <c r="X7" t="s">
        <v>215</v>
      </c>
      <c r="Y7" t="s">
        <v>215</v>
      </c>
      <c r="AB7" t="s">
        <v>1651</v>
      </c>
      <c r="AE7">
        <v>35.340000000000003</v>
      </c>
      <c r="AF7">
        <v>41.85</v>
      </c>
      <c r="AG7">
        <v>28.83</v>
      </c>
      <c r="AH7">
        <v>35.25</v>
      </c>
      <c r="AI7">
        <v>38.19</v>
      </c>
      <c r="AJ7">
        <v>32.31</v>
      </c>
      <c r="AK7">
        <v>41.91</v>
      </c>
      <c r="AL7">
        <v>44.9</v>
      </c>
      <c r="AM7">
        <v>38.909999999999997</v>
      </c>
      <c r="AN7">
        <v>37.19</v>
      </c>
      <c r="AO7">
        <v>40.28</v>
      </c>
      <c r="AP7">
        <v>34.090000000000003</v>
      </c>
    </row>
    <row r="8" spans="1:42" x14ac:dyDescent="0.3">
      <c r="A8" t="s">
        <v>589</v>
      </c>
      <c r="B8" t="s">
        <v>98</v>
      </c>
      <c r="C8" t="s">
        <v>431</v>
      </c>
      <c r="D8" t="s">
        <v>53</v>
      </c>
      <c r="E8" t="s">
        <v>1418</v>
      </c>
      <c r="F8" t="s">
        <v>340</v>
      </c>
      <c r="G8" t="s">
        <v>590</v>
      </c>
      <c r="H8" t="s">
        <v>1652</v>
      </c>
      <c r="I8" t="s">
        <v>215</v>
      </c>
      <c r="J8" t="s">
        <v>1653</v>
      </c>
      <c r="K8" t="s">
        <v>341</v>
      </c>
      <c r="L8" t="s">
        <v>1654</v>
      </c>
      <c r="M8" t="s">
        <v>300</v>
      </c>
      <c r="N8" t="s">
        <v>191</v>
      </c>
      <c r="O8" t="s">
        <v>311</v>
      </c>
      <c r="P8" t="s">
        <v>1655</v>
      </c>
      <c r="Q8" t="s">
        <v>1656</v>
      </c>
      <c r="R8" t="s">
        <v>587</v>
      </c>
      <c r="S8" t="s">
        <v>305</v>
      </c>
      <c r="T8" t="s">
        <v>927</v>
      </c>
      <c r="V8" t="s">
        <v>215</v>
      </c>
      <c r="W8" t="s">
        <v>215</v>
      </c>
      <c r="X8" t="s">
        <v>215</v>
      </c>
      <c r="Y8" t="s">
        <v>215</v>
      </c>
      <c r="AB8" t="s">
        <v>1657</v>
      </c>
      <c r="AE8">
        <v>399.17</v>
      </c>
      <c r="AF8">
        <v>417.53</v>
      </c>
      <c r="AG8">
        <v>380.8</v>
      </c>
      <c r="AH8">
        <v>359.03</v>
      </c>
      <c r="AI8">
        <v>370.11</v>
      </c>
      <c r="AJ8">
        <v>347.96</v>
      </c>
      <c r="AK8">
        <v>350.1</v>
      </c>
      <c r="AL8">
        <v>359.57</v>
      </c>
      <c r="AM8">
        <v>340.63</v>
      </c>
      <c r="AN8">
        <v>310.5</v>
      </c>
      <c r="AO8">
        <v>340.2</v>
      </c>
      <c r="AP8">
        <v>280.8</v>
      </c>
    </row>
    <row r="9" spans="1:42" x14ac:dyDescent="0.3">
      <c r="A9" t="s">
        <v>811</v>
      </c>
      <c r="B9" t="s">
        <v>98</v>
      </c>
      <c r="C9" t="s">
        <v>431</v>
      </c>
      <c r="D9" t="s">
        <v>59</v>
      </c>
      <c r="E9" t="s">
        <v>1557</v>
      </c>
      <c r="F9" t="s">
        <v>340</v>
      </c>
      <c r="G9" t="s">
        <v>1165</v>
      </c>
      <c r="H9" t="s">
        <v>1658</v>
      </c>
      <c r="I9" t="s">
        <v>1659</v>
      </c>
      <c r="J9" t="s">
        <v>1660</v>
      </c>
      <c r="K9" t="s">
        <v>341</v>
      </c>
      <c r="L9" t="s">
        <v>1661</v>
      </c>
      <c r="M9" t="s">
        <v>300</v>
      </c>
      <c r="N9" t="s">
        <v>88</v>
      </c>
      <c r="O9" t="s">
        <v>134</v>
      </c>
      <c r="U9" t="s">
        <v>1056</v>
      </c>
      <c r="V9" t="s">
        <v>215</v>
      </c>
      <c r="W9" t="s">
        <v>215</v>
      </c>
      <c r="X9" t="s">
        <v>215</v>
      </c>
      <c r="Y9" t="s">
        <v>215</v>
      </c>
      <c r="AH9">
        <v>222.57</v>
      </c>
      <c r="AI9">
        <v>333.86</v>
      </c>
      <c r="AJ9">
        <v>111.28</v>
      </c>
      <c r="AK9">
        <v>321.49</v>
      </c>
      <c r="AL9">
        <v>321.49</v>
      </c>
      <c r="AM9">
        <v>321.49</v>
      </c>
      <c r="AN9">
        <v>49.46</v>
      </c>
      <c r="AO9">
        <v>321.49</v>
      </c>
      <c r="AP9">
        <v>-222.57</v>
      </c>
    </row>
    <row r="10" spans="1:42" x14ac:dyDescent="0.3">
      <c r="A10" t="s">
        <v>812</v>
      </c>
      <c r="B10" t="s">
        <v>98</v>
      </c>
      <c r="C10" t="s">
        <v>431</v>
      </c>
      <c r="D10" t="s">
        <v>59</v>
      </c>
      <c r="E10" t="s">
        <v>1536</v>
      </c>
      <c r="F10" t="s">
        <v>360</v>
      </c>
      <c r="G10" t="s">
        <v>1168</v>
      </c>
      <c r="H10" t="s">
        <v>1662</v>
      </c>
      <c r="I10" t="s">
        <v>1663</v>
      </c>
      <c r="J10" t="s">
        <v>1664</v>
      </c>
      <c r="K10" t="s">
        <v>341</v>
      </c>
      <c r="L10" t="s">
        <v>1661</v>
      </c>
      <c r="M10" t="s">
        <v>300</v>
      </c>
      <c r="N10" t="s">
        <v>343</v>
      </c>
      <c r="O10" t="s">
        <v>322</v>
      </c>
      <c r="U10" t="s">
        <v>1170</v>
      </c>
      <c r="V10" t="s">
        <v>215</v>
      </c>
      <c r="W10" t="s">
        <v>215</v>
      </c>
      <c r="X10" t="s">
        <v>215</v>
      </c>
      <c r="Y10" t="s">
        <v>215</v>
      </c>
      <c r="AH10">
        <v>410.6</v>
      </c>
      <c r="AI10">
        <v>573.24</v>
      </c>
      <c r="AJ10">
        <v>247.97</v>
      </c>
      <c r="AK10">
        <v>578.48</v>
      </c>
      <c r="AL10">
        <v>608.1</v>
      </c>
      <c r="AM10">
        <v>548.87</v>
      </c>
      <c r="AN10">
        <v>57.22</v>
      </c>
      <c r="AO10">
        <v>185.95</v>
      </c>
      <c r="AP10">
        <v>-71.52</v>
      </c>
    </row>
    <row r="11" spans="1:42" x14ac:dyDescent="0.3">
      <c r="A11" t="s">
        <v>661</v>
      </c>
      <c r="B11" t="s">
        <v>98</v>
      </c>
      <c r="C11" t="s">
        <v>431</v>
      </c>
      <c r="D11" t="s">
        <v>52</v>
      </c>
      <c r="E11" t="s">
        <v>1489</v>
      </c>
      <c r="F11" t="s">
        <v>340</v>
      </c>
      <c r="G11" t="s">
        <v>662</v>
      </c>
      <c r="H11" t="s">
        <v>1665</v>
      </c>
      <c r="I11" t="s">
        <v>215</v>
      </c>
      <c r="J11" t="s">
        <v>1644</v>
      </c>
      <c r="K11" t="s">
        <v>341</v>
      </c>
      <c r="L11" t="s">
        <v>1645</v>
      </c>
      <c r="M11" t="s">
        <v>300</v>
      </c>
      <c r="N11" t="s">
        <v>149</v>
      </c>
      <c r="O11" t="s">
        <v>134</v>
      </c>
      <c r="P11" t="s">
        <v>301</v>
      </c>
      <c r="U11" t="s">
        <v>931</v>
      </c>
      <c r="V11" t="s">
        <v>215</v>
      </c>
      <c r="W11" t="s">
        <v>215</v>
      </c>
      <c r="X11" t="s">
        <v>215</v>
      </c>
      <c r="Y11" t="s">
        <v>215</v>
      </c>
      <c r="AH11">
        <v>73.31</v>
      </c>
      <c r="AI11">
        <v>149.76</v>
      </c>
      <c r="AJ11">
        <v>-3.13</v>
      </c>
      <c r="AK11">
        <v>140.34</v>
      </c>
      <c r="AL11">
        <v>241.52</v>
      </c>
      <c r="AM11">
        <v>39.159999999999997</v>
      </c>
      <c r="AN11">
        <v>10</v>
      </c>
      <c r="AO11">
        <v>49.98</v>
      </c>
      <c r="AP11">
        <v>-29.99</v>
      </c>
    </row>
    <row r="12" spans="1:42" x14ac:dyDescent="0.3">
      <c r="A12" t="s">
        <v>813</v>
      </c>
      <c r="B12" t="s">
        <v>98</v>
      </c>
      <c r="C12" t="s">
        <v>431</v>
      </c>
      <c r="D12" t="s">
        <v>52</v>
      </c>
      <c r="E12" t="s">
        <v>1516</v>
      </c>
      <c r="F12" t="s">
        <v>342</v>
      </c>
      <c r="G12" t="s">
        <v>759</v>
      </c>
      <c r="H12" t="s">
        <v>1666</v>
      </c>
      <c r="I12" t="s">
        <v>215</v>
      </c>
      <c r="J12" t="s">
        <v>1667</v>
      </c>
      <c r="K12" t="s">
        <v>341</v>
      </c>
      <c r="L12" t="s">
        <v>1645</v>
      </c>
      <c r="M12" t="s">
        <v>300</v>
      </c>
      <c r="N12" t="s">
        <v>352</v>
      </c>
      <c r="O12" t="s">
        <v>133</v>
      </c>
      <c r="U12" t="s">
        <v>934</v>
      </c>
      <c r="V12" t="s">
        <v>215</v>
      </c>
      <c r="W12" t="s">
        <v>215</v>
      </c>
      <c r="X12" t="s">
        <v>215</v>
      </c>
      <c r="Y12" t="s">
        <v>215</v>
      </c>
      <c r="AH12">
        <v>42.88</v>
      </c>
      <c r="AI12">
        <v>64.31</v>
      </c>
      <c r="AJ12">
        <v>21.44</v>
      </c>
      <c r="AK12">
        <v>83.17</v>
      </c>
      <c r="AL12">
        <v>86.11</v>
      </c>
      <c r="AM12">
        <v>80.22</v>
      </c>
      <c r="AN12">
        <v>26.33</v>
      </c>
      <c r="AO12">
        <v>85.56</v>
      </c>
      <c r="AP12">
        <v>-32.909999999999997</v>
      </c>
    </row>
    <row r="13" spans="1:42" x14ac:dyDescent="0.3">
      <c r="A13" t="s">
        <v>746</v>
      </c>
      <c r="B13" t="s">
        <v>98</v>
      </c>
      <c r="C13" t="s">
        <v>431</v>
      </c>
      <c r="D13" t="s">
        <v>52</v>
      </c>
      <c r="E13" t="s">
        <v>1516</v>
      </c>
      <c r="F13" t="s">
        <v>363</v>
      </c>
      <c r="G13" t="s">
        <v>747</v>
      </c>
      <c r="H13" t="s">
        <v>1668</v>
      </c>
      <c r="I13" t="s">
        <v>215</v>
      </c>
      <c r="J13" t="s">
        <v>1644</v>
      </c>
      <c r="K13" t="s">
        <v>341</v>
      </c>
      <c r="L13" t="s">
        <v>1645</v>
      </c>
      <c r="M13" t="s">
        <v>300</v>
      </c>
      <c r="N13" t="s">
        <v>95</v>
      </c>
      <c r="O13" t="s">
        <v>133</v>
      </c>
      <c r="P13" t="s">
        <v>301</v>
      </c>
      <c r="U13" t="s">
        <v>934</v>
      </c>
      <c r="V13" t="s">
        <v>215</v>
      </c>
      <c r="W13" t="s">
        <v>215</v>
      </c>
      <c r="X13" t="s">
        <v>215</v>
      </c>
      <c r="Y13" t="s">
        <v>215</v>
      </c>
      <c r="AH13">
        <v>100.06</v>
      </c>
      <c r="AI13">
        <v>150.08000000000001</v>
      </c>
      <c r="AJ13">
        <v>50.03</v>
      </c>
      <c r="AK13">
        <v>226.33</v>
      </c>
      <c r="AL13">
        <v>252.14</v>
      </c>
      <c r="AM13">
        <v>200.51</v>
      </c>
      <c r="AN13">
        <v>33.119999999999997</v>
      </c>
      <c r="AO13">
        <v>107.62</v>
      </c>
      <c r="AP13">
        <v>-41.39</v>
      </c>
    </row>
    <row r="14" spans="1:42" x14ac:dyDescent="0.3">
      <c r="A14" t="s">
        <v>615</v>
      </c>
      <c r="B14" t="s">
        <v>98</v>
      </c>
      <c r="C14" t="s">
        <v>431</v>
      </c>
      <c r="D14" t="s">
        <v>53</v>
      </c>
      <c r="E14" t="s">
        <v>1420</v>
      </c>
      <c r="F14" t="s">
        <v>340</v>
      </c>
      <c r="G14" t="s">
        <v>616</v>
      </c>
      <c r="H14" t="s">
        <v>1669</v>
      </c>
      <c r="I14" t="s">
        <v>215</v>
      </c>
      <c r="J14" t="s">
        <v>1670</v>
      </c>
      <c r="K14" t="s">
        <v>341</v>
      </c>
      <c r="L14" t="s">
        <v>1671</v>
      </c>
      <c r="M14" t="s">
        <v>300</v>
      </c>
      <c r="N14" t="s">
        <v>353</v>
      </c>
      <c r="O14" t="s">
        <v>150</v>
      </c>
      <c r="P14" t="s">
        <v>310</v>
      </c>
      <c r="Q14" t="s">
        <v>1672</v>
      </c>
      <c r="R14" t="s">
        <v>129</v>
      </c>
      <c r="S14" t="s">
        <v>302</v>
      </c>
      <c r="T14" t="s">
        <v>310</v>
      </c>
      <c r="V14" t="s">
        <v>215</v>
      </c>
      <c r="W14" t="s">
        <v>215</v>
      </c>
      <c r="X14" t="s">
        <v>215</v>
      </c>
      <c r="Y14" t="s">
        <v>215</v>
      </c>
      <c r="AB14" t="s">
        <v>553</v>
      </c>
      <c r="AE14">
        <v>48.4</v>
      </c>
      <c r="AF14">
        <v>55.85</v>
      </c>
      <c r="AG14">
        <v>40.950000000000003</v>
      </c>
      <c r="AH14">
        <v>52.74</v>
      </c>
      <c r="AI14">
        <v>52.74</v>
      </c>
      <c r="AJ14">
        <v>52.74</v>
      </c>
      <c r="AK14">
        <v>52.74</v>
      </c>
      <c r="AL14">
        <v>52.74</v>
      </c>
      <c r="AM14">
        <v>52.74</v>
      </c>
      <c r="AN14">
        <v>54.04</v>
      </c>
      <c r="AO14">
        <v>58.84</v>
      </c>
      <c r="AP14">
        <v>49.25</v>
      </c>
    </row>
    <row r="15" spans="1:42" x14ac:dyDescent="0.3">
      <c r="A15" t="s">
        <v>720</v>
      </c>
      <c r="B15" t="s">
        <v>98</v>
      </c>
      <c r="C15" t="s">
        <v>431</v>
      </c>
      <c r="D15" t="s">
        <v>59</v>
      </c>
      <c r="E15" t="s">
        <v>418</v>
      </c>
      <c r="F15" t="s">
        <v>1591</v>
      </c>
      <c r="G15" t="s">
        <v>721</v>
      </c>
      <c r="H15" t="s">
        <v>1673</v>
      </c>
      <c r="I15" t="s">
        <v>215</v>
      </c>
      <c r="J15" t="s">
        <v>1674</v>
      </c>
      <c r="K15" t="s">
        <v>341</v>
      </c>
      <c r="L15" t="s">
        <v>1642</v>
      </c>
      <c r="M15" t="s">
        <v>300</v>
      </c>
      <c r="N15" t="s">
        <v>405</v>
      </c>
      <c r="O15" t="s">
        <v>78</v>
      </c>
      <c r="P15" t="s">
        <v>303</v>
      </c>
      <c r="V15" t="s">
        <v>215</v>
      </c>
      <c r="W15" t="s">
        <v>215</v>
      </c>
      <c r="X15" t="s">
        <v>215</v>
      </c>
      <c r="Y15" t="s">
        <v>215</v>
      </c>
      <c r="AB15" t="s">
        <v>1675</v>
      </c>
      <c r="AE15">
        <v>208.42</v>
      </c>
      <c r="AF15">
        <v>293.51</v>
      </c>
      <c r="AG15">
        <v>123.32</v>
      </c>
      <c r="AH15">
        <v>198.25</v>
      </c>
      <c r="AI15">
        <v>263.75</v>
      </c>
      <c r="AJ15">
        <v>132.74</v>
      </c>
      <c r="AK15">
        <v>197.78</v>
      </c>
      <c r="AL15">
        <v>244.84</v>
      </c>
      <c r="AM15">
        <v>150.72999999999999</v>
      </c>
      <c r="AN15">
        <v>203.07</v>
      </c>
      <c r="AO15">
        <v>264.88</v>
      </c>
      <c r="AP15">
        <v>141.26</v>
      </c>
    </row>
    <row r="16" spans="1:42" x14ac:dyDescent="0.3">
      <c r="A16" t="s">
        <v>776</v>
      </c>
      <c r="B16" t="s">
        <v>98</v>
      </c>
      <c r="C16" t="s">
        <v>431</v>
      </c>
      <c r="D16" t="s">
        <v>52</v>
      </c>
      <c r="E16" t="s">
        <v>1516</v>
      </c>
      <c r="F16" t="s">
        <v>347</v>
      </c>
      <c r="G16" t="s">
        <v>892</v>
      </c>
      <c r="H16" t="s">
        <v>1676</v>
      </c>
      <c r="I16" t="s">
        <v>215</v>
      </c>
      <c r="J16" t="s">
        <v>1644</v>
      </c>
      <c r="K16" t="s">
        <v>341</v>
      </c>
      <c r="L16" t="s">
        <v>1645</v>
      </c>
      <c r="M16" t="s">
        <v>300</v>
      </c>
      <c r="N16" t="s">
        <v>77</v>
      </c>
      <c r="O16" t="s">
        <v>205</v>
      </c>
      <c r="U16" t="s">
        <v>934</v>
      </c>
      <c r="V16" t="s">
        <v>215</v>
      </c>
      <c r="W16" t="s">
        <v>215</v>
      </c>
      <c r="X16" t="s">
        <v>215</v>
      </c>
      <c r="Y16" t="s">
        <v>215</v>
      </c>
      <c r="AH16">
        <v>33.71</v>
      </c>
      <c r="AI16">
        <v>70.790000000000006</v>
      </c>
      <c r="AJ16">
        <v>-3.37</v>
      </c>
      <c r="AK16">
        <v>93.13</v>
      </c>
      <c r="AL16">
        <v>118.74</v>
      </c>
      <c r="AM16">
        <v>67.52</v>
      </c>
      <c r="AN16">
        <v>19.55</v>
      </c>
      <c r="AO16">
        <v>73.31</v>
      </c>
      <c r="AP16">
        <v>-34.21</v>
      </c>
    </row>
    <row r="17" spans="1:42" x14ac:dyDescent="0.3">
      <c r="A17" t="s">
        <v>795</v>
      </c>
      <c r="B17" t="s">
        <v>98</v>
      </c>
      <c r="C17" t="s">
        <v>431</v>
      </c>
      <c r="D17" t="s">
        <v>53</v>
      </c>
      <c r="E17" t="s">
        <v>1422</v>
      </c>
      <c r="F17" t="s">
        <v>340</v>
      </c>
      <c r="G17" t="s">
        <v>869</v>
      </c>
      <c r="H17" t="s">
        <v>1677</v>
      </c>
      <c r="I17" t="s">
        <v>215</v>
      </c>
      <c r="J17" t="s">
        <v>1678</v>
      </c>
      <c r="K17" t="s">
        <v>341</v>
      </c>
      <c r="L17" t="s">
        <v>1671</v>
      </c>
      <c r="M17" t="s">
        <v>323</v>
      </c>
      <c r="N17" t="s">
        <v>403</v>
      </c>
      <c r="O17" t="s">
        <v>134</v>
      </c>
      <c r="U17" t="s">
        <v>943</v>
      </c>
      <c r="V17" t="s">
        <v>215</v>
      </c>
      <c r="W17" t="s">
        <v>215</v>
      </c>
      <c r="X17" t="s">
        <v>215</v>
      </c>
      <c r="Y17" t="s">
        <v>215</v>
      </c>
      <c r="AH17">
        <v>121.76</v>
      </c>
      <c r="AI17">
        <v>188.5</v>
      </c>
      <c r="AJ17">
        <v>55.02</v>
      </c>
      <c r="AK17">
        <v>104.05</v>
      </c>
      <c r="AL17">
        <v>135.72999999999999</v>
      </c>
      <c r="AM17">
        <v>72.37</v>
      </c>
      <c r="AN17">
        <v>92.93</v>
      </c>
      <c r="AO17">
        <v>122.36</v>
      </c>
      <c r="AP17">
        <v>63.49</v>
      </c>
    </row>
    <row r="18" spans="1:42" x14ac:dyDescent="0.3">
      <c r="A18" t="s">
        <v>762</v>
      </c>
      <c r="B18" t="s">
        <v>98</v>
      </c>
      <c r="C18" t="s">
        <v>431</v>
      </c>
      <c r="D18" t="s">
        <v>58</v>
      </c>
      <c r="E18" t="s">
        <v>1351</v>
      </c>
      <c r="F18" t="s">
        <v>340</v>
      </c>
      <c r="G18" t="s">
        <v>1173</v>
      </c>
      <c r="H18" t="s">
        <v>1679</v>
      </c>
      <c r="I18" t="s">
        <v>215</v>
      </c>
      <c r="J18" t="s">
        <v>1680</v>
      </c>
      <c r="K18" t="s">
        <v>341</v>
      </c>
      <c r="L18" t="s">
        <v>1681</v>
      </c>
      <c r="M18" t="s">
        <v>323</v>
      </c>
      <c r="N18" t="s">
        <v>98</v>
      </c>
      <c r="O18" t="s">
        <v>133</v>
      </c>
      <c r="V18" t="s">
        <v>215</v>
      </c>
      <c r="W18" t="s">
        <v>215</v>
      </c>
      <c r="X18" t="s">
        <v>215</v>
      </c>
      <c r="Y18" t="s">
        <v>215</v>
      </c>
      <c r="AB18" t="s">
        <v>1682</v>
      </c>
      <c r="AE18">
        <v>21.4</v>
      </c>
      <c r="AF18">
        <v>22.93</v>
      </c>
      <c r="AG18">
        <v>19.87</v>
      </c>
      <c r="AH18">
        <v>18.61</v>
      </c>
      <c r="AI18">
        <v>20.16</v>
      </c>
      <c r="AJ18">
        <v>17.059999999999999</v>
      </c>
      <c r="AK18">
        <v>21.72</v>
      </c>
      <c r="AL18">
        <v>23.27</v>
      </c>
      <c r="AM18">
        <v>20.16</v>
      </c>
      <c r="AN18">
        <v>22.06</v>
      </c>
      <c r="AO18">
        <v>23.64</v>
      </c>
      <c r="AP18">
        <v>20.48</v>
      </c>
    </row>
    <row r="19" spans="1:42" x14ac:dyDescent="0.3">
      <c r="A19" t="s">
        <v>777</v>
      </c>
      <c r="B19" t="s">
        <v>98</v>
      </c>
      <c r="C19" t="s">
        <v>431</v>
      </c>
      <c r="D19" t="s">
        <v>52</v>
      </c>
      <c r="E19" t="s">
        <v>1516</v>
      </c>
      <c r="F19" t="s">
        <v>346</v>
      </c>
      <c r="G19" t="s">
        <v>893</v>
      </c>
      <c r="H19" t="s">
        <v>1683</v>
      </c>
      <c r="I19" t="s">
        <v>215</v>
      </c>
      <c r="J19" t="s">
        <v>1644</v>
      </c>
      <c r="K19" t="s">
        <v>341</v>
      </c>
      <c r="L19" t="s">
        <v>1645</v>
      </c>
      <c r="M19" t="s">
        <v>300</v>
      </c>
      <c r="N19" t="s">
        <v>309</v>
      </c>
      <c r="O19" t="s">
        <v>88</v>
      </c>
      <c r="U19" t="s">
        <v>921</v>
      </c>
      <c r="V19" t="s">
        <v>215</v>
      </c>
      <c r="W19" t="s">
        <v>215</v>
      </c>
      <c r="X19" t="s">
        <v>215</v>
      </c>
      <c r="Y19" t="s">
        <v>215</v>
      </c>
      <c r="AH19">
        <v>55.86</v>
      </c>
      <c r="AI19">
        <v>62.4</v>
      </c>
      <c r="AJ19">
        <v>49.33</v>
      </c>
      <c r="AK19">
        <v>91.27</v>
      </c>
      <c r="AL19">
        <v>104.84</v>
      </c>
      <c r="AM19">
        <v>77.69</v>
      </c>
      <c r="AN19">
        <v>30.14</v>
      </c>
      <c r="AO19">
        <v>78.37</v>
      </c>
      <c r="AP19">
        <v>-18.09</v>
      </c>
    </row>
    <row r="20" spans="1:42" x14ac:dyDescent="0.3">
      <c r="A20" t="s">
        <v>814</v>
      </c>
      <c r="B20" t="s">
        <v>98</v>
      </c>
      <c r="C20" t="s">
        <v>431</v>
      </c>
      <c r="D20" t="s">
        <v>59</v>
      </c>
      <c r="E20" t="s">
        <v>1560</v>
      </c>
      <c r="F20" t="s">
        <v>340</v>
      </c>
      <c r="G20" t="s">
        <v>1176</v>
      </c>
      <c r="H20" t="s">
        <v>1684</v>
      </c>
      <c r="I20" t="s">
        <v>215</v>
      </c>
      <c r="J20" t="s">
        <v>1685</v>
      </c>
      <c r="K20" t="s">
        <v>341</v>
      </c>
      <c r="L20" t="s">
        <v>1661</v>
      </c>
      <c r="M20" t="s">
        <v>300</v>
      </c>
      <c r="N20" t="s">
        <v>309</v>
      </c>
      <c r="O20" t="s">
        <v>133</v>
      </c>
      <c r="U20" t="s">
        <v>1170</v>
      </c>
      <c r="V20" t="s">
        <v>215</v>
      </c>
      <c r="W20" t="s">
        <v>215</v>
      </c>
      <c r="X20" t="s">
        <v>215</v>
      </c>
      <c r="Y20" t="s">
        <v>215</v>
      </c>
      <c r="AH20">
        <v>91.33</v>
      </c>
      <c r="AI20">
        <v>136.99</v>
      </c>
      <c r="AJ20">
        <v>45.66</v>
      </c>
      <c r="AK20">
        <v>131.91999999999999</v>
      </c>
      <c r="AL20">
        <v>131.91999999999999</v>
      </c>
      <c r="AM20">
        <v>131.91999999999999</v>
      </c>
      <c r="AN20">
        <v>40.590000000000003</v>
      </c>
      <c r="AO20">
        <v>131.91999999999999</v>
      </c>
      <c r="AP20">
        <v>-50.74</v>
      </c>
    </row>
    <row r="21" spans="1:42" x14ac:dyDescent="0.3">
      <c r="A21" t="s">
        <v>778</v>
      </c>
      <c r="B21" t="s">
        <v>98</v>
      </c>
      <c r="C21" t="s">
        <v>431</v>
      </c>
      <c r="D21" t="s">
        <v>52</v>
      </c>
      <c r="E21" t="s">
        <v>1516</v>
      </c>
      <c r="F21" t="s">
        <v>368</v>
      </c>
      <c r="G21" t="s">
        <v>891</v>
      </c>
      <c r="H21" t="s">
        <v>1686</v>
      </c>
      <c r="I21" t="s">
        <v>215</v>
      </c>
      <c r="J21" t="s">
        <v>1644</v>
      </c>
      <c r="K21" t="s">
        <v>341</v>
      </c>
      <c r="L21" t="s">
        <v>1645</v>
      </c>
      <c r="M21" t="s">
        <v>300</v>
      </c>
      <c r="N21" t="s">
        <v>304</v>
      </c>
      <c r="R21" t="s">
        <v>354</v>
      </c>
      <c r="U21" t="s">
        <v>948</v>
      </c>
      <c r="V21" t="s">
        <v>215</v>
      </c>
      <c r="W21" t="s">
        <v>215</v>
      </c>
      <c r="X21" t="s">
        <v>215</v>
      </c>
      <c r="Y21" t="s">
        <v>215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</row>
    <row r="22" spans="1:42" x14ac:dyDescent="0.3">
      <c r="A22" t="s">
        <v>666</v>
      </c>
      <c r="B22" t="s">
        <v>98</v>
      </c>
      <c r="C22" t="s">
        <v>431</v>
      </c>
      <c r="D22" t="s">
        <v>59</v>
      </c>
      <c r="E22" t="s">
        <v>1563</v>
      </c>
      <c r="F22" t="s">
        <v>340</v>
      </c>
      <c r="G22" t="s">
        <v>667</v>
      </c>
      <c r="H22" t="s">
        <v>1687</v>
      </c>
      <c r="I22" t="s">
        <v>215</v>
      </c>
      <c r="J22" t="s">
        <v>1641</v>
      </c>
      <c r="K22" t="s">
        <v>341</v>
      </c>
      <c r="L22" t="s">
        <v>1642</v>
      </c>
      <c r="M22" t="s">
        <v>303</v>
      </c>
      <c r="N22" t="s">
        <v>317</v>
      </c>
      <c r="O22" t="s">
        <v>310</v>
      </c>
      <c r="P22" t="s">
        <v>299</v>
      </c>
      <c r="V22" t="s">
        <v>215</v>
      </c>
      <c r="W22" t="s">
        <v>215</v>
      </c>
      <c r="X22" t="s">
        <v>215</v>
      </c>
      <c r="Y22" t="s">
        <v>215</v>
      </c>
      <c r="AB22" t="s">
        <v>547</v>
      </c>
      <c r="AE22">
        <v>75.87</v>
      </c>
      <c r="AF22">
        <v>98.02</v>
      </c>
      <c r="AG22">
        <v>53.72</v>
      </c>
      <c r="AH22">
        <v>216.49</v>
      </c>
      <c r="AI22">
        <v>327.08999999999997</v>
      </c>
      <c r="AJ22">
        <v>105.88</v>
      </c>
      <c r="AK22">
        <v>229.91</v>
      </c>
      <c r="AL22">
        <v>283.24</v>
      </c>
      <c r="AM22">
        <v>176.57</v>
      </c>
      <c r="AN22">
        <v>140.62</v>
      </c>
      <c r="AO22">
        <v>200.68</v>
      </c>
      <c r="AP22">
        <v>80.569999999999993</v>
      </c>
    </row>
    <row r="23" spans="1:42" x14ac:dyDescent="0.3">
      <c r="A23" t="s">
        <v>815</v>
      </c>
      <c r="B23" t="s">
        <v>98</v>
      </c>
      <c r="C23" t="s">
        <v>431</v>
      </c>
      <c r="D23" t="s">
        <v>59</v>
      </c>
      <c r="E23" t="s">
        <v>1557</v>
      </c>
      <c r="F23" t="s">
        <v>363</v>
      </c>
      <c r="G23" t="s">
        <v>1180</v>
      </c>
      <c r="H23" t="s">
        <v>1688</v>
      </c>
      <c r="I23" t="s">
        <v>215</v>
      </c>
      <c r="J23" t="s">
        <v>1685</v>
      </c>
      <c r="K23" t="s">
        <v>341</v>
      </c>
      <c r="L23" t="s">
        <v>1661</v>
      </c>
      <c r="M23" t="s">
        <v>300</v>
      </c>
      <c r="N23" t="s">
        <v>1689</v>
      </c>
      <c r="O23" t="s">
        <v>362</v>
      </c>
      <c r="U23" t="s">
        <v>1182</v>
      </c>
      <c r="V23" t="s">
        <v>215</v>
      </c>
      <c r="W23" t="s">
        <v>215</v>
      </c>
      <c r="X23" t="s">
        <v>215</v>
      </c>
      <c r="Y23" t="s">
        <v>215</v>
      </c>
      <c r="AH23">
        <v>66.400000000000006</v>
      </c>
      <c r="AI23">
        <v>110.67</v>
      </c>
      <c r="AJ23">
        <v>22.13</v>
      </c>
      <c r="AK23">
        <v>104.63</v>
      </c>
      <c r="AL23">
        <v>136.76</v>
      </c>
      <c r="AM23">
        <v>72.5</v>
      </c>
    </row>
    <row r="24" spans="1:42" x14ac:dyDescent="0.3">
      <c r="A24" t="s">
        <v>816</v>
      </c>
      <c r="B24" t="s">
        <v>98</v>
      </c>
      <c r="C24" t="s">
        <v>431</v>
      </c>
      <c r="D24" t="s">
        <v>59</v>
      </c>
      <c r="E24" t="s">
        <v>1565</v>
      </c>
      <c r="F24" t="s">
        <v>340</v>
      </c>
      <c r="G24" t="s">
        <v>1183</v>
      </c>
      <c r="H24" t="s">
        <v>1690</v>
      </c>
      <c r="I24" t="s">
        <v>215</v>
      </c>
      <c r="J24" t="s">
        <v>1641</v>
      </c>
      <c r="K24" t="s">
        <v>341</v>
      </c>
      <c r="L24" t="s">
        <v>1642</v>
      </c>
      <c r="M24" t="s">
        <v>323</v>
      </c>
      <c r="N24" t="s">
        <v>351</v>
      </c>
      <c r="O24" t="s">
        <v>204</v>
      </c>
      <c r="U24" t="s">
        <v>1186</v>
      </c>
      <c r="V24" t="s">
        <v>215</v>
      </c>
      <c r="W24" t="s">
        <v>215</v>
      </c>
      <c r="X24" t="s">
        <v>215</v>
      </c>
      <c r="Y24" t="s">
        <v>215</v>
      </c>
      <c r="AB24" t="s">
        <v>552</v>
      </c>
      <c r="AE24">
        <v>17.510000000000002</v>
      </c>
      <c r="AF24">
        <v>20.79</v>
      </c>
      <c r="AG24">
        <v>14.22</v>
      </c>
      <c r="AH24">
        <v>34.299999999999997</v>
      </c>
      <c r="AI24">
        <v>49.72</v>
      </c>
      <c r="AJ24">
        <v>18.88</v>
      </c>
      <c r="AK24">
        <v>56.71</v>
      </c>
      <c r="AL24">
        <v>60.76</v>
      </c>
      <c r="AM24">
        <v>52.66</v>
      </c>
      <c r="AN24">
        <v>42.75</v>
      </c>
      <c r="AO24">
        <v>52.39</v>
      </c>
      <c r="AP24">
        <v>33.119999999999997</v>
      </c>
    </row>
    <row r="25" spans="1:42" x14ac:dyDescent="0.3">
      <c r="A25" t="s">
        <v>779</v>
      </c>
      <c r="B25" t="s">
        <v>98</v>
      </c>
      <c r="C25" t="s">
        <v>431</v>
      </c>
      <c r="D25" t="s">
        <v>52</v>
      </c>
      <c r="E25" t="s">
        <v>1516</v>
      </c>
      <c r="F25" t="s">
        <v>349</v>
      </c>
      <c r="G25" t="s">
        <v>894</v>
      </c>
      <c r="H25" t="s">
        <v>1691</v>
      </c>
      <c r="I25" t="s">
        <v>215</v>
      </c>
      <c r="J25" t="s">
        <v>1644</v>
      </c>
      <c r="K25" t="s">
        <v>341</v>
      </c>
      <c r="L25" t="s">
        <v>1645</v>
      </c>
      <c r="M25" t="s">
        <v>300</v>
      </c>
      <c r="N25" t="s">
        <v>317</v>
      </c>
      <c r="O25" t="s">
        <v>133</v>
      </c>
      <c r="U25" t="s">
        <v>951</v>
      </c>
      <c r="V25" t="s">
        <v>215</v>
      </c>
      <c r="W25" t="s">
        <v>215</v>
      </c>
      <c r="X25" t="s">
        <v>215</v>
      </c>
      <c r="Y25" t="s">
        <v>215</v>
      </c>
      <c r="AH25">
        <v>73.28</v>
      </c>
      <c r="AI25">
        <v>109.92</v>
      </c>
      <c r="AJ25">
        <v>36.64</v>
      </c>
      <c r="AK25">
        <v>171.3</v>
      </c>
      <c r="AL25">
        <v>193.18</v>
      </c>
      <c r="AM25">
        <v>149.41</v>
      </c>
      <c r="AN25">
        <v>25.18</v>
      </c>
      <c r="AO25">
        <v>109.12</v>
      </c>
      <c r="AP25">
        <v>-58.76</v>
      </c>
    </row>
    <row r="26" spans="1:42" x14ac:dyDescent="0.3">
      <c r="A26" t="s">
        <v>780</v>
      </c>
      <c r="B26" t="s">
        <v>98</v>
      </c>
      <c r="C26" t="s">
        <v>431</v>
      </c>
      <c r="D26" t="s">
        <v>52</v>
      </c>
      <c r="E26" t="s">
        <v>369</v>
      </c>
      <c r="F26" t="s">
        <v>534</v>
      </c>
      <c r="G26" t="s">
        <v>895</v>
      </c>
      <c r="H26" t="s">
        <v>1692</v>
      </c>
      <c r="I26" t="s">
        <v>215</v>
      </c>
      <c r="J26" t="s">
        <v>1649</v>
      </c>
      <c r="K26" t="s">
        <v>341</v>
      </c>
      <c r="L26" t="s">
        <v>1650</v>
      </c>
      <c r="M26" t="s">
        <v>300</v>
      </c>
      <c r="N26" t="s">
        <v>320</v>
      </c>
      <c r="O26" t="s">
        <v>302</v>
      </c>
      <c r="V26" t="s">
        <v>215</v>
      </c>
      <c r="W26" t="s">
        <v>215</v>
      </c>
      <c r="X26" t="s">
        <v>215</v>
      </c>
      <c r="Y26" t="s">
        <v>215</v>
      </c>
      <c r="AN26">
        <v>13.38</v>
      </c>
      <c r="AO26">
        <v>173.97</v>
      </c>
      <c r="AP26">
        <v>-147.21</v>
      </c>
    </row>
    <row r="27" spans="1:42" x14ac:dyDescent="0.3">
      <c r="A27" t="s">
        <v>817</v>
      </c>
      <c r="B27" t="s">
        <v>98</v>
      </c>
      <c r="C27" t="s">
        <v>431</v>
      </c>
      <c r="D27" t="s">
        <v>59</v>
      </c>
      <c r="E27" t="s">
        <v>369</v>
      </c>
      <c r="F27" t="s">
        <v>535</v>
      </c>
      <c r="G27" t="s">
        <v>1187</v>
      </c>
      <c r="H27" t="s">
        <v>1693</v>
      </c>
      <c r="I27" t="s">
        <v>215</v>
      </c>
      <c r="J27" t="s">
        <v>1674</v>
      </c>
      <c r="K27" t="s">
        <v>341</v>
      </c>
      <c r="L27" t="s">
        <v>1642</v>
      </c>
      <c r="M27" t="s">
        <v>300</v>
      </c>
      <c r="N27" t="s">
        <v>130</v>
      </c>
      <c r="O27" t="s">
        <v>298</v>
      </c>
      <c r="V27" t="s">
        <v>215</v>
      </c>
      <c r="W27" t="s">
        <v>215</v>
      </c>
      <c r="X27" t="s">
        <v>215</v>
      </c>
      <c r="Y27" t="s">
        <v>215</v>
      </c>
      <c r="AH27">
        <v>8.7899999999999991</v>
      </c>
      <c r="AI27">
        <v>114.32</v>
      </c>
      <c r="AJ27">
        <v>-96.73</v>
      </c>
      <c r="AK27">
        <v>17.190000000000001</v>
      </c>
      <c r="AL27">
        <v>223.42</v>
      </c>
      <c r="AM27">
        <v>-189.05</v>
      </c>
      <c r="AN27">
        <v>9.3000000000000007</v>
      </c>
      <c r="AO27">
        <v>120.87</v>
      </c>
      <c r="AP27">
        <v>-102.27</v>
      </c>
    </row>
    <row r="28" spans="1:42" x14ac:dyDescent="0.3">
      <c r="A28" t="s">
        <v>796</v>
      </c>
      <c r="B28" t="s">
        <v>98</v>
      </c>
      <c r="C28" t="s">
        <v>431</v>
      </c>
      <c r="D28" t="s">
        <v>53</v>
      </c>
      <c r="E28" t="s">
        <v>369</v>
      </c>
      <c r="F28" t="s">
        <v>1451</v>
      </c>
      <c r="G28" t="s">
        <v>754</v>
      </c>
      <c r="H28" t="s">
        <v>1694</v>
      </c>
      <c r="I28" t="s">
        <v>215</v>
      </c>
      <c r="J28" t="s">
        <v>1695</v>
      </c>
      <c r="K28" t="s">
        <v>341</v>
      </c>
      <c r="L28" t="s">
        <v>1671</v>
      </c>
      <c r="M28" t="s">
        <v>300</v>
      </c>
      <c r="N28" t="s">
        <v>309</v>
      </c>
      <c r="O28" t="s">
        <v>297</v>
      </c>
      <c r="V28" t="s">
        <v>215</v>
      </c>
      <c r="W28" t="s">
        <v>215</v>
      </c>
      <c r="X28" t="s">
        <v>215</v>
      </c>
      <c r="Y28" t="s">
        <v>215</v>
      </c>
      <c r="AB28" t="s">
        <v>359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2.42</v>
      </c>
      <c r="AL28">
        <v>6.89</v>
      </c>
      <c r="AM28">
        <v>-2.0499999999999998</v>
      </c>
      <c r="AN28">
        <v>0</v>
      </c>
      <c r="AO28">
        <v>0</v>
      </c>
      <c r="AP28">
        <v>0</v>
      </c>
    </row>
    <row r="29" spans="1:42" x14ac:dyDescent="0.3">
      <c r="A29" t="s">
        <v>781</v>
      </c>
      <c r="B29" t="s">
        <v>98</v>
      </c>
      <c r="C29" t="s">
        <v>431</v>
      </c>
      <c r="D29" t="s">
        <v>52</v>
      </c>
      <c r="E29" t="s">
        <v>1491</v>
      </c>
      <c r="F29" t="s">
        <v>340</v>
      </c>
      <c r="G29" t="s">
        <v>896</v>
      </c>
      <c r="H29" t="s">
        <v>1696</v>
      </c>
      <c r="I29" t="s">
        <v>215</v>
      </c>
      <c r="J29" t="s">
        <v>1649</v>
      </c>
      <c r="K29" t="s">
        <v>341</v>
      </c>
      <c r="L29" t="s">
        <v>1650</v>
      </c>
      <c r="M29" t="s">
        <v>300</v>
      </c>
      <c r="N29" t="s">
        <v>390</v>
      </c>
      <c r="O29" t="s">
        <v>328</v>
      </c>
      <c r="V29" t="s">
        <v>215</v>
      </c>
      <c r="W29" t="s">
        <v>215</v>
      </c>
      <c r="X29" t="s">
        <v>215</v>
      </c>
      <c r="Y29" t="s">
        <v>215</v>
      </c>
      <c r="AB29" t="s">
        <v>1697</v>
      </c>
      <c r="AE29">
        <v>55.75</v>
      </c>
      <c r="AF29">
        <v>56.79</v>
      </c>
      <c r="AG29">
        <v>54.71</v>
      </c>
      <c r="AH29">
        <v>45.7</v>
      </c>
      <c r="AI29">
        <v>79.040000000000006</v>
      </c>
      <c r="AJ29">
        <v>12.37</v>
      </c>
      <c r="AK29">
        <v>90.1</v>
      </c>
      <c r="AL29">
        <v>95.84</v>
      </c>
      <c r="AM29">
        <v>84.36</v>
      </c>
      <c r="AN29">
        <v>89.21</v>
      </c>
      <c r="AO29">
        <v>101.25</v>
      </c>
      <c r="AP29">
        <v>77.180000000000007</v>
      </c>
    </row>
    <row r="30" spans="1:42" x14ac:dyDescent="0.3">
      <c r="A30" t="s">
        <v>668</v>
      </c>
      <c r="B30" t="s">
        <v>98</v>
      </c>
      <c r="C30" t="s">
        <v>431</v>
      </c>
      <c r="D30" t="s">
        <v>60</v>
      </c>
      <c r="E30" t="s">
        <v>1614</v>
      </c>
      <c r="F30" t="s">
        <v>340</v>
      </c>
      <c r="G30" t="s">
        <v>669</v>
      </c>
      <c r="H30" t="s">
        <v>1698</v>
      </c>
      <c r="I30" t="s">
        <v>215</v>
      </c>
      <c r="J30" t="s">
        <v>1638</v>
      </c>
      <c r="K30" t="s">
        <v>341</v>
      </c>
      <c r="L30" t="s">
        <v>1639</v>
      </c>
      <c r="M30" t="s">
        <v>300</v>
      </c>
      <c r="N30" t="s">
        <v>401</v>
      </c>
      <c r="O30" t="s">
        <v>107</v>
      </c>
      <c r="P30" t="s">
        <v>303</v>
      </c>
      <c r="Q30" t="s">
        <v>297</v>
      </c>
      <c r="R30" t="s">
        <v>354</v>
      </c>
      <c r="S30" t="s">
        <v>302</v>
      </c>
      <c r="T30" t="s">
        <v>323</v>
      </c>
      <c r="V30" t="s">
        <v>215</v>
      </c>
      <c r="W30" t="s">
        <v>215</v>
      </c>
      <c r="X30" t="s">
        <v>215</v>
      </c>
      <c r="Y30" t="s">
        <v>215</v>
      </c>
      <c r="AB30" t="s">
        <v>365</v>
      </c>
      <c r="AE30">
        <v>9.07</v>
      </c>
      <c r="AF30">
        <v>9.07</v>
      </c>
      <c r="AG30">
        <v>9.07</v>
      </c>
      <c r="AH30">
        <v>6.28</v>
      </c>
      <c r="AI30">
        <v>9.07</v>
      </c>
      <c r="AJ30">
        <v>3.49</v>
      </c>
      <c r="AK30">
        <v>9.07</v>
      </c>
      <c r="AL30">
        <v>9.07</v>
      </c>
      <c r="AM30">
        <v>9.07</v>
      </c>
      <c r="AN30">
        <v>9.1</v>
      </c>
      <c r="AO30">
        <v>9.16</v>
      </c>
      <c r="AP30">
        <v>9.0399999999999991</v>
      </c>
    </row>
    <row r="31" spans="1:42" x14ac:dyDescent="0.3">
      <c r="A31" t="s">
        <v>764</v>
      </c>
      <c r="B31" t="s">
        <v>98</v>
      </c>
      <c r="C31" t="s">
        <v>431</v>
      </c>
      <c r="D31" t="s">
        <v>58</v>
      </c>
      <c r="E31" t="s">
        <v>1355</v>
      </c>
      <c r="F31" t="s">
        <v>340</v>
      </c>
      <c r="G31" t="s">
        <v>519</v>
      </c>
      <c r="H31" t="s">
        <v>1699</v>
      </c>
      <c r="I31" t="s">
        <v>215</v>
      </c>
      <c r="J31" t="s">
        <v>1680</v>
      </c>
      <c r="K31" t="s">
        <v>341</v>
      </c>
      <c r="L31" t="s">
        <v>1681</v>
      </c>
      <c r="M31" t="s">
        <v>302</v>
      </c>
      <c r="N31" t="s">
        <v>319</v>
      </c>
      <c r="O31" t="s">
        <v>344</v>
      </c>
      <c r="V31" t="s">
        <v>215</v>
      </c>
      <c r="W31" t="s">
        <v>215</v>
      </c>
      <c r="X31" t="s">
        <v>215</v>
      </c>
      <c r="Y31" t="s">
        <v>215</v>
      </c>
      <c r="AB31" t="s">
        <v>1700</v>
      </c>
      <c r="AE31">
        <v>18.11</v>
      </c>
      <c r="AF31">
        <v>19.62</v>
      </c>
      <c r="AG31">
        <v>16.600000000000001</v>
      </c>
      <c r="AH31">
        <v>18.579999999999998</v>
      </c>
      <c r="AI31">
        <v>20.13</v>
      </c>
      <c r="AJ31">
        <v>17.03</v>
      </c>
      <c r="AK31">
        <v>25.02</v>
      </c>
      <c r="AL31">
        <v>29.71</v>
      </c>
      <c r="AM31">
        <v>20.32</v>
      </c>
      <c r="AN31">
        <v>18.760000000000002</v>
      </c>
      <c r="AO31">
        <v>20.32</v>
      </c>
      <c r="AP31">
        <v>17.2</v>
      </c>
    </row>
    <row r="32" spans="1:42" x14ac:dyDescent="0.3">
      <c r="A32" t="s">
        <v>818</v>
      </c>
      <c r="B32" t="s">
        <v>98</v>
      </c>
      <c r="C32" t="s">
        <v>431</v>
      </c>
      <c r="D32" t="s">
        <v>59</v>
      </c>
      <c r="E32" t="s">
        <v>1474</v>
      </c>
      <c r="F32" t="s">
        <v>346</v>
      </c>
      <c r="G32" t="s">
        <v>1197</v>
      </c>
      <c r="H32" t="s">
        <v>1701</v>
      </c>
      <c r="I32" t="s">
        <v>1702</v>
      </c>
      <c r="J32" t="s">
        <v>1703</v>
      </c>
      <c r="K32" t="s">
        <v>341</v>
      </c>
      <c r="L32" t="s">
        <v>1645</v>
      </c>
      <c r="M32" t="s">
        <v>300</v>
      </c>
      <c r="N32" t="s">
        <v>149</v>
      </c>
      <c r="O32" t="s">
        <v>205</v>
      </c>
      <c r="U32" t="s">
        <v>1042</v>
      </c>
      <c r="V32" t="s">
        <v>215</v>
      </c>
      <c r="W32" t="s">
        <v>215</v>
      </c>
      <c r="X32" t="s">
        <v>215</v>
      </c>
      <c r="Y32" t="s">
        <v>215</v>
      </c>
      <c r="AH32">
        <v>104.9</v>
      </c>
      <c r="AI32">
        <v>198.15</v>
      </c>
      <c r="AJ32">
        <v>11.66</v>
      </c>
      <c r="AK32">
        <v>194.82</v>
      </c>
      <c r="AL32">
        <v>194.82</v>
      </c>
      <c r="AM32">
        <v>194.82</v>
      </c>
      <c r="AN32">
        <v>29.97</v>
      </c>
      <c r="AO32">
        <v>127.38</v>
      </c>
      <c r="AP32">
        <v>-67.44</v>
      </c>
    </row>
    <row r="33" spans="1:42" x14ac:dyDescent="0.3">
      <c r="A33" t="s">
        <v>1199</v>
      </c>
      <c r="B33" t="s">
        <v>98</v>
      </c>
      <c r="C33" t="s">
        <v>431</v>
      </c>
      <c r="D33" t="s">
        <v>59</v>
      </c>
      <c r="E33" t="s">
        <v>1585</v>
      </c>
      <c r="F33" t="s">
        <v>340</v>
      </c>
      <c r="G33" t="s">
        <v>1200</v>
      </c>
      <c r="H33" t="s">
        <v>1704</v>
      </c>
      <c r="I33" t="s">
        <v>215</v>
      </c>
      <c r="J33" t="s">
        <v>1664</v>
      </c>
      <c r="K33" t="s">
        <v>341</v>
      </c>
      <c r="L33" t="s">
        <v>1705</v>
      </c>
      <c r="M33" t="s">
        <v>303</v>
      </c>
      <c r="N33" t="s">
        <v>150</v>
      </c>
      <c r="O33" t="s">
        <v>327</v>
      </c>
      <c r="U33" t="s">
        <v>1203</v>
      </c>
      <c r="V33" t="s">
        <v>215</v>
      </c>
      <c r="W33" t="s">
        <v>215</v>
      </c>
      <c r="X33" t="s">
        <v>215</v>
      </c>
      <c r="Y33" t="s">
        <v>215</v>
      </c>
      <c r="AH33">
        <v>63.39</v>
      </c>
      <c r="AI33">
        <v>105.65</v>
      </c>
      <c r="AJ33">
        <v>21.13</v>
      </c>
      <c r="AK33">
        <v>49.96</v>
      </c>
      <c r="AL33">
        <v>102.51</v>
      </c>
      <c r="AM33">
        <v>-2.59</v>
      </c>
      <c r="AN33">
        <v>0</v>
      </c>
      <c r="AO33">
        <v>57.24</v>
      </c>
      <c r="AP33">
        <v>-57.24</v>
      </c>
    </row>
    <row r="34" spans="1:42" x14ac:dyDescent="0.3">
      <c r="A34" t="s">
        <v>819</v>
      </c>
      <c r="B34" t="s">
        <v>98</v>
      </c>
      <c r="C34" t="s">
        <v>431</v>
      </c>
      <c r="D34" t="s">
        <v>59</v>
      </c>
      <c r="E34" t="s">
        <v>1567</v>
      </c>
      <c r="F34" t="s">
        <v>340</v>
      </c>
      <c r="G34" t="s">
        <v>1204</v>
      </c>
      <c r="H34" t="s">
        <v>1706</v>
      </c>
      <c r="I34" t="s">
        <v>215</v>
      </c>
      <c r="J34" t="s">
        <v>1707</v>
      </c>
      <c r="K34" t="s">
        <v>341</v>
      </c>
      <c r="L34" t="s">
        <v>1661</v>
      </c>
      <c r="M34" t="s">
        <v>300</v>
      </c>
      <c r="N34" t="s">
        <v>315</v>
      </c>
      <c r="O34" t="s">
        <v>392</v>
      </c>
      <c r="U34" t="s">
        <v>1206</v>
      </c>
      <c r="V34" t="s">
        <v>215</v>
      </c>
      <c r="W34" t="s">
        <v>215</v>
      </c>
      <c r="X34" t="s">
        <v>215</v>
      </c>
      <c r="Y34" t="s">
        <v>215</v>
      </c>
      <c r="AE34">
        <v>111.8</v>
      </c>
      <c r="AF34">
        <v>132.13</v>
      </c>
      <c r="AG34">
        <v>91.47</v>
      </c>
      <c r="AH34">
        <v>121.38</v>
      </c>
      <c r="AI34">
        <v>151.72</v>
      </c>
      <c r="AJ34">
        <v>91.03</v>
      </c>
      <c r="AK34">
        <v>149.04</v>
      </c>
      <c r="AL34">
        <v>149.04</v>
      </c>
      <c r="AM34">
        <v>149.04</v>
      </c>
      <c r="AN34">
        <v>119.74</v>
      </c>
      <c r="AO34">
        <v>155.66</v>
      </c>
      <c r="AP34">
        <v>83.82</v>
      </c>
    </row>
    <row r="35" spans="1:42" x14ac:dyDescent="0.3">
      <c r="A35" t="s">
        <v>670</v>
      </c>
      <c r="B35" t="s">
        <v>98</v>
      </c>
      <c r="C35" t="s">
        <v>431</v>
      </c>
      <c r="D35" t="s">
        <v>60</v>
      </c>
      <c r="E35" t="s">
        <v>1616</v>
      </c>
      <c r="F35" t="s">
        <v>340</v>
      </c>
      <c r="G35" t="s">
        <v>671</v>
      </c>
      <c r="H35" t="s">
        <v>1708</v>
      </c>
      <c r="I35" t="s">
        <v>215</v>
      </c>
      <c r="J35" t="s">
        <v>1709</v>
      </c>
      <c r="K35" t="s">
        <v>341</v>
      </c>
      <c r="L35" t="s">
        <v>1710</v>
      </c>
      <c r="M35" t="s">
        <v>300</v>
      </c>
      <c r="N35" t="s">
        <v>323</v>
      </c>
      <c r="O35" t="s">
        <v>311</v>
      </c>
      <c r="P35" t="s">
        <v>416</v>
      </c>
      <c r="Q35" t="s">
        <v>1711</v>
      </c>
      <c r="R35" t="s">
        <v>392</v>
      </c>
      <c r="S35" t="s">
        <v>299</v>
      </c>
      <c r="T35" t="s">
        <v>95</v>
      </c>
      <c r="V35" t="s">
        <v>215</v>
      </c>
      <c r="W35" t="s">
        <v>215</v>
      </c>
      <c r="X35" t="s">
        <v>215</v>
      </c>
      <c r="Y35" t="s">
        <v>215</v>
      </c>
      <c r="AB35" t="s">
        <v>1712</v>
      </c>
      <c r="AE35">
        <v>111.07</v>
      </c>
      <c r="AF35">
        <v>113.6</v>
      </c>
      <c r="AG35">
        <v>108.53</v>
      </c>
      <c r="AH35">
        <v>106.96</v>
      </c>
      <c r="AI35">
        <v>111.38</v>
      </c>
      <c r="AJ35">
        <v>102.55</v>
      </c>
      <c r="AK35">
        <v>102.98</v>
      </c>
      <c r="AL35">
        <v>107.76</v>
      </c>
      <c r="AM35">
        <v>98.2</v>
      </c>
      <c r="AN35">
        <v>95.1</v>
      </c>
      <c r="AO35">
        <v>105.48</v>
      </c>
      <c r="AP35">
        <v>84.72</v>
      </c>
    </row>
    <row r="36" spans="1:42" x14ac:dyDescent="0.3">
      <c r="A36" t="s">
        <v>672</v>
      </c>
      <c r="B36" t="s">
        <v>98</v>
      </c>
      <c r="C36" t="s">
        <v>431</v>
      </c>
      <c r="D36" t="s">
        <v>60</v>
      </c>
      <c r="E36" t="s">
        <v>1618</v>
      </c>
      <c r="F36" t="s">
        <v>340</v>
      </c>
      <c r="G36" t="s">
        <v>673</v>
      </c>
      <c r="H36" t="s">
        <v>1713</v>
      </c>
      <c r="I36" t="s">
        <v>215</v>
      </c>
      <c r="J36" t="s">
        <v>1709</v>
      </c>
      <c r="K36" t="s">
        <v>341</v>
      </c>
      <c r="L36" t="s">
        <v>1710</v>
      </c>
      <c r="M36" t="s">
        <v>300</v>
      </c>
      <c r="N36" t="s">
        <v>391</v>
      </c>
      <c r="O36" t="s">
        <v>307</v>
      </c>
      <c r="P36" t="s">
        <v>299</v>
      </c>
      <c r="V36" t="s">
        <v>215</v>
      </c>
      <c r="W36" t="s">
        <v>215</v>
      </c>
      <c r="X36" t="s">
        <v>215</v>
      </c>
      <c r="Y36" t="s">
        <v>215</v>
      </c>
      <c r="AB36" t="s">
        <v>427</v>
      </c>
      <c r="AE36">
        <v>69.19</v>
      </c>
      <c r="AF36">
        <v>70.39</v>
      </c>
      <c r="AG36">
        <v>67.989999999999995</v>
      </c>
      <c r="AH36">
        <v>65.86</v>
      </c>
      <c r="AI36">
        <v>68.010000000000005</v>
      </c>
      <c r="AJ36">
        <v>63.71</v>
      </c>
      <c r="AK36">
        <v>65.88</v>
      </c>
      <c r="AL36">
        <v>65.88</v>
      </c>
      <c r="AM36">
        <v>65.88</v>
      </c>
      <c r="AN36">
        <v>68.38</v>
      </c>
      <c r="AO36">
        <v>71.849999999999994</v>
      </c>
      <c r="AP36">
        <v>64.92</v>
      </c>
    </row>
    <row r="37" spans="1:42" x14ac:dyDescent="0.3">
      <c r="A37" t="s">
        <v>674</v>
      </c>
      <c r="B37" t="s">
        <v>98</v>
      </c>
      <c r="C37" t="s">
        <v>431</v>
      </c>
      <c r="D37" t="s">
        <v>58</v>
      </c>
      <c r="E37" t="s">
        <v>1357</v>
      </c>
      <c r="F37" t="s">
        <v>340</v>
      </c>
      <c r="G37" t="s">
        <v>675</v>
      </c>
      <c r="H37" t="s">
        <v>1714</v>
      </c>
      <c r="I37" t="s">
        <v>215</v>
      </c>
      <c r="J37" t="s">
        <v>1715</v>
      </c>
      <c r="K37" t="s">
        <v>341</v>
      </c>
      <c r="L37" t="s">
        <v>1716</v>
      </c>
      <c r="M37" t="s">
        <v>300</v>
      </c>
      <c r="N37" t="s">
        <v>314</v>
      </c>
      <c r="O37" t="s">
        <v>149</v>
      </c>
      <c r="P37" t="s">
        <v>299</v>
      </c>
      <c r="V37" t="s">
        <v>215</v>
      </c>
      <c r="W37" t="s">
        <v>215</v>
      </c>
      <c r="X37" t="s">
        <v>215</v>
      </c>
      <c r="Y37" t="s">
        <v>215</v>
      </c>
      <c r="AB37" t="s">
        <v>1717</v>
      </c>
      <c r="AE37">
        <v>77.91</v>
      </c>
      <c r="AF37">
        <v>80.739999999999995</v>
      </c>
      <c r="AG37">
        <v>75.09</v>
      </c>
      <c r="AH37">
        <v>109.58</v>
      </c>
      <c r="AI37">
        <v>128.11000000000001</v>
      </c>
      <c r="AJ37">
        <v>91.06</v>
      </c>
      <c r="AK37">
        <v>152.51</v>
      </c>
      <c r="AL37">
        <v>171.55</v>
      </c>
      <c r="AM37">
        <v>133.47</v>
      </c>
      <c r="AN37">
        <v>131.19999999999999</v>
      </c>
      <c r="AO37">
        <v>143.94</v>
      </c>
      <c r="AP37">
        <v>118.46</v>
      </c>
    </row>
    <row r="38" spans="1:42" x14ac:dyDescent="0.3">
      <c r="A38" t="s">
        <v>605</v>
      </c>
      <c r="B38" t="s">
        <v>98</v>
      </c>
      <c r="C38" t="s">
        <v>431</v>
      </c>
      <c r="D38" t="s">
        <v>52</v>
      </c>
      <c r="E38" t="s">
        <v>1493</v>
      </c>
      <c r="F38" t="s">
        <v>340</v>
      </c>
      <c r="G38" t="s">
        <v>606</v>
      </c>
      <c r="H38" t="s">
        <v>1718</v>
      </c>
      <c r="I38" t="s">
        <v>215</v>
      </c>
      <c r="J38" t="s">
        <v>1719</v>
      </c>
      <c r="K38" t="s">
        <v>341</v>
      </c>
      <c r="L38" t="s">
        <v>1645</v>
      </c>
      <c r="M38" t="s">
        <v>300</v>
      </c>
      <c r="N38" t="s">
        <v>325</v>
      </c>
      <c r="O38" t="s">
        <v>1720</v>
      </c>
      <c r="P38" t="s">
        <v>302</v>
      </c>
      <c r="V38" t="s">
        <v>215</v>
      </c>
      <c r="W38" t="s">
        <v>215</v>
      </c>
      <c r="X38" t="s">
        <v>215</v>
      </c>
      <c r="Y38" t="s">
        <v>215</v>
      </c>
      <c r="AB38" t="s">
        <v>572</v>
      </c>
      <c r="AE38">
        <v>100.41</v>
      </c>
      <c r="AF38">
        <v>101.61</v>
      </c>
      <c r="AG38">
        <v>99.22</v>
      </c>
      <c r="AH38">
        <v>181.66</v>
      </c>
      <c r="AI38">
        <v>244.04</v>
      </c>
      <c r="AJ38">
        <v>119.29</v>
      </c>
      <c r="AK38">
        <v>270.61</v>
      </c>
      <c r="AL38">
        <v>349.41</v>
      </c>
      <c r="AM38">
        <v>191.8</v>
      </c>
      <c r="AN38">
        <v>242.16</v>
      </c>
      <c r="AO38">
        <v>360.37</v>
      </c>
      <c r="AP38">
        <v>123.96</v>
      </c>
    </row>
    <row r="39" spans="1:42" x14ac:dyDescent="0.3">
      <c r="A39" t="s">
        <v>1209</v>
      </c>
      <c r="B39" t="s">
        <v>98</v>
      </c>
      <c r="C39" t="s">
        <v>431</v>
      </c>
      <c r="D39" t="s">
        <v>58</v>
      </c>
      <c r="E39" t="s">
        <v>1359</v>
      </c>
      <c r="F39" t="s">
        <v>340</v>
      </c>
      <c r="G39" t="s">
        <v>1210</v>
      </c>
      <c r="H39" t="s">
        <v>1721</v>
      </c>
      <c r="I39" t="s">
        <v>215</v>
      </c>
      <c r="J39" t="s">
        <v>1722</v>
      </c>
      <c r="K39" t="s">
        <v>341</v>
      </c>
      <c r="L39" t="s">
        <v>1723</v>
      </c>
      <c r="M39" t="s">
        <v>303</v>
      </c>
      <c r="N39" t="s">
        <v>405</v>
      </c>
      <c r="O39" t="s">
        <v>330</v>
      </c>
      <c r="V39" t="s">
        <v>215</v>
      </c>
      <c r="W39" t="s">
        <v>215</v>
      </c>
      <c r="X39" t="s">
        <v>215</v>
      </c>
      <c r="Y39" t="s">
        <v>215</v>
      </c>
      <c r="AB39" t="s">
        <v>1724</v>
      </c>
      <c r="AE39">
        <v>80.09</v>
      </c>
      <c r="AF39">
        <v>86.77</v>
      </c>
      <c r="AG39">
        <v>73.42</v>
      </c>
      <c r="AH39">
        <v>100.27</v>
      </c>
      <c r="AI39">
        <v>110.57</v>
      </c>
      <c r="AJ39">
        <v>89.97</v>
      </c>
      <c r="AK39">
        <v>110.32</v>
      </c>
      <c r="AL39">
        <v>118.8</v>
      </c>
      <c r="AM39">
        <v>101.85</v>
      </c>
      <c r="AN39">
        <v>87.63</v>
      </c>
      <c r="AO39">
        <v>94.93</v>
      </c>
      <c r="AP39">
        <v>80.33</v>
      </c>
    </row>
    <row r="40" spans="1:42" x14ac:dyDescent="0.3">
      <c r="A40" t="s">
        <v>676</v>
      </c>
      <c r="B40" t="s">
        <v>98</v>
      </c>
      <c r="C40" t="s">
        <v>431</v>
      </c>
      <c r="D40" t="s">
        <v>59</v>
      </c>
      <c r="E40" t="s">
        <v>1569</v>
      </c>
      <c r="F40" t="s">
        <v>340</v>
      </c>
      <c r="G40" t="s">
        <v>677</v>
      </c>
      <c r="H40" t="s">
        <v>1725</v>
      </c>
      <c r="I40" t="s">
        <v>215</v>
      </c>
      <c r="J40" t="s">
        <v>1649</v>
      </c>
      <c r="K40" t="s">
        <v>341</v>
      </c>
      <c r="L40" t="s">
        <v>1650</v>
      </c>
      <c r="M40" t="s">
        <v>300</v>
      </c>
      <c r="N40" t="s">
        <v>588</v>
      </c>
      <c r="O40" t="s">
        <v>311</v>
      </c>
      <c r="P40" t="s">
        <v>296</v>
      </c>
      <c r="V40" t="s">
        <v>215</v>
      </c>
      <c r="W40" t="s">
        <v>215</v>
      </c>
      <c r="X40" t="s">
        <v>215</v>
      </c>
      <c r="Y40" t="s">
        <v>215</v>
      </c>
      <c r="AB40" t="s">
        <v>1726</v>
      </c>
      <c r="AE40">
        <v>332.89</v>
      </c>
      <c r="AF40">
        <v>388.14</v>
      </c>
      <c r="AG40">
        <v>277.64</v>
      </c>
      <c r="AH40">
        <v>450.21</v>
      </c>
      <c r="AI40">
        <v>500.95</v>
      </c>
      <c r="AJ40">
        <v>399.48</v>
      </c>
      <c r="AK40">
        <v>436.88</v>
      </c>
      <c r="AL40">
        <v>509.31</v>
      </c>
      <c r="AM40">
        <v>364.45</v>
      </c>
      <c r="AN40">
        <v>366.34</v>
      </c>
      <c r="AO40">
        <v>427.42</v>
      </c>
      <c r="AP40">
        <v>305.27</v>
      </c>
    </row>
    <row r="41" spans="1:42" x14ac:dyDescent="0.3">
      <c r="A41" t="s">
        <v>797</v>
      </c>
      <c r="B41" t="s">
        <v>98</v>
      </c>
      <c r="C41" t="s">
        <v>431</v>
      </c>
      <c r="D41" t="s">
        <v>53</v>
      </c>
      <c r="E41" t="s">
        <v>1424</v>
      </c>
      <c r="F41" t="s">
        <v>340</v>
      </c>
      <c r="G41" t="s">
        <v>756</v>
      </c>
      <c r="H41" t="s">
        <v>1727</v>
      </c>
      <c r="I41" t="s">
        <v>215</v>
      </c>
      <c r="J41" t="s">
        <v>1695</v>
      </c>
      <c r="K41" t="s">
        <v>341</v>
      </c>
      <c r="L41" t="s">
        <v>1671</v>
      </c>
      <c r="M41" t="s">
        <v>300</v>
      </c>
      <c r="N41" t="s">
        <v>402</v>
      </c>
      <c r="O41" t="s">
        <v>76</v>
      </c>
      <c r="V41" t="s">
        <v>215</v>
      </c>
      <c r="W41" t="s">
        <v>215</v>
      </c>
      <c r="X41" t="s">
        <v>215</v>
      </c>
      <c r="Y41" t="s">
        <v>215</v>
      </c>
      <c r="AB41" t="s">
        <v>414</v>
      </c>
      <c r="AE41">
        <v>46.7</v>
      </c>
      <c r="AF41">
        <v>51.96</v>
      </c>
      <c r="AG41">
        <v>41.43</v>
      </c>
      <c r="AH41">
        <v>31.73</v>
      </c>
      <c r="AI41">
        <v>41.52</v>
      </c>
      <c r="AJ41">
        <v>21.94</v>
      </c>
      <c r="AK41">
        <v>28.08</v>
      </c>
      <c r="AL41">
        <v>30.42</v>
      </c>
      <c r="AM41">
        <v>25.74</v>
      </c>
      <c r="AN41">
        <v>37.450000000000003</v>
      </c>
      <c r="AO41">
        <v>44.47</v>
      </c>
      <c r="AP41">
        <v>30.42</v>
      </c>
    </row>
    <row r="42" spans="1:42" x14ac:dyDescent="0.3">
      <c r="A42" t="s">
        <v>603</v>
      </c>
      <c r="B42" t="s">
        <v>98</v>
      </c>
      <c r="C42" t="s">
        <v>431</v>
      </c>
      <c r="D42" t="s">
        <v>53</v>
      </c>
      <c r="E42" t="s">
        <v>1424</v>
      </c>
      <c r="F42" t="s">
        <v>346</v>
      </c>
      <c r="G42" t="s">
        <v>604</v>
      </c>
      <c r="H42" t="s">
        <v>1728</v>
      </c>
      <c r="I42" t="s">
        <v>215</v>
      </c>
      <c r="J42" t="s">
        <v>1653</v>
      </c>
      <c r="K42" t="s">
        <v>341</v>
      </c>
      <c r="L42" t="s">
        <v>1654</v>
      </c>
      <c r="M42" t="s">
        <v>300</v>
      </c>
      <c r="N42" t="s">
        <v>312</v>
      </c>
      <c r="O42" t="s">
        <v>305</v>
      </c>
      <c r="V42" t="s">
        <v>215</v>
      </c>
      <c r="W42" t="s">
        <v>215</v>
      </c>
      <c r="X42" t="s">
        <v>215</v>
      </c>
      <c r="Y42" t="s">
        <v>215</v>
      </c>
      <c r="AB42" t="s">
        <v>1729</v>
      </c>
      <c r="AE42">
        <v>24.81</v>
      </c>
      <c r="AF42">
        <v>28.54</v>
      </c>
      <c r="AG42">
        <v>21.07</v>
      </c>
      <c r="AH42">
        <v>20.95</v>
      </c>
      <c r="AI42">
        <v>22.7</v>
      </c>
      <c r="AJ42">
        <v>19.2</v>
      </c>
      <c r="AK42">
        <v>13.39</v>
      </c>
      <c r="AL42">
        <v>14.5</v>
      </c>
      <c r="AM42">
        <v>12.27</v>
      </c>
      <c r="AN42">
        <v>24.11</v>
      </c>
      <c r="AO42">
        <v>27.69</v>
      </c>
      <c r="AP42">
        <v>20.53</v>
      </c>
    </row>
    <row r="43" spans="1:42" x14ac:dyDescent="0.3">
      <c r="A43" t="s">
        <v>853</v>
      </c>
      <c r="B43" t="s">
        <v>98</v>
      </c>
      <c r="C43" t="s">
        <v>431</v>
      </c>
      <c r="D43" t="s">
        <v>60</v>
      </c>
      <c r="E43" t="s">
        <v>1629</v>
      </c>
      <c r="F43" t="s">
        <v>346</v>
      </c>
      <c r="G43" t="s">
        <v>854</v>
      </c>
      <c r="H43" t="s">
        <v>1730</v>
      </c>
      <c r="I43" t="s">
        <v>215</v>
      </c>
      <c r="J43" t="s">
        <v>1709</v>
      </c>
      <c r="K43" t="s">
        <v>341</v>
      </c>
      <c r="L43" t="s">
        <v>1710</v>
      </c>
      <c r="M43" t="s">
        <v>300</v>
      </c>
      <c r="N43" t="s">
        <v>88</v>
      </c>
      <c r="O43" t="s">
        <v>307</v>
      </c>
      <c r="V43" t="s">
        <v>215</v>
      </c>
      <c r="W43" t="s">
        <v>215</v>
      </c>
      <c r="X43" t="s">
        <v>215</v>
      </c>
      <c r="Y43" t="s">
        <v>215</v>
      </c>
      <c r="AB43" t="s">
        <v>546</v>
      </c>
      <c r="AE43">
        <v>47.71</v>
      </c>
      <c r="AF43">
        <v>48.44</v>
      </c>
      <c r="AG43">
        <v>46.98</v>
      </c>
      <c r="AH43">
        <v>47.39</v>
      </c>
      <c r="AI43">
        <v>53.11</v>
      </c>
      <c r="AJ43">
        <v>41.67</v>
      </c>
      <c r="AK43">
        <v>36.54</v>
      </c>
      <c r="AL43">
        <v>39.14</v>
      </c>
      <c r="AM43">
        <v>33.94</v>
      </c>
      <c r="AN43">
        <v>36.549999999999997</v>
      </c>
      <c r="AO43">
        <v>39.15</v>
      </c>
      <c r="AP43">
        <v>33.94</v>
      </c>
    </row>
    <row r="44" spans="1:42" x14ac:dyDescent="0.3">
      <c r="A44" t="s">
        <v>909</v>
      </c>
      <c r="B44" t="s">
        <v>98</v>
      </c>
      <c r="C44" t="s">
        <v>431</v>
      </c>
      <c r="D44" t="s">
        <v>60</v>
      </c>
      <c r="E44" t="s">
        <v>1620</v>
      </c>
      <c r="F44" t="s">
        <v>340</v>
      </c>
      <c r="G44" t="s">
        <v>910</v>
      </c>
      <c r="H44" t="s">
        <v>1731</v>
      </c>
      <c r="I44" t="s">
        <v>215</v>
      </c>
      <c r="J44" t="s">
        <v>1709</v>
      </c>
      <c r="K44" t="s">
        <v>341</v>
      </c>
      <c r="L44" t="s">
        <v>1710</v>
      </c>
      <c r="M44" t="s">
        <v>303</v>
      </c>
      <c r="N44" t="s">
        <v>130</v>
      </c>
      <c r="O44" t="s">
        <v>133</v>
      </c>
      <c r="V44" t="s">
        <v>215</v>
      </c>
      <c r="W44" t="s">
        <v>215</v>
      </c>
      <c r="X44" t="s">
        <v>215</v>
      </c>
      <c r="Y44" t="s">
        <v>215</v>
      </c>
      <c r="AB44" t="s">
        <v>555</v>
      </c>
      <c r="AE44">
        <v>26.21</v>
      </c>
      <c r="AF44">
        <v>28.4</v>
      </c>
      <c r="AG44">
        <v>24.03</v>
      </c>
      <c r="AH44">
        <v>30.76</v>
      </c>
      <c r="AI44">
        <v>32.96</v>
      </c>
      <c r="AJ44">
        <v>28.56</v>
      </c>
      <c r="AK44">
        <v>27.91</v>
      </c>
      <c r="AL44">
        <v>30.24</v>
      </c>
      <c r="AM44">
        <v>25.59</v>
      </c>
      <c r="AN44">
        <v>32.57</v>
      </c>
      <c r="AO44">
        <v>34.89</v>
      </c>
      <c r="AP44">
        <v>30.24</v>
      </c>
    </row>
    <row r="45" spans="1:42" x14ac:dyDescent="0.3">
      <c r="A45" t="s">
        <v>782</v>
      </c>
      <c r="B45" t="s">
        <v>98</v>
      </c>
      <c r="C45" t="s">
        <v>431</v>
      </c>
      <c r="D45" t="s">
        <v>52</v>
      </c>
      <c r="E45" t="s">
        <v>1495</v>
      </c>
      <c r="F45" t="s">
        <v>340</v>
      </c>
      <c r="G45" t="s">
        <v>900</v>
      </c>
      <c r="H45" t="s">
        <v>1732</v>
      </c>
      <c r="I45" t="s">
        <v>215</v>
      </c>
      <c r="J45" t="s">
        <v>1719</v>
      </c>
      <c r="K45" t="s">
        <v>341</v>
      </c>
      <c r="L45" t="s">
        <v>1645</v>
      </c>
      <c r="M45" t="s">
        <v>323</v>
      </c>
      <c r="N45" t="s">
        <v>1635</v>
      </c>
      <c r="O45" t="s">
        <v>313</v>
      </c>
      <c r="U45" t="s">
        <v>976</v>
      </c>
      <c r="V45" t="s">
        <v>215</v>
      </c>
      <c r="W45" t="s">
        <v>215</v>
      </c>
      <c r="X45" t="s">
        <v>215</v>
      </c>
      <c r="Y45" t="s">
        <v>215</v>
      </c>
      <c r="AH45">
        <v>10.16</v>
      </c>
      <c r="AI45">
        <v>20.100000000000001</v>
      </c>
      <c r="AJ45">
        <v>0.23</v>
      </c>
      <c r="AK45">
        <v>25.39</v>
      </c>
      <c r="AL45">
        <v>27.2</v>
      </c>
      <c r="AM45">
        <v>23.58</v>
      </c>
    </row>
    <row r="46" spans="1:42" x14ac:dyDescent="0.3">
      <c r="A46" t="s">
        <v>740</v>
      </c>
      <c r="B46" t="s">
        <v>98</v>
      </c>
      <c r="C46" t="s">
        <v>431</v>
      </c>
      <c r="D46" t="s">
        <v>53</v>
      </c>
      <c r="E46" t="s">
        <v>1382</v>
      </c>
      <c r="F46" t="s">
        <v>340</v>
      </c>
      <c r="G46" t="s">
        <v>741</v>
      </c>
      <c r="H46" t="s">
        <v>1733</v>
      </c>
      <c r="I46" t="s">
        <v>215</v>
      </c>
      <c r="J46" t="s">
        <v>1695</v>
      </c>
      <c r="K46" t="s">
        <v>341</v>
      </c>
      <c r="L46" t="s">
        <v>1671</v>
      </c>
      <c r="M46" t="s">
        <v>323</v>
      </c>
      <c r="N46" t="s">
        <v>314</v>
      </c>
      <c r="O46" t="s">
        <v>133</v>
      </c>
      <c r="P46" t="s">
        <v>299</v>
      </c>
      <c r="V46" t="s">
        <v>215</v>
      </c>
      <c r="W46" t="s">
        <v>215</v>
      </c>
      <c r="X46" t="s">
        <v>215</v>
      </c>
      <c r="Y46" t="s">
        <v>215</v>
      </c>
      <c r="AB46" t="s">
        <v>1734</v>
      </c>
      <c r="AE46">
        <v>85.41</v>
      </c>
      <c r="AF46">
        <v>100.31</v>
      </c>
      <c r="AG46">
        <v>70.52</v>
      </c>
      <c r="AH46">
        <v>54.09</v>
      </c>
      <c r="AI46">
        <v>61.27</v>
      </c>
      <c r="AJ46">
        <v>46.91</v>
      </c>
      <c r="AK46">
        <v>59.49</v>
      </c>
      <c r="AL46">
        <v>69.87</v>
      </c>
      <c r="AM46">
        <v>49.12</v>
      </c>
      <c r="AN46">
        <v>72.14</v>
      </c>
      <c r="AO46">
        <v>83.78</v>
      </c>
      <c r="AP46">
        <v>60.5</v>
      </c>
    </row>
    <row r="47" spans="1:42" x14ac:dyDescent="0.3">
      <c r="A47" t="s">
        <v>742</v>
      </c>
      <c r="B47" t="s">
        <v>98</v>
      </c>
      <c r="C47" t="s">
        <v>431</v>
      </c>
      <c r="D47" t="s">
        <v>53</v>
      </c>
      <c r="E47" t="s">
        <v>1382</v>
      </c>
      <c r="F47" t="s">
        <v>346</v>
      </c>
      <c r="G47" t="s">
        <v>743</v>
      </c>
      <c r="H47" t="s">
        <v>1735</v>
      </c>
      <c r="I47" t="s">
        <v>215</v>
      </c>
      <c r="J47" t="s">
        <v>1695</v>
      </c>
      <c r="K47" t="s">
        <v>341</v>
      </c>
      <c r="L47" t="s">
        <v>1671</v>
      </c>
      <c r="M47" t="s">
        <v>323</v>
      </c>
      <c r="N47" t="s">
        <v>108</v>
      </c>
      <c r="O47" t="s">
        <v>133</v>
      </c>
      <c r="P47" t="s">
        <v>299</v>
      </c>
      <c r="V47" t="s">
        <v>215</v>
      </c>
      <c r="W47" t="s">
        <v>215</v>
      </c>
      <c r="X47" t="s">
        <v>215</v>
      </c>
      <c r="Y47" t="s">
        <v>215</v>
      </c>
      <c r="AB47" t="s">
        <v>548</v>
      </c>
      <c r="AE47">
        <v>63.45</v>
      </c>
      <c r="AF47">
        <v>74.16</v>
      </c>
      <c r="AG47">
        <v>52.75</v>
      </c>
      <c r="AH47">
        <v>49.86</v>
      </c>
      <c r="AI47">
        <v>62.02</v>
      </c>
      <c r="AJ47">
        <v>37.700000000000003</v>
      </c>
      <c r="AK47">
        <v>58.86</v>
      </c>
      <c r="AL47">
        <v>70.75</v>
      </c>
      <c r="AM47">
        <v>46.98</v>
      </c>
      <c r="AN47">
        <v>56.47</v>
      </c>
      <c r="AO47">
        <v>65.790000000000006</v>
      </c>
      <c r="AP47">
        <v>47.15</v>
      </c>
    </row>
    <row r="48" spans="1:42" x14ac:dyDescent="0.3">
      <c r="A48" t="s">
        <v>744</v>
      </c>
      <c r="B48" t="s">
        <v>98</v>
      </c>
      <c r="C48" t="s">
        <v>431</v>
      </c>
      <c r="D48" t="s">
        <v>58</v>
      </c>
      <c r="E48" t="s">
        <v>1382</v>
      </c>
      <c r="F48" t="s">
        <v>360</v>
      </c>
      <c r="G48" t="s">
        <v>745</v>
      </c>
      <c r="H48" t="s">
        <v>1736</v>
      </c>
      <c r="I48" t="s">
        <v>215</v>
      </c>
      <c r="J48" t="s">
        <v>1737</v>
      </c>
      <c r="K48" t="s">
        <v>341</v>
      </c>
      <c r="L48" t="s">
        <v>1738</v>
      </c>
      <c r="M48" t="s">
        <v>323</v>
      </c>
      <c r="N48" t="s">
        <v>204</v>
      </c>
      <c r="O48" t="s">
        <v>133</v>
      </c>
      <c r="P48" t="s">
        <v>299</v>
      </c>
      <c r="V48" t="s">
        <v>215</v>
      </c>
      <c r="W48" t="s">
        <v>215</v>
      </c>
      <c r="X48" t="s">
        <v>215</v>
      </c>
      <c r="Y48" t="s">
        <v>215</v>
      </c>
      <c r="AB48" t="s">
        <v>557</v>
      </c>
      <c r="AE48">
        <v>49.15</v>
      </c>
      <c r="AF48">
        <v>52.66</v>
      </c>
      <c r="AG48">
        <v>45.64</v>
      </c>
      <c r="AH48">
        <v>37.46</v>
      </c>
      <c r="AI48">
        <v>40.590000000000003</v>
      </c>
      <c r="AJ48">
        <v>34.340000000000003</v>
      </c>
      <c r="AK48">
        <v>48.01</v>
      </c>
      <c r="AL48">
        <v>51.44</v>
      </c>
      <c r="AM48">
        <v>44.58</v>
      </c>
      <c r="AN48">
        <v>49.78</v>
      </c>
      <c r="AO48">
        <v>55.4</v>
      </c>
      <c r="AP48">
        <v>44.16</v>
      </c>
    </row>
    <row r="49" spans="1:42" x14ac:dyDescent="0.3">
      <c r="A49" t="s">
        <v>836</v>
      </c>
      <c r="B49" t="s">
        <v>98</v>
      </c>
      <c r="C49" t="s">
        <v>431</v>
      </c>
      <c r="D49" t="s">
        <v>53</v>
      </c>
      <c r="E49" t="s">
        <v>1427</v>
      </c>
      <c r="F49" t="s">
        <v>340</v>
      </c>
      <c r="G49" t="s">
        <v>880</v>
      </c>
      <c r="H49" t="s">
        <v>1739</v>
      </c>
      <c r="I49" t="s">
        <v>215</v>
      </c>
      <c r="J49" t="s">
        <v>1638</v>
      </c>
      <c r="K49" t="s">
        <v>341</v>
      </c>
      <c r="L49" t="s">
        <v>1639</v>
      </c>
      <c r="M49" t="s">
        <v>302</v>
      </c>
      <c r="N49" t="s">
        <v>348</v>
      </c>
      <c r="O49" t="s">
        <v>296</v>
      </c>
      <c r="V49" t="s">
        <v>215</v>
      </c>
      <c r="W49" t="s">
        <v>215</v>
      </c>
      <c r="X49" t="s">
        <v>215</v>
      </c>
      <c r="Y49" t="s">
        <v>215</v>
      </c>
      <c r="AB49" t="s">
        <v>424</v>
      </c>
      <c r="AE49">
        <v>12.97</v>
      </c>
      <c r="AF49">
        <v>14.05</v>
      </c>
      <c r="AG49">
        <v>11.88</v>
      </c>
      <c r="AH49">
        <v>8.69</v>
      </c>
      <c r="AI49">
        <v>15.21</v>
      </c>
      <c r="AJ49">
        <v>2.17</v>
      </c>
      <c r="AK49">
        <v>13.04</v>
      </c>
      <c r="AL49">
        <v>14.13</v>
      </c>
      <c r="AM49">
        <v>11.95</v>
      </c>
      <c r="AN49">
        <v>17.39</v>
      </c>
      <c r="AO49">
        <v>20.65</v>
      </c>
      <c r="AP49">
        <v>14.13</v>
      </c>
    </row>
    <row r="50" spans="1:42" x14ac:dyDescent="0.3">
      <c r="A50" t="s">
        <v>678</v>
      </c>
      <c r="B50" t="s">
        <v>98</v>
      </c>
      <c r="C50" t="s">
        <v>431</v>
      </c>
      <c r="D50" t="s">
        <v>59</v>
      </c>
      <c r="E50" t="s">
        <v>1571</v>
      </c>
      <c r="F50" t="s">
        <v>340</v>
      </c>
      <c r="G50" t="s">
        <v>679</v>
      </c>
      <c r="H50" t="s">
        <v>1740</v>
      </c>
      <c r="I50" t="s">
        <v>215</v>
      </c>
      <c r="J50" t="s">
        <v>1649</v>
      </c>
      <c r="K50" t="s">
        <v>341</v>
      </c>
      <c r="L50" t="s">
        <v>1639</v>
      </c>
      <c r="M50" t="s">
        <v>303</v>
      </c>
      <c r="N50" t="s">
        <v>390</v>
      </c>
      <c r="O50" t="s">
        <v>133</v>
      </c>
      <c r="P50" t="s">
        <v>362</v>
      </c>
      <c r="V50" t="s">
        <v>215</v>
      </c>
      <c r="W50" t="s">
        <v>215</v>
      </c>
      <c r="X50" t="s">
        <v>215</v>
      </c>
      <c r="Y50" t="s">
        <v>215</v>
      </c>
      <c r="AB50" t="s">
        <v>1741</v>
      </c>
      <c r="AE50">
        <v>34.97</v>
      </c>
      <c r="AF50">
        <v>37.89</v>
      </c>
      <c r="AG50">
        <v>32.06</v>
      </c>
      <c r="AH50">
        <v>39.72</v>
      </c>
      <c r="AI50">
        <v>43.25</v>
      </c>
      <c r="AJ50">
        <v>36.19</v>
      </c>
      <c r="AK50">
        <v>27.68</v>
      </c>
      <c r="AL50">
        <v>29.99</v>
      </c>
      <c r="AM50">
        <v>25.38</v>
      </c>
      <c r="AN50">
        <v>32.299999999999997</v>
      </c>
      <c r="AO50">
        <v>34.6</v>
      </c>
      <c r="AP50">
        <v>29.99</v>
      </c>
    </row>
    <row r="51" spans="1:42" x14ac:dyDescent="0.3">
      <c r="A51" t="s">
        <v>765</v>
      </c>
      <c r="B51" t="s">
        <v>98</v>
      </c>
      <c r="C51" t="s">
        <v>431</v>
      </c>
      <c r="D51" t="s">
        <v>58</v>
      </c>
      <c r="E51" t="s">
        <v>1349</v>
      </c>
      <c r="F51" t="s">
        <v>342</v>
      </c>
      <c r="G51" t="s">
        <v>1213</v>
      </c>
      <c r="H51" t="s">
        <v>1742</v>
      </c>
      <c r="I51" t="s">
        <v>215</v>
      </c>
      <c r="J51" t="s">
        <v>1680</v>
      </c>
      <c r="K51" t="s">
        <v>341</v>
      </c>
      <c r="L51" t="s">
        <v>1681</v>
      </c>
      <c r="M51" t="s">
        <v>323</v>
      </c>
      <c r="N51" t="s">
        <v>95</v>
      </c>
      <c r="O51" t="s">
        <v>133</v>
      </c>
      <c r="V51" t="s">
        <v>215</v>
      </c>
      <c r="W51" t="s">
        <v>215</v>
      </c>
      <c r="X51" t="s">
        <v>215</v>
      </c>
      <c r="Y51" t="s">
        <v>215</v>
      </c>
      <c r="AB51" t="s">
        <v>1743</v>
      </c>
      <c r="AE51">
        <v>48.78</v>
      </c>
      <c r="AF51">
        <v>56.27</v>
      </c>
      <c r="AG51">
        <v>41.3</v>
      </c>
      <c r="AH51">
        <v>47.46</v>
      </c>
      <c r="AI51">
        <v>51.42</v>
      </c>
      <c r="AJ51">
        <v>43.51</v>
      </c>
      <c r="AK51">
        <v>56.34</v>
      </c>
      <c r="AL51">
        <v>60.36</v>
      </c>
      <c r="AM51">
        <v>52.31</v>
      </c>
      <c r="AN51">
        <v>57.85</v>
      </c>
      <c r="AO51">
        <v>61.98</v>
      </c>
      <c r="AP51">
        <v>53.72</v>
      </c>
    </row>
    <row r="52" spans="1:42" x14ac:dyDescent="0.3">
      <c r="A52" t="s">
        <v>680</v>
      </c>
      <c r="B52" t="s">
        <v>98</v>
      </c>
      <c r="C52" t="s">
        <v>431</v>
      </c>
      <c r="D52" t="s">
        <v>53</v>
      </c>
      <c r="E52" t="s">
        <v>1429</v>
      </c>
      <c r="F52" t="s">
        <v>340</v>
      </c>
      <c r="G52" t="s">
        <v>681</v>
      </c>
      <c r="H52" t="s">
        <v>1744</v>
      </c>
      <c r="I52" t="s">
        <v>215</v>
      </c>
      <c r="J52" t="s">
        <v>1653</v>
      </c>
      <c r="K52" t="s">
        <v>341</v>
      </c>
      <c r="L52" t="s">
        <v>1654</v>
      </c>
      <c r="M52" t="s">
        <v>302</v>
      </c>
      <c r="N52" t="s">
        <v>390</v>
      </c>
      <c r="O52" t="s">
        <v>344</v>
      </c>
      <c r="P52" t="s">
        <v>296</v>
      </c>
      <c r="V52" t="s">
        <v>215</v>
      </c>
      <c r="W52" t="s">
        <v>215</v>
      </c>
      <c r="X52" t="s">
        <v>215</v>
      </c>
      <c r="Y52" t="s">
        <v>215</v>
      </c>
      <c r="AB52" t="s">
        <v>566</v>
      </c>
      <c r="AE52">
        <v>24.13</v>
      </c>
      <c r="AF52">
        <v>26.71</v>
      </c>
      <c r="AG52">
        <v>21.56</v>
      </c>
      <c r="AH52">
        <v>26.49</v>
      </c>
      <c r="AI52">
        <v>28.7</v>
      </c>
      <c r="AJ52">
        <v>24.28</v>
      </c>
      <c r="AK52">
        <v>31.76</v>
      </c>
      <c r="AL52">
        <v>36.46</v>
      </c>
      <c r="AM52">
        <v>27.07</v>
      </c>
      <c r="AN52">
        <v>43.94</v>
      </c>
      <c r="AO52">
        <v>52.18</v>
      </c>
      <c r="AP52">
        <v>35.700000000000003</v>
      </c>
    </row>
    <row r="53" spans="1:42" x14ac:dyDescent="0.3">
      <c r="A53" t="s">
        <v>682</v>
      </c>
      <c r="B53" t="s">
        <v>98</v>
      </c>
      <c r="C53" t="s">
        <v>431</v>
      </c>
      <c r="D53" t="s">
        <v>59</v>
      </c>
      <c r="E53" t="s">
        <v>1573</v>
      </c>
      <c r="F53" t="s">
        <v>340</v>
      </c>
      <c r="G53" t="s">
        <v>683</v>
      </c>
      <c r="H53" t="s">
        <v>1745</v>
      </c>
      <c r="I53" t="s">
        <v>215</v>
      </c>
      <c r="J53" t="s">
        <v>1641</v>
      </c>
      <c r="K53" t="s">
        <v>341</v>
      </c>
      <c r="L53" t="s">
        <v>1642</v>
      </c>
      <c r="M53" t="s">
        <v>300</v>
      </c>
      <c r="N53" t="s">
        <v>191</v>
      </c>
      <c r="O53" t="s">
        <v>149</v>
      </c>
      <c r="P53" t="s">
        <v>301</v>
      </c>
      <c r="V53" t="s">
        <v>215</v>
      </c>
      <c r="W53" t="s">
        <v>215</v>
      </c>
      <c r="X53" t="s">
        <v>215</v>
      </c>
      <c r="Y53" t="s">
        <v>215</v>
      </c>
      <c r="AB53" t="s">
        <v>1746</v>
      </c>
      <c r="AE53">
        <v>111.13</v>
      </c>
      <c r="AF53">
        <v>111.57</v>
      </c>
      <c r="AG53">
        <v>110.69</v>
      </c>
      <c r="AH53">
        <v>126.16</v>
      </c>
      <c r="AI53">
        <v>138.31</v>
      </c>
      <c r="AJ53">
        <v>114.02</v>
      </c>
      <c r="AK53">
        <v>141.5</v>
      </c>
      <c r="AL53">
        <v>146.69999999999999</v>
      </c>
      <c r="AM53">
        <v>136.30000000000001</v>
      </c>
      <c r="AN53">
        <v>145.97999999999999</v>
      </c>
      <c r="AO53">
        <v>167.73</v>
      </c>
      <c r="AP53">
        <v>124.23</v>
      </c>
    </row>
    <row r="54" spans="1:42" x14ac:dyDescent="0.3">
      <c r="A54" t="s">
        <v>684</v>
      </c>
      <c r="B54" t="s">
        <v>98</v>
      </c>
      <c r="C54" t="s">
        <v>431</v>
      </c>
      <c r="D54" t="s">
        <v>58</v>
      </c>
      <c r="E54" t="s">
        <v>1361</v>
      </c>
      <c r="F54" t="s">
        <v>340</v>
      </c>
      <c r="G54" t="s">
        <v>685</v>
      </c>
      <c r="H54" t="s">
        <v>1747</v>
      </c>
      <c r="I54" t="s">
        <v>215</v>
      </c>
      <c r="J54" t="s">
        <v>1722</v>
      </c>
      <c r="K54" t="s">
        <v>341</v>
      </c>
      <c r="L54" t="s">
        <v>1723</v>
      </c>
      <c r="M54" t="s">
        <v>303</v>
      </c>
      <c r="N54" t="s">
        <v>108</v>
      </c>
      <c r="O54" t="s">
        <v>133</v>
      </c>
      <c r="P54" t="s">
        <v>299</v>
      </c>
      <c r="V54" t="s">
        <v>215</v>
      </c>
      <c r="W54" t="s">
        <v>215</v>
      </c>
      <c r="X54" t="s">
        <v>215</v>
      </c>
      <c r="Y54" t="s">
        <v>215</v>
      </c>
      <c r="AB54" t="s">
        <v>1748</v>
      </c>
      <c r="AE54">
        <v>30.15</v>
      </c>
      <c r="AF54">
        <v>34.35</v>
      </c>
      <c r="AG54">
        <v>25.95</v>
      </c>
      <c r="AH54">
        <v>36.409999999999997</v>
      </c>
      <c r="AI54">
        <v>39.01</v>
      </c>
      <c r="AJ54">
        <v>33.81</v>
      </c>
      <c r="AK54">
        <v>35.729999999999997</v>
      </c>
      <c r="AL54">
        <v>38.28</v>
      </c>
      <c r="AM54">
        <v>33.18</v>
      </c>
      <c r="AN54">
        <v>30.63</v>
      </c>
      <c r="AO54">
        <v>33.18</v>
      </c>
      <c r="AP54">
        <v>28.08</v>
      </c>
    </row>
    <row r="55" spans="1:42" x14ac:dyDescent="0.3">
      <c r="A55" t="s">
        <v>820</v>
      </c>
      <c r="B55" t="s">
        <v>98</v>
      </c>
      <c r="C55" t="s">
        <v>431</v>
      </c>
      <c r="D55" t="s">
        <v>59</v>
      </c>
      <c r="E55" t="s">
        <v>1575</v>
      </c>
      <c r="F55" t="s">
        <v>340</v>
      </c>
      <c r="G55" t="s">
        <v>1220</v>
      </c>
      <c r="H55" t="s">
        <v>1749</v>
      </c>
      <c r="I55" t="s">
        <v>215</v>
      </c>
      <c r="J55" t="s">
        <v>1641</v>
      </c>
      <c r="K55" t="s">
        <v>341</v>
      </c>
      <c r="L55" t="s">
        <v>1642</v>
      </c>
      <c r="M55" t="s">
        <v>300</v>
      </c>
      <c r="N55" t="s">
        <v>314</v>
      </c>
      <c r="O55" t="s">
        <v>327</v>
      </c>
      <c r="U55" t="s">
        <v>1223</v>
      </c>
      <c r="V55" t="s">
        <v>215</v>
      </c>
      <c r="W55" t="s">
        <v>215</v>
      </c>
      <c r="X55" t="s">
        <v>215</v>
      </c>
      <c r="Y55" t="s">
        <v>215</v>
      </c>
      <c r="AH55">
        <v>8.84</v>
      </c>
      <c r="AI55">
        <v>37.119999999999997</v>
      </c>
      <c r="AJ55">
        <v>-19.440000000000001</v>
      </c>
      <c r="AK55">
        <v>125.27</v>
      </c>
      <c r="AL55">
        <v>125.27</v>
      </c>
      <c r="AM55">
        <v>125.27</v>
      </c>
      <c r="AN55">
        <v>23.45</v>
      </c>
      <c r="AO55">
        <v>152.4</v>
      </c>
      <c r="AP55">
        <v>-105.51</v>
      </c>
    </row>
    <row r="56" spans="1:42" x14ac:dyDescent="0.3">
      <c r="A56" t="s">
        <v>686</v>
      </c>
      <c r="B56" t="s">
        <v>98</v>
      </c>
      <c r="C56" t="s">
        <v>431</v>
      </c>
      <c r="D56" t="s">
        <v>53</v>
      </c>
      <c r="E56" t="s">
        <v>1431</v>
      </c>
      <c r="F56" t="s">
        <v>340</v>
      </c>
      <c r="G56" t="s">
        <v>687</v>
      </c>
      <c r="H56" t="s">
        <v>1750</v>
      </c>
      <c r="I56" t="s">
        <v>215</v>
      </c>
      <c r="J56" t="s">
        <v>1653</v>
      </c>
      <c r="K56" t="s">
        <v>341</v>
      </c>
      <c r="L56" t="s">
        <v>1654</v>
      </c>
      <c r="M56" t="s">
        <v>303</v>
      </c>
      <c r="N56" t="s">
        <v>582</v>
      </c>
      <c r="O56" t="s">
        <v>133</v>
      </c>
      <c r="P56" t="s">
        <v>299</v>
      </c>
      <c r="V56" t="s">
        <v>215</v>
      </c>
      <c r="W56" t="s">
        <v>215</v>
      </c>
      <c r="X56" t="s">
        <v>215</v>
      </c>
      <c r="Y56" t="s">
        <v>215</v>
      </c>
      <c r="AB56" t="s">
        <v>1751</v>
      </c>
      <c r="AE56">
        <v>50.04</v>
      </c>
      <c r="AF56">
        <v>67.040000000000006</v>
      </c>
      <c r="AG56">
        <v>33.04</v>
      </c>
      <c r="AH56">
        <v>56.12</v>
      </c>
      <c r="AI56">
        <v>73.48</v>
      </c>
      <c r="AJ56">
        <v>38.770000000000003</v>
      </c>
      <c r="AK56">
        <v>52.92</v>
      </c>
      <c r="AL56">
        <v>70.900000000000006</v>
      </c>
      <c r="AM56">
        <v>34.94</v>
      </c>
      <c r="AN56">
        <v>64.510000000000005</v>
      </c>
      <c r="AO56">
        <v>81.459999999999994</v>
      </c>
      <c r="AP56">
        <v>47.56</v>
      </c>
    </row>
    <row r="57" spans="1:42" x14ac:dyDescent="0.3">
      <c r="A57" t="s">
        <v>688</v>
      </c>
      <c r="B57" t="s">
        <v>98</v>
      </c>
      <c r="C57" t="s">
        <v>431</v>
      </c>
      <c r="D57" t="s">
        <v>52</v>
      </c>
      <c r="E57" t="s">
        <v>1497</v>
      </c>
      <c r="F57" t="s">
        <v>340</v>
      </c>
      <c r="G57" t="s">
        <v>689</v>
      </c>
      <c r="H57" t="s">
        <v>1752</v>
      </c>
      <c r="I57" t="s">
        <v>215</v>
      </c>
      <c r="J57" t="s">
        <v>1719</v>
      </c>
      <c r="K57" t="s">
        <v>341</v>
      </c>
      <c r="L57" t="s">
        <v>1645</v>
      </c>
      <c r="M57" t="s">
        <v>300</v>
      </c>
      <c r="N57" t="s">
        <v>353</v>
      </c>
      <c r="O57" t="s">
        <v>322</v>
      </c>
      <c r="P57" t="s">
        <v>296</v>
      </c>
      <c r="U57" t="s">
        <v>995</v>
      </c>
      <c r="V57" t="s">
        <v>215</v>
      </c>
      <c r="W57" t="s">
        <v>215</v>
      </c>
      <c r="X57" t="s">
        <v>215</v>
      </c>
      <c r="Y57" t="s">
        <v>215</v>
      </c>
      <c r="AB57" t="s">
        <v>1753</v>
      </c>
      <c r="AH57">
        <v>275.92</v>
      </c>
      <c r="AI57">
        <v>385.81</v>
      </c>
      <c r="AJ57">
        <v>166.03</v>
      </c>
      <c r="AK57">
        <v>557.88</v>
      </c>
      <c r="AL57">
        <v>791.13</v>
      </c>
      <c r="AM57">
        <v>324.62</v>
      </c>
      <c r="AN57">
        <v>0</v>
      </c>
      <c r="AO57">
        <v>0</v>
      </c>
      <c r="AP57">
        <v>0</v>
      </c>
    </row>
    <row r="58" spans="1:42" x14ac:dyDescent="0.3">
      <c r="A58" t="s">
        <v>837</v>
      </c>
      <c r="B58" t="s">
        <v>98</v>
      </c>
      <c r="C58" t="s">
        <v>431</v>
      </c>
      <c r="D58" t="s">
        <v>53</v>
      </c>
      <c r="E58" t="s">
        <v>1433</v>
      </c>
      <c r="F58" t="s">
        <v>340</v>
      </c>
      <c r="G58" t="s">
        <v>879</v>
      </c>
      <c r="H58" t="s">
        <v>1754</v>
      </c>
      <c r="I58" t="s">
        <v>215</v>
      </c>
      <c r="J58" t="s">
        <v>1755</v>
      </c>
      <c r="K58" t="s">
        <v>341</v>
      </c>
      <c r="L58" t="s">
        <v>1756</v>
      </c>
      <c r="M58" t="s">
        <v>298</v>
      </c>
      <c r="N58" t="s">
        <v>77</v>
      </c>
      <c r="O58" t="s">
        <v>344</v>
      </c>
      <c r="V58" t="s">
        <v>215</v>
      </c>
      <c r="W58" t="s">
        <v>215</v>
      </c>
      <c r="X58" t="s">
        <v>215</v>
      </c>
      <c r="Y58" t="s">
        <v>215</v>
      </c>
      <c r="AB58" t="s">
        <v>551</v>
      </c>
      <c r="AE58">
        <v>18.55</v>
      </c>
      <c r="AF58">
        <v>22.03</v>
      </c>
      <c r="AG58">
        <v>15.07</v>
      </c>
      <c r="AH58">
        <v>14</v>
      </c>
      <c r="AI58">
        <v>15.17</v>
      </c>
      <c r="AJ58">
        <v>12.84</v>
      </c>
      <c r="AK58">
        <v>14</v>
      </c>
      <c r="AL58">
        <v>15.17</v>
      </c>
      <c r="AM58">
        <v>12.84</v>
      </c>
      <c r="AN58">
        <v>14</v>
      </c>
      <c r="AO58">
        <v>15.17</v>
      </c>
      <c r="AP58">
        <v>12.84</v>
      </c>
    </row>
    <row r="59" spans="1:42" x14ac:dyDescent="0.3">
      <c r="A59" t="s">
        <v>798</v>
      </c>
      <c r="B59" t="s">
        <v>98</v>
      </c>
      <c r="C59" t="s">
        <v>431</v>
      </c>
      <c r="D59" t="s">
        <v>53</v>
      </c>
      <c r="E59" t="s">
        <v>1435</v>
      </c>
      <c r="F59" t="s">
        <v>346</v>
      </c>
      <c r="G59" t="s">
        <v>870</v>
      </c>
      <c r="H59" t="s">
        <v>1757</v>
      </c>
      <c r="I59" t="s">
        <v>215</v>
      </c>
      <c r="J59" t="s">
        <v>1695</v>
      </c>
      <c r="K59" t="s">
        <v>341</v>
      </c>
      <c r="L59" t="s">
        <v>1671</v>
      </c>
      <c r="M59" t="s">
        <v>298</v>
      </c>
      <c r="N59" t="s">
        <v>351</v>
      </c>
      <c r="O59" t="s">
        <v>318</v>
      </c>
      <c r="V59" t="s">
        <v>215</v>
      </c>
      <c r="W59" t="s">
        <v>215</v>
      </c>
      <c r="X59" t="s">
        <v>215</v>
      </c>
      <c r="Y59" t="s">
        <v>215</v>
      </c>
      <c r="AB59" t="s">
        <v>1758</v>
      </c>
      <c r="AE59">
        <v>30.67</v>
      </c>
      <c r="AF59">
        <v>32.86</v>
      </c>
      <c r="AG59">
        <v>28.48</v>
      </c>
      <c r="AH59">
        <v>26.32</v>
      </c>
      <c r="AI59">
        <v>28.51</v>
      </c>
      <c r="AJ59">
        <v>24.12</v>
      </c>
      <c r="AK59">
        <v>30.7</v>
      </c>
      <c r="AL59">
        <v>32.9</v>
      </c>
      <c r="AM59">
        <v>28.51</v>
      </c>
      <c r="AN59">
        <v>23</v>
      </c>
      <c r="AO59">
        <v>27.32</v>
      </c>
      <c r="AP59">
        <v>18.690000000000001</v>
      </c>
    </row>
    <row r="60" spans="1:42" x14ac:dyDescent="0.3">
      <c r="A60" t="s">
        <v>783</v>
      </c>
      <c r="B60" t="s">
        <v>98</v>
      </c>
      <c r="C60" t="s">
        <v>431</v>
      </c>
      <c r="D60" t="s">
        <v>52</v>
      </c>
      <c r="E60" t="s">
        <v>1499</v>
      </c>
      <c r="F60" t="s">
        <v>340</v>
      </c>
      <c r="G60" t="s">
        <v>902</v>
      </c>
      <c r="H60" t="s">
        <v>1759</v>
      </c>
      <c r="I60" t="s">
        <v>215</v>
      </c>
      <c r="J60" t="s">
        <v>1649</v>
      </c>
      <c r="K60" t="s">
        <v>341</v>
      </c>
      <c r="L60" t="s">
        <v>1650</v>
      </c>
      <c r="M60" t="s">
        <v>299</v>
      </c>
      <c r="N60" t="s">
        <v>356</v>
      </c>
      <c r="O60" t="s">
        <v>344</v>
      </c>
      <c r="V60" t="s">
        <v>215</v>
      </c>
      <c r="W60" t="s">
        <v>215</v>
      </c>
      <c r="X60" t="s">
        <v>215</v>
      </c>
      <c r="Y60" t="s">
        <v>215</v>
      </c>
      <c r="AB60" t="s">
        <v>1760</v>
      </c>
      <c r="AE60">
        <v>10.63</v>
      </c>
      <c r="AF60">
        <v>11.52</v>
      </c>
      <c r="AG60">
        <v>9.75</v>
      </c>
      <c r="AH60">
        <v>14.25</v>
      </c>
      <c r="AI60">
        <v>16.920000000000002</v>
      </c>
      <c r="AJ60">
        <v>11.58</v>
      </c>
      <c r="AK60">
        <v>10.69</v>
      </c>
      <c r="AL60">
        <v>11.58</v>
      </c>
      <c r="AM60">
        <v>9.8000000000000007</v>
      </c>
      <c r="AN60">
        <v>10.69</v>
      </c>
      <c r="AO60">
        <v>11.58</v>
      </c>
      <c r="AP60">
        <v>9.8000000000000007</v>
      </c>
    </row>
    <row r="61" spans="1:42" x14ac:dyDescent="0.3">
      <c r="A61" t="s">
        <v>690</v>
      </c>
      <c r="B61" t="s">
        <v>98</v>
      </c>
      <c r="C61" t="s">
        <v>431</v>
      </c>
      <c r="D61" t="s">
        <v>52</v>
      </c>
      <c r="E61" t="s">
        <v>1501</v>
      </c>
      <c r="F61" t="s">
        <v>340</v>
      </c>
      <c r="G61" t="s">
        <v>691</v>
      </c>
      <c r="H61" t="s">
        <v>1761</v>
      </c>
      <c r="I61" t="s">
        <v>215</v>
      </c>
      <c r="J61" t="s">
        <v>1649</v>
      </c>
      <c r="K61" t="s">
        <v>341</v>
      </c>
      <c r="L61" t="s">
        <v>1650</v>
      </c>
      <c r="M61" t="s">
        <v>300</v>
      </c>
      <c r="N61" t="s">
        <v>351</v>
      </c>
      <c r="O61" t="s">
        <v>392</v>
      </c>
      <c r="P61" t="s">
        <v>302</v>
      </c>
      <c r="U61" t="s">
        <v>1004</v>
      </c>
      <c r="V61" t="s">
        <v>215</v>
      </c>
      <c r="W61" t="s">
        <v>215</v>
      </c>
      <c r="X61" t="s">
        <v>215</v>
      </c>
      <c r="Y61" t="s">
        <v>215</v>
      </c>
      <c r="AE61">
        <v>44.24</v>
      </c>
      <c r="AF61">
        <v>83.56</v>
      </c>
      <c r="AG61">
        <v>4.92</v>
      </c>
      <c r="AH61">
        <v>132.49</v>
      </c>
      <c r="AI61">
        <v>173.92</v>
      </c>
      <c r="AJ61">
        <v>91.05</v>
      </c>
      <c r="AK61">
        <v>152.82</v>
      </c>
      <c r="AL61">
        <v>190.24</v>
      </c>
      <c r="AM61">
        <v>115.41</v>
      </c>
      <c r="AN61">
        <v>104.72</v>
      </c>
      <c r="AO61">
        <v>139.38999999999999</v>
      </c>
      <c r="AP61">
        <v>70.040000000000006</v>
      </c>
    </row>
    <row r="62" spans="1:42" x14ac:dyDescent="0.3">
      <c r="A62" t="s">
        <v>692</v>
      </c>
      <c r="B62" t="s">
        <v>98</v>
      </c>
      <c r="C62" t="s">
        <v>431</v>
      </c>
      <c r="D62" t="s">
        <v>59</v>
      </c>
      <c r="E62" t="s">
        <v>1577</v>
      </c>
      <c r="F62" t="s">
        <v>340</v>
      </c>
      <c r="G62" t="s">
        <v>693</v>
      </c>
      <c r="H62" t="s">
        <v>1762</v>
      </c>
      <c r="I62" t="s">
        <v>215</v>
      </c>
      <c r="J62" t="s">
        <v>1674</v>
      </c>
      <c r="K62" t="s">
        <v>341</v>
      </c>
      <c r="L62" t="s">
        <v>1642</v>
      </c>
      <c r="M62" t="s">
        <v>300</v>
      </c>
      <c r="N62" t="s">
        <v>352</v>
      </c>
      <c r="O62" t="s">
        <v>389</v>
      </c>
      <c r="P62" t="s">
        <v>299</v>
      </c>
      <c r="U62" t="s">
        <v>1226</v>
      </c>
      <c r="V62" t="s">
        <v>215</v>
      </c>
      <c r="W62" t="s">
        <v>215</v>
      </c>
      <c r="X62" t="s">
        <v>215</v>
      </c>
      <c r="Y62" t="s">
        <v>215</v>
      </c>
      <c r="AH62">
        <v>211.53</v>
      </c>
      <c r="AI62">
        <v>288.18</v>
      </c>
      <c r="AJ62">
        <v>134.88</v>
      </c>
      <c r="AK62">
        <v>326</v>
      </c>
      <c r="AL62">
        <v>369.04</v>
      </c>
      <c r="AM62">
        <v>282.95</v>
      </c>
      <c r="AN62">
        <v>127.98</v>
      </c>
      <c r="AO62">
        <v>319.95</v>
      </c>
      <c r="AP62">
        <v>-63.99</v>
      </c>
    </row>
    <row r="63" spans="1:42" x14ac:dyDescent="0.3">
      <c r="A63" t="s">
        <v>821</v>
      </c>
      <c r="B63" t="s">
        <v>98</v>
      </c>
      <c r="C63" t="s">
        <v>431</v>
      </c>
      <c r="D63" t="s">
        <v>59</v>
      </c>
      <c r="E63" t="s">
        <v>1577</v>
      </c>
      <c r="F63" t="s">
        <v>346</v>
      </c>
      <c r="G63" t="s">
        <v>1227</v>
      </c>
      <c r="H63" t="s">
        <v>1762</v>
      </c>
      <c r="I63" t="s">
        <v>215</v>
      </c>
      <c r="J63" t="s">
        <v>1674</v>
      </c>
      <c r="K63" t="s">
        <v>341</v>
      </c>
      <c r="L63" t="s">
        <v>1642</v>
      </c>
      <c r="M63" t="s">
        <v>300</v>
      </c>
      <c r="N63" t="s">
        <v>403</v>
      </c>
      <c r="O63" t="s">
        <v>322</v>
      </c>
      <c r="U63" t="s">
        <v>1228</v>
      </c>
      <c r="V63" t="s">
        <v>215</v>
      </c>
      <c r="W63" t="s">
        <v>215</v>
      </c>
      <c r="X63" t="s">
        <v>215</v>
      </c>
      <c r="Y63" t="s">
        <v>215</v>
      </c>
      <c r="AH63">
        <v>22.24</v>
      </c>
      <c r="AI63">
        <v>44.12</v>
      </c>
      <c r="AJ63">
        <v>0.36</v>
      </c>
      <c r="AK63">
        <v>3.63</v>
      </c>
      <c r="AL63">
        <v>3.63</v>
      </c>
      <c r="AM63">
        <v>3.63</v>
      </c>
      <c r="AN63">
        <v>1.4</v>
      </c>
      <c r="AO63">
        <v>3.49</v>
      </c>
      <c r="AP63">
        <v>-0.7</v>
      </c>
    </row>
    <row r="64" spans="1:42" x14ac:dyDescent="0.3">
      <c r="A64" t="s">
        <v>799</v>
      </c>
      <c r="B64" t="s">
        <v>98</v>
      </c>
      <c r="C64" t="s">
        <v>431</v>
      </c>
      <c r="D64" t="s">
        <v>58</v>
      </c>
      <c r="E64" t="s">
        <v>1363</v>
      </c>
      <c r="F64" t="s">
        <v>340</v>
      </c>
      <c r="G64" t="s">
        <v>861</v>
      </c>
      <c r="H64" t="s">
        <v>1763</v>
      </c>
      <c r="I64" t="s">
        <v>215</v>
      </c>
      <c r="J64" t="s">
        <v>1737</v>
      </c>
      <c r="K64" t="s">
        <v>341</v>
      </c>
      <c r="L64" t="s">
        <v>1738</v>
      </c>
      <c r="M64" t="s">
        <v>298</v>
      </c>
      <c r="N64" t="s">
        <v>320</v>
      </c>
      <c r="O64" t="s">
        <v>344</v>
      </c>
      <c r="V64" t="s">
        <v>215</v>
      </c>
      <c r="W64" t="s">
        <v>215</v>
      </c>
      <c r="X64" t="s">
        <v>215</v>
      </c>
      <c r="Y64" t="s">
        <v>215</v>
      </c>
      <c r="AE64">
        <v>16.579999999999998</v>
      </c>
      <c r="AF64">
        <v>19.690000000000001</v>
      </c>
      <c r="AG64">
        <v>13.48</v>
      </c>
      <c r="AH64">
        <v>12.95</v>
      </c>
      <c r="AI64">
        <v>14.02</v>
      </c>
      <c r="AJ64">
        <v>11.87</v>
      </c>
      <c r="AK64">
        <v>13.16</v>
      </c>
      <c r="AL64">
        <v>14.26</v>
      </c>
      <c r="AM64">
        <v>12.06</v>
      </c>
      <c r="AN64">
        <v>17.600000000000001</v>
      </c>
      <c r="AO64">
        <v>20.9</v>
      </c>
      <c r="AP64">
        <v>14.3</v>
      </c>
    </row>
    <row r="65" spans="1:42" x14ac:dyDescent="0.3">
      <c r="A65" t="s">
        <v>601</v>
      </c>
      <c r="B65" t="s">
        <v>98</v>
      </c>
      <c r="C65" t="s">
        <v>431</v>
      </c>
      <c r="D65" t="s">
        <v>53</v>
      </c>
      <c r="E65" t="s">
        <v>1437</v>
      </c>
      <c r="F65" t="s">
        <v>340</v>
      </c>
      <c r="G65" t="s">
        <v>602</v>
      </c>
      <c r="H65" t="s">
        <v>1764</v>
      </c>
      <c r="I65" t="s">
        <v>215</v>
      </c>
      <c r="J65" t="s">
        <v>1755</v>
      </c>
      <c r="K65" t="s">
        <v>341</v>
      </c>
      <c r="L65" t="s">
        <v>1756</v>
      </c>
      <c r="M65" t="s">
        <v>300</v>
      </c>
      <c r="N65" t="s">
        <v>391</v>
      </c>
      <c r="O65" t="s">
        <v>329</v>
      </c>
      <c r="P65" t="s">
        <v>149</v>
      </c>
      <c r="Q65" t="s">
        <v>395</v>
      </c>
      <c r="R65" t="s">
        <v>134</v>
      </c>
      <c r="S65" t="s">
        <v>298</v>
      </c>
      <c r="T65" t="s">
        <v>149</v>
      </c>
      <c r="U65" t="s">
        <v>1009</v>
      </c>
      <c r="V65" t="s">
        <v>215</v>
      </c>
      <c r="W65" t="s">
        <v>215</v>
      </c>
      <c r="X65" t="s">
        <v>215</v>
      </c>
      <c r="Y65" t="s">
        <v>215</v>
      </c>
      <c r="AE65">
        <v>16.690000000000001</v>
      </c>
      <c r="AF65">
        <v>55.81</v>
      </c>
      <c r="AG65">
        <v>-22.44</v>
      </c>
      <c r="AH65">
        <v>70.19</v>
      </c>
      <c r="AI65">
        <v>85.28</v>
      </c>
      <c r="AJ65">
        <v>55.09</v>
      </c>
      <c r="AK65">
        <v>78.010000000000005</v>
      </c>
      <c r="AL65">
        <v>94.21</v>
      </c>
      <c r="AM65">
        <v>61.81</v>
      </c>
      <c r="AN65">
        <v>31.81</v>
      </c>
      <c r="AO65">
        <v>68.17</v>
      </c>
      <c r="AP65">
        <v>-4.54</v>
      </c>
    </row>
    <row r="66" spans="1:42" x14ac:dyDescent="0.3">
      <c r="A66" t="s">
        <v>784</v>
      </c>
      <c r="B66" t="s">
        <v>98</v>
      </c>
      <c r="C66" t="s">
        <v>431</v>
      </c>
      <c r="D66" t="s">
        <v>52</v>
      </c>
      <c r="E66" t="s">
        <v>1503</v>
      </c>
      <c r="F66" t="s">
        <v>340</v>
      </c>
      <c r="G66" t="s">
        <v>901</v>
      </c>
      <c r="H66" t="s">
        <v>1765</v>
      </c>
      <c r="I66" t="s">
        <v>1766</v>
      </c>
      <c r="J66" t="s">
        <v>1649</v>
      </c>
      <c r="K66" t="s">
        <v>341</v>
      </c>
      <c r="L66" t="s">
        <v>1650</v>
      </c>
      <c r="M66" t="s">
        <v>299</v>
      </c>
      <c r="N66" t="s">
        <v>402</v>
      </c>
      <c r="O66" t="s">
        <v>300</v>
      </c>
      <c r="U66" t="s">
        <v>1012</v>
      </c>
      <c r="V66" t="s">
        <v>215</v>
      </c>
      <c r="W66" t="s">
        <v>215</v>
      </c>
      <c r="X66" t="s">
        <v>215</v>
      </c>
      <c r="Y66" t="s">
        <v>215</v>
      </c>
      <c r="AE66">
        <v>0</v>
      </c>
      <c r="AF66">
        <v>0</v>
      </c>
      <c r="AG66">
        <v>0</v>
      </c>
      <c r="AH66">
        <v>30.48</v>
      </c>
      <c r="AI66">
        <v>42.84</v>
      </c>
      <c r="AJ66">
        <v>18.11</v>
      </c>
      <c r="AK66">
        <v>32.89</v>
      </c>
      <c r="AL66">
        <v>37.78</v>
      </c>
      <c r="AM66">
        <v>28.01</v>
      </c>
      <c r="AN66">
        <v>0</v>
      </c>
      <c r="AO66">
        <v>0</v>
      </c>
      <c r="AP66">
        <v>0</v>
      </c>
    </row>
    <row r="67" spans="1:42" x14ac:dyDescent="0.3">
      <c r="A67" t="s">
        <v>766</v>
      </c>
      <c r="B67" t="s">
        <v>98</v>
      </c>
      <c r="C67" t="s">
        <v>431</v>
      </c>
      <c r="D67" t="s">
        <v>58</v>
      </c>
      <c r="E67" t="s">
        <v>1365</v>
      </c>
      <c r="F67" t="s">
        <v>340</v>
      </c>
      <c r="G67" t="s">
        <v>1229</v>
      </c>
      <c r="H67" t="s">
        <v>1767</v>
      </c>
      <c r="I67" t="s">
        <v>215</v>
      </c>
      <c r="J67" t="s">
        <v>1680</v>
      </c>
      <c r="K67" t="s">
        <v>341</v>
      </c>
      <c r="L67" t="s">
        <v>1681</v>
      </c>
      <c r="M67" t="s">
        <v>300</v>
      </c>
      <c r="N67" t="s">
        <v>1689</v>
      </c>
      <c r="O67" t="s">
        <v>307</v>
      </c>
      <c r="V67" t="s">
        <v>215</v>
      </c>
      <c r="W67" t="s">
        <v>215</v>
      </c>
      <c r="X67" t="s">
        <v>215</v>
      </c>
      <c r="Y67" t="s">
        <v>215</v>
      </c>
      <c r="AE67">
        <v>63.6</v>
      </c>
      <c r="AF67">
        <v>63.84</v>
      </c>
      <c r="AG67">
        <v>63.36</v>
      </c>
      <c r="AH67">
        <v>63.99</v>
      </c>
      <c r="AI67">
        <v>63.99</v>
      </c>
      <c r="AJ67">
        <v>63.99</v>
      </c>
      <c r="AK67">
        <v>71.95</v>
      </c>
      <c r="AL67">
        <v>77.09</v>
      </c>
      <c r="AM67">
        <v>66.81</v>
      </c>
      <c r="AN67">
        <v>68.38</v>
      </c>
      <c r="AO67">
        <v>68.38</v>
      </c>
      <c r="AP67">
        <v>68.38</v>
      </c>
    </row>
    <row r="68" spans="1:42" x14ac:dyDescent="0.3">
      <c r="A68" t="s">
        <v>694</v>
      </c>
      <c r="B68" t="s">
        <v>98</v>
      </c>
      <c r="C68" t="s">
        <v>431</v>
      </c>
      <c r="D68" t="s">
        <v>59</v>
      </c>
      <c r="E68" t="s">
        <v>1579</v>
      </c>
      <c r="F68" t="s">
        <v>340</v>
      </c>
      <c r="G68" t="s">
        <v>695</v>
      </c>
      <c r="H68" t="s">
        <v>1768</v>
      </c>
      <c r="I68" t="s">
        <v>215</v>
      </c>
      <c r="J68" t="s">
        <v>1649</v>
      </c>
      <c r="K68" t="s">
        <v>341</v>
      </c>
      <c r="L68" t="s">
        <v>1650</v>
      </c>
      <c r="M68" t="s">
        <v>300</v>
      </c>
      <c r="N68" t="s">
        <v>356</v>
      </c>
      <c r="O68" t="s">
        <v>149</v>
      </c>
      <c r="P68" t="s">
        <v>301</v>
      </c>
      <c r="V68" t="s">
        <v>215</v>
      </c>
      <c r="W68" t="s">
        <v>215</v>
      </c>
      <c r="X68" t="s">
        <v>215</v>
      </c>
      <c r="Y68" t="s">
        <v>215</v>
      </c>
      <c r="AE68">
        <v>83.3</v>
      </c>
      <c r="AF68">
        <v>103.24</v>
      </c>
      <c r="AG68">
        <v>63.35</v>
      </c>
      <c r="AH68">
        <v>93.31</v>
      </c>
      <c r="AI68">
        <v>119.03</v>
      </c>
      <c r="AJ68">
        <v>67.59</v>
      </c>
      <c r="AK68">
        <v>97.24</v>
      </c>
      <c r="AL68">
        <v>119.83</v>
      </c>
      <c r="AM68">
        <v>74.650000000000006</v>
      </c>
      <c r="AN68">
        <v>109.88</v>
      </c>
      <c r="AO68">
        <v>132.96</v>
      </c>
      <c r="AP68">
        <v>86.8</v>
      </c>
    </row>
    <row r="69" spans="1:42" x14ac:dyDescent="0.3">
      <c r="A69" t="s">
        <v>696</v>
      </c>
      <c r="B69" t="s">
        <v>98</v>
      </c>
      <c r="C69" t="s">
        <v>431</v>
      </c>
      <c r="D69" t="s">
        <v>58</v>
      </c>
      <c r="E69" t="s">
        <v>1367</v>
      </c>
      <c r="F69" t="s">
        <v>340</v>
      </c>
      <c r="G69" t="s">
        <v>697</v>
      </c>
      <c r="H69" t="s">
        <v>1769</v>
      </c>
      <c r="I69" t="s">
        <v>215</v>
      </c>
      <c r="J69" t="s">
        <v>1770</v>
      </c>
      <c r="K69" t="s">
        <v>341</v>
      </c>
      <c r="L69" t="s">
        <v>1634</v>
      </c>
      <c r="M69" t="s">
        <v>300</v>
      </c>
      <c r="N69" t="s">
        <v>351</v>
      </c>
      <c r="O69" t="s">
        <v>344</v>
      </c>
      <c r="P69" t="s">
        <v>299</v>
      </c>
      <c r="U69" t="s">
        <v>1234</v>
      </c>
      <c r="V69" t="s">
        <v>215</v>
      </c>
      <c r="W69" t="s">
        <v>215</v>
      </c>
      <c r="X69" t="s">
        <v>215</v>
      </c>
      <c r="Y69" t="s">
        <v>215</v>
      </c>
      <c r="AH69">
        <v>134.13999999999999</v>
      </c>
      <c r="AI69">
        <v>253.37</v>
      </c>
      <c r="AJ69">
        <v>14.9</v>
      </c>
      <c r="AK69">
        <v>137.79</v>
      </c>
      <c r="AL69">
        <v>295.26</v>
      </c>
      <c r="AM69">
        <v>-19.68</v>
      </c>
    </row>
    <row r="70" spans="1:42" x14ac:dyDescent="0.3">
      <c r="A70" t="s">
        <v>722</v>
      </c>
      <c r="B70" t="s">
        <v>98</v>
      </c>
      <c r="C70" t="s">
        <v>431</v>
      </c>
      <c r="D70" t="s">
        <v>60</v>
      </c>
      <c r="E70" t="s">
        <v>418</v>
      </c>
      <c r="F70" t="s">
        <v>1625</v>
      </c>
      <c r="G70" t="s">
        <v>723</v>
      </c>
      <c r="H70" t="s">
        <v>1771</v>
      </c>
      <c r="I70" t="s">
        <v>1772</v>
      </c>
      <c r="J70" t="s">
        <v>1709</v>
      </c>
      <c r="K70" t="s">
        <v>341</v>
      </c>
      <c r="L70" t="s">
        <v>1710</v>
      </c>
      <c r="M70" t="s">
        <v>300</v>
      </c>
      <c r="N70" t="s">
        <v>204</v>
      </c>
      <c r="O70" t="s">
        <v>307</v>
      </c>
      <c r="P70" t="s">
        <v>299</v>
      </c>
      <c r="V70" t="s">
        <v>215</v>
      </c>
      <c r="W70" t="s">
        <v>215</v>
      </c>
      <c r="X70" t="s">
        <v>215</v>
      </c>
      <c r="Y70" t="s">
        <v>215</v>
      </c>
      <c r="AE70">
        <v>93.34</v>
      </c>
      <c r="AF70">
        <v>122.23</v>
      </c>
      <c r="AG70">
        <v>64.45</v>
      </c>
      <c r="AH70">
        <v>96.04</v>
      </c>
      <c r="AI70">
        <v>130.37</v>
      </c>
      <c r="AJ70">
        <v>61.72</v>
      </c>
      <c r="AK70">
        <v>94.63</v>
      </c>
      <c r="AL70">
        <v>129.49</v>
      </c>
      <c r="AM70">
        <v>59.77</v>
      </c>
      <c r="AN70">
        <v>102.05</v>
      </c>
      <c r="AO70">
        <v>126.58</v>
      </c>
      <c r="AP70">
        <v>77.52</v>
      </c>
    </row>
    <row r="71" spans="1:42" x14ac:dyDescent="0.3">
      <c r="A71" t="s">
        <v>1235</v>
      </c>
      <c r="B71" t="s">
        <v>98</v>
      </c>
      <c r="C71" t="s">
        <v>431</v>
      </c>
      <c r="D71" t="s">
        <v>58</v>
      </c>
      <c r="E71" t="s">
        <v>1334</v>
      </c>
      <c r="F71" t="s">
        <v>340</v>
      </c>
      <c r="G71" t="s">
        <v>1236</v>
      </c>
      <c r="H71" t="s">
        <v>1773</v>
      </c>
      <c r="I71" t="s">
        <v>215</v>
      </c>
      <c r="J71" t="s">
        <v>1722</v>
      </c>
      <c r="K71" t="s">
        <v>341</v>
      </c>
      <c r="L71" t="s">
        <v>1723</v>
      </c>
      <c r="M71" t="s">
        <v>303</v>
      </c>
      <c r="N71" t="s">
        <v>402</v>
      </c>
      <c r="O71" t="s">
        <v>133</v>
      </c>
      <c r="V71" t="s">
        <v>215</v>
      </c>
      <c r="W71" t="s">
        <v>215</v>
      </c>
      <c r="X71" t="s">
        <v>215</v>
      </c>
      <c r="Y71" t="s">
        <v>215</v>
      </c>
      <c r="AE71">
        <v>16.57</v>
      </c>
      <c r="AF71">
        <v>28.17</v>
      </c>
      <c r="AG71">
        <v>4.97</v>
      </c>
      <c r="AH71">
        <v>29.78</v>
      </c>
      <c r="AI71">
        <v>31.9</v>
      </c>
      <c r="AJ71">
        <v>27.65</v>
      </c>
      <c r="AK71">
        <v>30.55</v>
      </c>
      <c r="AL71">
        <v>32.729999999999997</v>
      </c>
      <c r="AM71">
        <v>28.37</v>
      </c>
      <c r="AN71">
        <v>27.07</v>
      </c>
      <c r="AO71">
        <v>29.32</v>
      </c>
      <c r="AP71">
        <v>24.81</v>
      </c>
    </row>
    <row r="72" spans="1:42" x14ac:dyDescent="0.3">
      <c r="A72" t="s">
        <v>698</v>
      </c>
      <c r="B72" t="s">
        <v>98</v>
      </c>
      <c r="C72" t="s">
        <v>431</v>
      </c>
      <c r="D72" t="s">
        <v>59</v>
      </c>
      <c r="E72" t="s">
        <v>1581</v>
      </c>
      <c r="F72" t="s">
        <v>340</v>
      </c>
      <c r="G72" t="s">
        <v>699</v>
      </c>
      <c r="H72" t="s">
        <v>1774</v>
      </c>
      <c r="I72" t="s">
        <v>215</v>
      </c>
      <c r="J72" t="s">
        <v>1641</v>
      </c>
      <c r="K72" t="s">
        <v>341</v>
      </c>
      <c r="L72" t="s">
        <v>1642</v>
      </c>
      <c r="M72" t="s">
        <v>303</v>
      </c>
      <c r="N72" t="s">
        <v>1635</v>
      </c>
      <c r="O72" t="s">
        <v>107</v>
      </c>
      <c r="P72" t="s">
        <v>301</v>
      </c>
      <c r="V72" t="s">
        <v>215</v>
      </c>
      <c r="W72" t="s">
        <v>215</v>
      </c>
      <c r="X72" t="s">
        <v>215</v>
      </c>
      <c r="Y72" t="s">
        <v>215</v>
      </c>
      <c r="AE72">
        <v>82.49</v>
      </c>
      <c r="AF72">
        <v>105.7</v>
      </c>
      <c r="AG72">
        <v>59.27</v>
      </c>
      <c r="AH72">
        <v>143.66999999999999</v>
      </c>
      <c r="AI72">
        <v>211.58</v>
      </c>
      <c r="AJ72">
        <v>75.77</v>
      </c>
      <c r="AK72">
        <v>145.24</v>
      </c>
      <c r="AL72">
        <v>184.83</v>
      </c>
      <c r="AM72">
        <v>105.65</v>
      </c>
      <c r="AN72">
        <v>130.18</v>
      </c>
      <c r="AO72">
        <v>179.19</v>
      </c>
      <c r="AP72">
        <v>81.180000000000007</v>
      </c>
    </row>
    <row r="73" spans="1:42" x14ac:dyDescent="0.3">
      <c r="A73" t="s">
        <v>785</v>
      </c>
      <c r="B73" t="s">
        <v>98</v>
      </c>
      <c r="C73" t="s">
        <v>431</v>
      </c>
      <c r="D73" t="s">
        <v>59</v>
      </c>
      <c r="E73" t="s">
        <v>1526</v>
      </c>
      <c r="F73" t="s">
        <v>347</v>
      </c>
      <c r="G73" t="s">
        <v>904</v>
      </c>
      <c r="H73" t="s">
        <v>1775</v>
      </c>
      <c r="I73" t="s">
        <v>357</v>
      </c>
      <c r="J73" t="s">
        <v>1649</v>
      </c>
      <c r="K73" t="s">
        <v>341</v>
      </c>
      <c r="L73" t="s">
        <v>1776</v>
      </c>
      <c r="M73" t="s">
        <v>297</v>
      </c>
      <c r="N73" t="s">
        <v>361</v>
      </c>
      <c r="O73" t="s">
        <v>128</v>
      </c>
      <c r="V73" t="s">
        <v>215</v>
      </c>
      <c r="W73" t="s">
        <v>215</v>
      </c>
      <c r="X73" t="s">
        <v>215</v>
      </c>
      <c r="Y73" t="s">
        <v>215</v>
      </c>
      <c r="AE73">
        <v>10.06</v>
      </c>
      <c r="AF73">
        <v>10.89</v>
      </c>
      <c r="AG73">
        <v>9.2200000000000006</v>
      </c>
      <c r="AH73">
        <v>10.55</v>
      </c>
      <c r="AI73">
        <v>11.43</v>
      </c>
      <c r="AJ73">
        <v>9.67</v>
      </c>
      <c r="AK73">
        <v>14.09</v>
      </c>
      <c r="AL73">
        <v>16.73</v>
      </c>
      <c r="AM73">
        <v>11.44</v>
      </c>
      <c r="AN73">
        <v>10.73</v>
      </c>
      <c r="AO73">
        <v>11.62</v>
      </c>
      <c r="AP73">
        <v>9.84</v>
      </c>
    </row>
    <row r="74" spans="1:42" x14ac:dyDescent="0.3">
      <c r="A74" t="s">
        <v>724</v>
      </c>
      <c r="B74" t="s">
        <v>98</v>
      </c>
      <c r="C74" t="s">
        <v>431</v>
      </c>
      <c r="D74" t="s">
        <v>60</v>
      </c>
      <c r="E74" t="s">
        <v>418</v>
      </c>
      <c r="F74" t="s">
        <v>543</v>
      </c>
      <c r="G74" t="s">
        <v>725</v>
      </c>
      <c r="H74" t="s">
        <v>1777</v>
      </c>
      <c r="I74" t="s">
        <v>215</v>
      </c>
      <c r="J74" t="s">
        <v>1709</v>
      </c>
      <c r="K74" t="s">
        <v>341</v>
      </c>
      <c r="L74" t="s">
        <v>1710</v>
      </c>
      <c r="M74" t="s">
        <v>300</v>
      </c>
      <c r="N74" t="s">
        <v>150</v>
      </c>
      <c r="O74" t="s">
        <v>307</v>
      </c>
      <c r="P74" t="s">
        <v>303</v>
      </c>
      <c r="V74" t="s">
        <v>215</v>
      </c>
      <c r="W74" t="s">
        <v>215</v>
      </c>
      <c r="X74" t="s">
        <v>215</v>
      </c>
      <c r="Y74" t="s">
        <v>215</v>
      </c>
      <c r="AE74">
        <v>83.84</v>
      </c>
      <c r="AF74">
        <v>107.69</v>
      </c>
      <c r="AG74">
        <v>59.99</v>
      </c>
      <c r="AH74">
        <v>84.2</v>
      </c>
      <c r="AI74">
        <v>115.57</v>
      </c>
      <c r="AJ74">
        <v>52.84</v>
      </c>
      <c r="AK74">
        <v>92.3</v>
      </c>
      <c r="AL74">
        <v>133.28</v>
      </c>
      <c r="AM74">
        <v>51.32</v>
      </c>
      <c r="AN74">
        <v>82.9</v>
      </c>
      <c r="AO74">
        <v>112.85</v>
      </c>
      <c r="AP74">
        <v>52.94</v>
      </c>
    </row>
    <row r="75" spans="1:42" x14ac:dyDescent="0.3">
      <c r="A75" t="s">
        <v>726</v>
      </c>
      <c r="B75" t="s">
        <v>98</v>
      </c>
      <c r="C75" t="s">
        <v>431</v>
      </c>
      <c r="D75" t="s">
        <v>58</v>
      </c>
      <c r="E75" t="s">
        <v>418</v>
      </c>
      <c r="F75" t="s">
        <v>1375</v>
      </c>
      <c r="G75" t="s">
        <v>727</v>
      </c>
      <c r="H75" t="s">
        <v>1778</v>
      </c>
      <c r="I75" t="s">
        <v>1779</v>
      </c>
      <c r="J75" t="s">
        <v>1680</v>
      </c>
      <c r="K75" t="s">
        <v>341</v>
      </c>
      <c r="L75" t="s">
        <v>1681</v>
      </c>
      <c r="M75" t="s">
        <v>300</v>
      </c>
      <c r="N75" t="s">
        <v>391</v>
      </c>
      <c r="O75" t="s">
        <v>328</v>
      </c>
      <c r="P75" t="s">
        <v>301</v>
      </c>
      <c r="V75" t="s">
        <v>215</v>
      </c>
      <c r="W75" t="s">
        <v>215</v>
      </c>
      <c r="X75" t="s">
        <v>215</v>
      </c>
      <c r="Y75" t="s">
        <v>215</v>
      </c>
      <c r="AE75">
        <v>124.29</v>
      </c>
      <c r="AF75">
        <v>204.17</v>
      </c>
      <c r="AG75">
        <v>44.41</v>
      </c>
      <c r="AH75">
        <v>275.54000000000002</v>
      </c>
      <c r="AI75">
        <v>353.52</v>
      </c>
      <c r="AJ75">
        <v>197.55</v>
      </c>
      <c r="AK75">
        <v>355.43</v>
      </c>
      <c r="AL75">
        <v>419.04</v>
      </c>
      <c r="AM75">
        <v>291.82</v>
      </c>
      <c r="AN75">
        <v>228.41</v>
      </c>
      <c r="AO75">
        <v>289.39</v>
      </c>
      <c r="AP75">
        <v>167.43</v>
      </c>
    </row>
    <row r="76" spans="1:42" x14ac:dyDescent="0.3">
      <c r="A76" t="s">
        <v>607</v>
      </c>
      <c r="B76" t="s">
        <v>98</v>
      </c>
      <c r="C76" t="s">
        <v>431</v>
      </c>
      <c r="D76" t="s">
        <v>52</v>
      </c>
      <c r="E76" t="s">
        <v>418</v>
      </c>
      <c r="F76" t="s">
        <v>1508</v>
      </c>
      <c r="G76" t="s">
        <v>608</v>
      </c>
      <c r="H76" t="s">
        <v>1780</v>
      </c>
      <c r="I76" t="s">
        <v>215</v>
      </c>
      <c r="J76" t="s">
        <v>1644</v>
      </c>
      <c r="K76" t="s">
        <v>341</v>
      </c>
      <c r="L76" t="s">
        <v>1645</v>
      </c>
      <c r="M76" t="s">
        <v>300</v>
      </c>
      <c r="N76" t="s">
        <v>314</v>
      </c>
      <c r="O76" t="s">
        <v>78</v>
      </c>
      <c r="P76" t="s">
        <v>302</v>
      </c>
      <c r="V76" t="s">
        <v>215</v>
      </c>
      <c r="W76" t="s">
        <v>215</v>
      </c>
      <c r="X76" t="s">
        <v>215</v>
      </c>
      <c r="Y76" t="s">
        <v>215</v>
      </c>
      <c r="AE76">
        <v>46.69</v>
      </c>
      <c r="AF76">
        <v>66.209999999999994</v>
      </c>
      <c r="AG76">
        <v>27.18</v>
      </c>
      <c r="AH76">
        <v>84.06</v>
      </c>
      <c r="AI76">
        <v>117.7</v>
      </c>
      <c r="AJ76">
        <v>50.43</v>
      </c>
      <c r="AK76">
        <v>79.91</v>
      </c>
      <c r="AL76">
        <v>126.43</v>
      </c>
      <c r="AM76">
        <v>33.39</v>
      </c>
      <c r="AN76">
        <v>82.31</v>
      </c>
      <c r="AO76">
        <v>124.36</v>
      </c>
      <c r="AP76">
        <v>40.25</v>
      </c>
    </row>
    <row r="77" spans="1:42" x14ac:dyDescent="0.3">
      <c r="A77" t="s">
        <v>611</v>
      </c>
      <c r="B77" t="s">
        <v>98</v>
      </c>
      <c r="C77" t="s">
        <v>431</v>
      </c>
      <c r="D77" t="s">
        <v>58</v>
      </c>
      <c r="E77" t="s">
        <v>418</v>
      </c>
      <c r="F77" t="s">
        <v>1377</v>
      </c>
      <c r="G77" t="s">
        <v>612</v>
      </c>
      <c r="H77" t="s">
        <v>1781</v>
      </c>
      <c r="I77" t="s">
        <v>215</v>
      </c>
      <c r="J77" t="s">
        <v>1649</v>
      </c>
      <c r="K77" t="s">
        <v>341</v>
      </c>
      <c r="L77" t="s">
        <v>1650</v>
      </c>
      <c r="M77" t="s">
        <v>300</v>
      </c>
      <c r="N77" t="s">
        <v>356</v>
      </c>
      <c r="O77" t="s">
        <v>433</v>
      </c>
      <c r="P77" t="s">
        <v>299</v>
      </c>
      <c r="U77" t="s">
        <v>1025</v>
      </c>
      <c r="V77" t="s">
        <v>215</v>
      </c>
      <c r="W77" t="s">
        <v>215</v>
      </c>
      <c r="X77" t="s">
        <v>215</v>
      </c>
      <c r="Y77" t="s">
        <v>215</v>
      </c>
      <c r="AE77">
        <v>109.21</v>
      </c>
      <c r="AF77">
        <v>152.86000000000001</v>
      </c>
      <c r="AG77">
        <v>65.56</v>
      </c>
      <c r="AH77">
        <v>129.11000000000001</v>
      </c>
      <c r="AI77">
        <v>159.76</v>
      </c>
      <c r="AJ77">
        <v>98.47</v>
      </c>
      <c r="AK77">
        <v>75.23</v>
      </c>
      <c r="AL77">
        <v>124.38</v>
      </c>
      <c r="AM77">
        <v>26.08</v>
      </c>
      <c r="AN77">
        <v>120.79</v>
      </c>
      <c r="AO77">
        <v>176.52</v>
      </c>
      <c r="AP77">
        <v>65.05</v>
      </c>
    </row>
    <row r="78" spans="1:42" x14ac:dyDescent="0.3">
      <c r="A78" t="s">
        <v>728</v>
      </c>
      <c r="B78" t="s">
        <v>98</v>
      </c>
      <c r="C78" t="s">
        <v>431</v>
      </c>
      <c r="D78" t="s">
        <v>58</v>
      </c>
      <c r="E78" t="s">
        <v>418</v>
      </c>
      <c r="F78" t="s">
        <v>1379</v>
      </c>
      <c r="G78" t="s">
        <v>729</v>
      </c>
      <c r="H78" t="s">
        <v>1782</v>
      </c>
      <c r="I78" t="s">
        <v>215</v>
      </c>
      <c r="J78" t="s">
        <v>1783</v>
      </c>
      <c r="K78" t="s">
        <v>341</v>
      </c>
      <c r="L78" t="s">
        <v>1784</v>
      </c>
      <c r="M78" t="s">
        <v>300</v>
      </c>
      <c r="N78" t="s">
        <v>352</v>
      </c>
      <c r="O78" t="s">
        <v>311</v>
      </c>
      <c r="P78" t="s">
        <v>345</v>
      </c>
      <c r="Q78" t="s">
        <v>1785</v>
      </c>
      <c r="R78" t="s">
        <v>301</v>
      </c>
      <c r="S78" t="s">
        <v>297</v>
      </c>
      <c r="T78" t="s">
        <v>88</v>
      </c>
      <c r="V78" t="s">
        <v>215</v>
      </c>
      <c r="W78" t="s">
        <v>215</v>
      </c>
      <c r="X78" t="s">
        <v>215</v>
      </c>
      <c r="Y78" t="s">
        <v>215</v>
      </c>
      <c r="AE78">
        <v>248.26</v>
      </c>
      <c r="AF78">
        <v>298.39999999999998</v>
      </c>
      <c r="AG78">
        <v>198.11</v>
      </c>
      <c r="AH78">
        <v>236.25</v>
      </c>
      <c r="AI78">
        <v>291.60000000000002</v>
      </c>
      <c r="AJ78">
        <v>180.89</v>
      </c>
      <c r="AK78">
        <v>304.82</v>
      </c>
      <c r="AL78">
        <v>398.95</v>
      </c>
      <c r="AM78">
        <v>210.69</v>
      </c>
      <c r="AN78">
        <v>279.01</v>
      </c>
      <c r="AO78">
        <v>340.23</v>
      </c>
      <c r="AP78">
        <v>217.79</v>
      </c>
    </row>
    <row r="79" spans="1:42" x14ac:dyDescent="0.3">
      <c r="A79" t="s">
        <v>730</v>
      </c>
      <c r="B79" t="s">
        <v>98</v>
      </c>
      <c r="C79" t="s">
        <v>431</v>
      </c>
      <c r="D79" t="s">
        <v>52</v>
      </c>
      <c r="E79" t="s">
        <v>418</v>
      </c>
      <c r="F79" t="s">
        <v>1510</v>
      </c>
      <c r="G79" t="s">
        <v>731</v>
      </c>
      <c r="H79" t="s">
        <v>1786</v>
      </c>
      <c r="I79" t="s">
        <v>215</v>
      </c>
      <c r="J79" t="s">
        <v>1649</v>
      </c>
      <c r="K79" t="s">
        <v>341</v>
      </c>
      <c r="L79" t="s">
        <v>1650</v>
      </c>
      <c r="M79" t="s">
        <v>300</v>
      </c>
      <c r="N79" t="s">
        <v>88</v>
      </c>
      <c r="O79" t="s">
        <v>311</v>
      </c>
      <c r="P79" t="s">
        <v>301</v>
      </c>
      <c r="R79" t="s">
        <v>297</v>
      </c>
      <c r="V79" t="s">
        <v>215</v>
      </c>
      <c r="W79" t="s">
        <v>215</v>
      </c>
      <c r="X79" t="s">
        <v>215</v>
      </c>
      <c r="Y79" t="s">
        <v>215</v>
      </c>
      <c r="AE79">
        <v>178.5</v>
      </c>
      <c r="AF79">
        <v>235.45</v>
      </c>
      <c r="AG79">
        <v>121.55</v>
      </c>
      <c r="AH79">
        <v>189.7</v>
      </c>
      <c r="AI79">
        <v>243.07</v>
      </c>
      <c r="AJ79">
        <v>136.33000000000001</v>
      </c>
      <c r="AK79">
        <v>221.89</v>
      </c>
      <c r="AL79">
        <v>276.38</v>
      </c>
      <c r="AM79">
        <v>167.4</v>
      </c>
      <c r="AN79">
        <v>191.61</v>
      </c>
      <c r="AO79">
        <v>234.07</v>
      </c>
      <c r="AP79">
        <v>149.15</v>
      </c>
    </row>
    <row r="80" spans="1:42" x14ac:dyDescent="0.3">
      <c r="A80" t="s">
        <v>748</v>
      </c>
      <c r="B80" t="s">
        <v>98</v>
      </c>
      <c r="C80" t="s">
        <v>431</v>
      </c>
      <c r="D80" t="s">
        <v>58</v>
      </c>
      <c r="E80" t="s">
        <v>1384</v>
      </c>
      <c r="F80" t="s">
        <v>346</v>
      </c>
      <c r="G80" t="s">
        <v>749</v>
      </c>
      <c r="H80" t="s">
        <v>1787</v>
      </c>
      <c r="I80" t="s">
        <v>215</v>
      </c>
      <c r="J80" t="s">
        <v>1788</v>
      </c>
      <c r="K80" t="s">
        <v>341</v>
      </c>
      <c r="L80" t="s">
        <v>1789</v>
      </c>
      <c r="M80" t="s">
        <v>300</v>
      </c>
      <c r="N80" t="s">
        <v>353</v>
      </c>
      <c r="O80" t="s">
        <v>307</v>
      </c>
      <c r="P80" t="s">
        <v>302</v>
      </c>
      <c r="Q80" t="s">
        <v>564</v>
      </c>
      <c r="R80" t="s">
        <v>301</v>
      </c>
      <c r="S80" t="s">
        <v>302</v>
      </c>
      <c r="T80" t="s">
        <v>133</v>
      </c>
      <c r="V80" t="s">
        <v>215</v>
      </c>
      <c r="W80" t="s">
        <v>215</v>
      </c>
      <c r="X80" t="s">
        <v>215</v>
      </c>
      <c r="Y80" t="s">
        <v>215</v>
      </c>
      <c r="AE80">
        <v>73.819999999999993</v>
      </c>
      <c r="AF80">
        <v>94.9</v>
      </c>
      <c r="AG80">
        <v>52.74</v>
      </c>
      <c r="AH80">
        <v>74.88</v>
      </c>
      <c r="AI80">
        <v>97.3</v>
      </c>
      <c r="AJ80">
        <v>52.47</v>
      </c>
      <c r="AK80">
        <v>89.87</v>
      </c>
      <c r="AL80">
        <v>112.73</v>
      </c>
      <c r="AM80">
        <v>67.010000000000005</v>
      </c>
      <c r="AN80">
        <v>69.78</v>
      </c>
      <c r="AO80">
        <v>93.56</v>
      </c>
      <c r="AP80">
        <v>46</v>
      </c>
    </row>
    <row r="81" spans="1:42" x14ac:dyDescent="0.3">
      <c r="A81" t="s">
        <v>750</v>
      </c>
      <c r="B81" t="s">
        <v>98</v>
      </c>
      <c r="C81" t="s">
        <v>431</v>
      </c>
      <c r="D81" t="s">
        <v>58</v>
      </c>
      <c r="E81" t="s">
        <v>1384</v>
      </c>
      <c r="F81" t="s">
        <v>360</v>
      </c>
      <c r="G81" t="s">
        <v>751</v>
      </c>
      <c r="H81" t="s">
        <v>1790</v>
      </c>
      <c r="I81" t="s">
        <v>215</v>
      </c>
      <c r="J81" t="s">
        <v>1680</v>
      </c>
      <c r="K81" t="s">
        <v>341</v>
      </c>
      <c r="L81" t="s">
        <v>1681</v>
      </c>
      <c r="M81" t="s">
        <v>323</v>
      </c>
      <c r="N81" t="s">
        <v>88</v>
      </c>
      <c r="O81" t="s">
        <v>133</v>
      </c>
      <c r="P81" t="s">
        <v>302</v>
      </c>
      <c r="V81" t="s">
        <v>215</v>
      </c>
      <c r="W81" t="s">
        <v>215</v>
      </c>
      <c r="X81" t="s">
        <v>215</v>
      </c>
      <c r="Y81" t="s">
        <v>215</v>
      </c>
      <c r="AE81">
        <v>48.65</v>
      </c>
      <c r="AF81">
        <v>52.12</v>
      </c>
      <c r="AG81">
        <v>45.17</v>
      </c>
      <c r="AH81">
        <v>44.31</v>
      </c>
      <c r="AI81">
        <v>48</v>
      </c>
      <c r="AJ81">
        <v>40.619999999999997</v>
      </c>
      <c r="AK81">
        <v>55.99</v>
      </c>
      <c r="AL81">
        <v>59.99</v>
      </c>
      <c r="AM81">
        <v>51.99</v>
      </c>
      <c r="AN81">
        <v>57.74</v>
      </c>
      <c r="AO81">
        <v>61.87</v>
      </c>
      <c r="AP81">
        <v>53.62</v>
      </c>
    </row>
    <row r="82" spans="1:42" x14ac:dyDescent="0.3">
      <c r="A82" t="s">
        <v>822</v>
      </c>
      <c r="B82" t="s">
        <v>98</v>
      </c>
      <c r="C82" t="s">
        <v>431</v>
      </c>
      <c r="D82" t="s">
        <v>59</v>
      </c>
      <c r="E82" t="s">
        <v>1583</v>
      </c>
      <c r="F82" t="s">
        <v>340</v>
      </c>
      <c r="G82" t="s">
        <v>1249</v>
      </c>
      <c r="H82" t="s">
        <v>1791</v>
      </c>
      <c r="I82" t="s">
        <v>215</v>
      </c>
      <c r="J82" t="s">
        <v>1664</v>
      </c>
      <c r="K82" t="s">
        <v>341</v>
      </c>
      <c r="L82" t="s">
        <v>1661</v>
      </c>
      <c r="M82" t="s">
        <v>300</v>
      </c>
      <c r="N82" t="s">
        <v>77</v>
      </c>
      <c r="O82" t="s">
        <v>400</v>
      </c>
      <c r="U82" t="s">
        <v>1170</v>
      </c>
      <c r="V82" t="s">
        <v>215</v>
      </c>
      <c r="W82" t="s">
        <v>215</v>
      </c>
      <c r="X82" t="s">
        <v>215</v>
      </c>
      <c r="Y82" t="s">
        <v>215</v>
      </c>
      <c r="AH82">
        <v>85.69</v>
      </c>
      <c r="AI82">
        <v>111.15</v>
      </c>
      <c r="AJ82">
        <v>60.23</v>
      </c>
      <c r="AK82">
        <v>128.74</v>
      </c>
      <c r="AL82">
        <v>134.31</v>
      </c>
      <c r="AM82">
        <v>123.17</v>
      </c>
      <c r="AN82">
        <v>30.43</v>
      </c>
      <c r="AO82">
        <v>131.86000000000001</v>
      </c>
      <c r="AP82">
        <v>-71</v>
      </c>
    </row>
    <row r="83" spans="1:42" x14ac:dyDescent="0.3">
      <c r="A83" t="s">
        <v>700</v>
      </c>
      <c r="B83" t="s">
        <v>98</v>
      </c>
      <c r="C83" t="s">
        <v>431</v>
      </c>
      <c r="D83" t="s">
        <v>60</v>
      </c>
      <c r="E83" t="s">
        <v>1622</v>
      </c>
      <c r="F83" t="s">
        <v>340</v>
      </c>
      <c r="G83" t="s">
        <v>701</v>
      </c>
      <c r="H83" t="s">
        <v>1698</v>
      </c>
      <c r="I83" t="s">
        <v>215</v>
      </c>
      <c r="J83" t="s">
        <v>1638</v>
      </c>
      <c r="K83" t="s">
        <v>341</v>
      </c>
      <c r="L83" t="s">
        <v>1639</v>
      </c>
      <c r="M83" t="s">
        <v>300</v>
      </c>
      <c r="N83" t="s">
        <v>325</v>
      </c>
      <c r="O83" t="s">
        <v>307</v>
      </c>
      <c r="P83" t="s">
        <v>313</v>
      </c>
      <c r="Q83" t="s">
        <v>394</v>
      </c>
      <c r="R83" t="s">
        <v>302</v>
      </c>
      <c r="S83" t="s">
        <v>297</v>
      </c>
      <c r="T83" t="s">
        <v>313</v>
      </c>
      <c r="V83" t="s">
        <v>215</v>
      </c>
      <c r="W83" t="s">
        <v>215</v>
      </c>
      <c r="X83" t="s">
        <v>215</v>
      </c>
      <c r="Y83" t="s">
        <v>215</v>
      </c>
      <c r="AE83">
        <v>44.93</v>
      </c>
      <c r="AF83">
        <v>45.11</v>
      </c>
      <c r="AG83">
        <v>44.75</v>
      </c>
      <c r="AH83">
        <v>47.34</v>
      </c>
      <c r="AI83">
        <v>48.68</v>
      </c>
      <c r="AJ83">
        <v>46</v>
      </c>
      <c r="AK83">
        <v>48.31</v>
      </c>
      <c r="AL83">
        <v>48.31</v>
      </c>
      <c r="AM83">
        <v>48.31</v>
      </c>
      <c r="AN83">
        <v>49.01</v>
      </c>
      <c r="AO83">
        <v>50.19</v>
      </c>
      <c r="AP83">
        <v>47.83</v>
      </c>
    </row>
    <row r="84" spans="1:42" x14ac:dyDescent="0.3">
      <c r="A84" t="s">
        <v>857</v>
      </c>
      <c r="B84" t="s">
        <v>98</v>
      </c>
      <c r="C84" t="s">
        <v>431</v>
      </c>
      <c r="D84" t="s">
        <v>60</v>
      </c>
      <c r="E84" t="s">
        <v>1623</v>
      </c>
      <c r="F84" t="s">
        <v>340</v>
      </c>
      <c r="G84" t="s">
        <v>858</v>
      </c>
      <c r="H84" t="s">
        <v>1792</v>
      </c>
      <c r="I84" t="s">
        <v>215</v>
      </c>
      <c r="J84" t="s">
        <v>1793</v>
      </c>
      <c r="K84" t="s">
        <v>341</v>
      </c>
      <c r="L84" t="s">
        <v>1794</v>
      </c>
      <c r="M84" t="s">
        <v>300</v>
      </c>
      <c r="N84" t="s">
        <v>315</v>
      </c>
      <c r="O84" t="s">
        <v>311</v>
      </c>
      <c r="V84" t="s">
        <v>215</v>
      </c>
      <c r="W84" t="s">
        <v>215</v>
      </c>
      <c r="X84" t="s">
        <v>215</v>
      </c>
      <c r="Y84" t="s">
        <v>215</v>
      </c>
      <c r="AE84">
        <v>254.96</v>
      </c>
      <c r="AF84">
        <v>268.31</v>
      </c>
      <c r="AG84">
        <v>241.6</v>
      </c>
      <c r="AH84">
        <v>240.13</v>
      </c>
      <c r="AI84">
        <v>258.83999999999997</v>
      </c>
      <c r="AJ84">
        <v>221.43</v>
      </c>
      <c r="AK84">
        <v>238.11</v>
      </c>
      <c r="AL84">
        <v>292.33999999999997</v>
      </c>
      <c r="AM84">
        <v>183.88</v>
      </c>
      <c r="AN84">
        <v>245.68</v>
      </c>
      <c r="AO84">
        <v>260.08999999999997</v>
      </c>
      <c r="AP84">
        <v>231.27</v>
      </c>
    </row>
    <row r="85" spans="1:42" x14ac:dyDescent="0.3">
      <c r="A85" t="s">
        <v>613</v>
      </c>
      <c r="B85" t="s">
        <v>98</v>
      </c>
      <c r="C85" t="s">
        <v>431</v>
      </c>
      <c r="D85" t="s">
        <v>53</v>
      </c>
      <c r="E85" t="s">
        <v>1439</v>
      </c>
      <c r="F85" t="s">
        <v>340</v>
      </c>
      <c r="G85" t="s">
        <v>614</v>
      </c>
      <c r="H85" t="s">
        <v>1795</v>
      </c>
      <c r="I85" t="s">
        <v>215</v>
      </c>
      <c r="J85" t="s">
        <v>1695</v>
      </c>
      <c r="K85" t="s">
        <v>341</v>
      </c>
      <c r="L85" t="s">
        <v>1671</v>
      </c>
      <c r="M85" t="s">
        <v>300</v>
      </c>
      <c r="N85" t="s">
        <v>306</v>
      </c>
      <c r="O85" t="s">
        <v>307</v>
      </c>
      <c r="P85" t="s">
        <v>296</v>
      </c>
      <c r="V85" t="s">
        <v>215</v>
      </c>
      <c r="W85" t="s">
        <v>215</v>
      </c>
      <c r="X85" t="s">
        <v>215</v>
      </c>
      <c r="Y85" t="s">
        <v>215</v>
      </c>
      <c r="AE85">
        <v>127.69</v>
      </c>
      <c r="AF85">
        <v>127.69</v>
      </c>
      <c r="AG85">
        <v>127.69</v>
      </c>
      <c r="AH85">
        <v>97.4</v>
      </c>
      <c r="AI85">
        <v>116.04</v>
      </c>
      <c r="AJ85">
        <v>78.760000000000005</v>
      </c>
      <c r="AK85">
        <v>83.94</v>
      </c>
      <c r="AL85">
        <v>83.94</v>
      </c>
      <c r="AM85">
        <v>83.94</v>
      </c>
      <c r="AN85">
        <v>91.97</v>
      </c>
      <c r="AO85">
        <v>98.54</v>
      </c>
      <c r="AP85">
        <v>85.4</v>
      </c>
    </row>
    <row r="86" spans="1:42" x14ac:dyDescent="0.3">
      <c r="A86" t="s">
        <v>897</v>
      </c>
      <c r="B86" t="s">
        <v>98</v>
      </c>
      <c r="C86" t="s">
        <v>431</v>
      </c>
      <c r="D86" t="s">
        <v>52</v>
      </c>
      <c r="E86" t="s">
        <v>1505</v>
      </c>
      <c r="F86" t="s">
        <v>340</v>
      </c>
      <c r="G86" t="s">
        <v>898</v>
      </c>
      <c r="H86" t="s">
        <v>1796</v>
      </c>
      <c r="I86" t="s">
        <v>215</v>
      </c>
      <c r="J86" t="s">
        <v>1649</v>
      </c>
      <c r="K86" t="s">
        <v>341</v>
      </c>
      <c r="L86" t="s">
        <v>1650</v>
      </c>
      <c r="M86" t="s">
        <v>303</v>
      </c>
      <c r="N86" t="s">
        <v>315</v>
      </c>
      <c r="O86" t="s">
        <v>133</v>
      </c>
      <c r="V86" t="s">
        <v>215</v>
      </c>
      <c r="W86" t="s">
        <v>215</v>
      </c>
      <c r="X86" t="s">
        <v>215</v>
      </c>
      <c r="Y86" t="s">
        <v>215</v>
      </c>
      <c r="AE86">
        <v>33.18</v>
      </c>
      <c r="AF86">
        <v>35.94</v>
      </c>
      <c r="AG86">
        <v>30.41</v>
      </c>
      <c r="AH86">
        <v>39.97</v>
      </c>
      <c r="AI86">
        <v>42.83</v>
      </c>
      <c r="AJ86">
        <v>37.119999999999997</v>
      </c>
      <c r="AK86">
        <v>36.25</v>
      </c>
      <c r="AL86">
        <v>39.28</v>
      </c>
      <c r="AM86">
        <v>33.229999999999997</v>
      </c>
      <c r="AN86">
        <v>44.84</v>
      </c>
      <c r="AO86">
        <v>48.04</v>
      </c>
      <c r="AP86">
        <v>41.64</v>
      </c>
    </row>
    <row r="87" spans="1:42" x14ac:dyDescent="0.3">
      <c r="A87" t="s">
        <v>702</v>
      </c>
      <c r="B87" t="s">
        <v>98</v>
      </c>
      <c r="C87" t="s">
        <v>431</v>
      </c>
      <c r="D87" t="s">
        <v>58</v>
      </c>
      <c r="E87" t="s">
        <v>1369</v>
      </c>
      <c r="F87" t="s">
        <v>340</v>
      </c>
      <c r="G87" t="s">
        <v>703</v>
      </c>
      <c r="H87" t="s">
        <v>1797</v>
      </c>
      <c r="I87" t="s">
        <v>215</v>
      </c>
      <c r="J87" t="s">
        <v>1783</v>
      </c>
      <c r="K87" t="s">
        <v>341</v>
      </c>
      <c r="L87" t="s">
        <v>1784</v>
      </c>
      <c r="M87" t="s">
        <v>300</v>
      </c>
      <c r="N87" t="s">
        <v>317</v>
      </c>
      <c r="O87" t="s">
        <v>307</v>
      </c>
      <c r="P87" t="s">
        <v>302</v>
      </c>
      <c r="V87" t="s">
        <v>215</v>
      </c>
      <c r="W87" t="s">
        <v>215</v>
      </c>
      <c r="X87" t="s">
        <v>215</v>
      </c>
      <c r="Y87" t="s">
        <v>215</v>
      </c>
      <c r="AE87">
        <v>170.49</v>
      </c>
      <c r="AF87">
        <v>181.8</v>
      </c>
      <c r="AG87">
        <v>159.16999999999999</v>
      </c>
      <c r="AH87">
        <v>160.32</v>
      </c>
      <c r="AI87">
        <v>169.35</v>
      </c>
      <c r="AJ87">
        <v>151.28</v>
      </c>
      <c r="AK87">
        <v>153.31</v>
      </c>
      <c r="AL87">
        <v>164.17</v>
      </c>
      <c r="AM87">
        <v>142.46</v>
      </c>
      <c r="AN87">
        <v>135.32</v>
      </c>
      <c r="AO87">
        <v>156.13</v>
      </c>
      <c r="AP87">
        <v>114.5</v>
      </c>
    </row>
    <row r="88" spans="1:42" x14ac:dyDescent="0.3">
      <c r="A88" t="s">
        <v>752</v>
      </c>
      <c r="B88" t="s">
        <v>98</v>
      </c>
      <c r="C88" t="s">
        <v>431</v>
      </c>
      <c r="D88" t="s">
        <v>58</v>
      </c>
      <c r="E88" t="s">
        <v>1384</v>
      </c>
      <c r="F88" t="s">
        <v>347</v>
      </c>
      <c r="G88" t="s">
        <v>753</v>
      </c>
      <c r="H88" t="s">
        <v>1798</v>
      </c>
      <c r="I88" t="s">
        <v>215</v>
      </c>
      <c r="J88" t="s">
        <v>1715</v>
      </c>
      <c r="K88" t="s">
        <v>341</v>
      </c>
      <c r="L88" t="s">
        <v>1716</v>
      </c>
      <c r="M88" t="s">
        <v>323</v>
      </c>
      <c r="N88" t="s">
        <v>401</v>
      </c>
      <c r="O88" t="s">
        <v>205</v>
      </c>
      <c r="P88" t="s">
        <v>302</v>
      </c>
      <c r="V88" t="s">
        <v>215</v>
      </c>
      <c r="W88" t="s">
        <v>215</v>
      </c>
      <c r="X88" t="s">
        <v>215</v>
      </c>
      <c r="Y88" t="s">
        <v>215</v>
      </c>
      <c r="AH88">
        <v>35.72</v>
      </c>
      <c r="AI88">
        <v>46.38</v>
      </c>
      <c r="AJ88">
        <v>25.07</v>
      </c>
      <c r="AK88">
        <v>50.3</v>
      </c>
      <c r="AL88">
        <v>53.9</v>
      </c>
      <c r="AM88">
        <v>46.71</v>
      </c>
      <c r="AN88">
        <v>39.659999999999997</v>
      </c>
      <c r="AO88">
        <v>46.52</v>
      </c>
      <c r="AP88">
        <v>32.799999999999997</v>
      </c>
    </row>
    <row r="89" spans="1:42" x14ac:dyDescent="0.3">
      <c r="A89" t="s">
        <v>638</v>
      </c>
      <c r="B89" t="s">
        <v>98</v>
      </c>
      <c r="C89" t="s">
        <v>431</v>
      </c>
      <c r="D89" t="s">
        <v>52</v>
      </c>
      <c r="E89" t="s">
        <v>1474</v>
      </c>
      <c r="F89" t="s">
        <v>363</v>
      </c>
      <c r="G89" t="s">
        <v>639</v>
      </c>
      <c r="H89" t="s">
        <v>1799</v>
      </c>
      <c r="I89" t="s">
        <v>215</v>
      </c>
      <c r="J89" t="s">
        <v>1644</v>
      </c>
      <c r="K89" t="s">
        <v>341</v>
      </c>
      <c r="L89" t="s">
        <v>1645</v>
      </c>
      <c r="M89" t="s">
        <v>300</v>
      </c>
      <c r="N89" t="s">
        <v>403</v>
      </c>
      <c r="O89" t="s">
        <v>128</v>
      </c>
      <c r="P89" t="s">
        <v>302</v>
      </c>
      <c r="U89" t="s">
        <v>1036</v>
      </c>
      <c r="V89" t="s">
        <v>215</v>
      </c>
      <c r="W89" t="s">
        <v>215</v>
      </c>
      <c r="X89" t="s">
        <v>215</v>
      </c>
      <c r="Y89" t="s">
        <v>215</v>
      </c>
      <c r="AH89">
        <v>14.13</v>
      </c>
      <c r="AI89">
        <v>183.74</v>
      </c>
      <c r="AJ89">
        <v>-155.47</v>
      </c>
      <c r="AK89">
        <v>89.8</v>
      </c>
      <c r="AL89">
        <v>155.53</v>
      </c>
      <c r="AM89">
        <v>24.07</v>
      </c>
    </row>
    <row r="90" spans="1:42" x14ac:dyDescent="0.3">
      <c r="A90" t="s">
        <v>663</v>
      </c>
      <c r="B90" t="s">
        <v>98</v>
      </c>
      <c r="C90" t="s">
        <v>431</v>
      </c>
      <c r="D90" t="s">
        <v>58</v>
      </c>
      <c r="E90" t="s">
        <v>1353</v>
      </c>
      <c r="F90" t="s">
        <v>347</v>
      </c>
      <c r="G90" t="s">
        <v>665</v>
      </c>
      <c r="H90" t="s">
        <v>1800</v>
      </c>
      <c r="I90" t="s">
        <v>215</v>
      </c>
      <c r="J90" t="s">
        <v>1680</v>
      </c>
      <c r="K90" t="s">
        <v>341</v>
      </c>
      <c r="L90" t="s">
        <v>1681</v>
      </c>
      <c r="M90" t="s">
        <v>300</v>
      </c>
      <c r="N90" t="s">
        <v>315</v>
      </c>
      <c r="O90" t="s">
        <v>204</v>
      </c>
      <c r="P90" t="s">
        <v>302</v>
      </c>
      <c r="U90" t="s">
        <v>1258</v>
      </c>
      <c r="V90" t="s">
        <v>215</v>
      </c>
      <c r="W90" t="s">
        <v>215</v>
      </c>
      <c r="X90" t="s">
        <v>215</v>
      </c>
      <c r="Y90" t="s">
        <v>215</v>
      </c>
      <c r="AK90">
        <v>4.12</v>
      </c>
      <c r="AL90">
        <v>53.51</v>
      </c>
      <c r="AM90">
        <v>-45.28</v>
      </c>
      <c r="AN90">
        <v>53.22</v>
      </c>
      <c r="AO90">
        <v>57.25</v>
      </c>
      <c r="AP90">
        <v>49.2</v>
      </c>
    </row>
    <row r="91" spans="1:42" x14ac:dyDescent="0.3">
      <c r="A91" t="s">
        <v>767</v>
      </c>
      <c r="B91" t="s">
        <v>98</v>
      </c>
      <c r="C91" t="s">
        <v>431</v>
      </c>
      <c r="D91" t="s">
        <v>58</v>
      </c>
      <c r="E91" t="s">
        <v>537</v>
      </c>
      <c r="F91" t="s">
        <v>532</v>
      </c>
      <c r="G91" t="s">
        <v>1259</v>
      </c>
      <c r="H91" t="s">
        <v>1801</v>
      </c>
      <c r="I91" t="s">
        <v>357</v>
      </c>
      <c r="J91" t="s">
        <v>1680</v>
      </c>
      <c r="K91" t="s">
        <v>341</v>
      </c>
      <c r="L91" t="s">
        <v>1681</v>
      </c>
      <c r="M91" t="s">
        <v>323</v>
      </c>
      <c r="N91" t="s">
        <v>149</v>
      </c>
      <c r="O91" t="s">
        <v>308</v>
      </c>
      <c r="V91" t="s">
        <v>215</v>
      </c>
      <c r="W91" t="s">
        <v>215</v>
      </c>
      <c r="X91" t="s">
        <v>215</v>
      </c>
      <c r="Y91" t="s">
        <v>215</v>
      </c>
      <c r="AN91">
        <v>24.75</v>
      </c>
      <c r="AO91">
        <v>28.25</v>
      </c>
      <c r="AP91">
        <v>21.25</v>
      </c>
    </row>
    <row r="92" spans="1:42" x14ac:dyDescent="0.3">
      <c r="A92" t="s">
        <v>704</v>
      </c>
      <c r="B92" t="s">
        <v>98</v>
      </c>
      <c r="C92" t="s">
        <v>431</v>
      </c>
      <c r="D92" t="s">
        <v>59</v>
      </c>
      <c r="E92" t="s">
        <v>1587</v>
      </c>
      <c r="F92" t="s">
        <v>340</v>
      </c>
      <c r="G92" t="s">
        <v>705</v>
      </c>
      <c r="H92" t="s">
        <v>1802</v>
      </c>
      <c r="I92" t="s">
        <v>215</v>
      </c>
      <c r="J92" t="s">
        <v>1674</v>
      </c>
      <c r="K92" t="s">
        <v>341</v>
      </c>
      <c r="L92" t="s">
        <v>1642</v>
      </c>
      <c r="M92" t="s">
        <v>300</v>
      </c>
      <c r="N92" t="s">
        <v>297</v>
      </c>
      <c r="O92" t="s">
        <v>355</v>
      </c>
      <c r="P92" t="s">
        <v>768</v>
      </c>
      <c r="Q92" t="s">
        <v>1803</v>
      </c>
      <c r="R92" t="s">
        <v>350</v>
      </c>
      <c r="S92" t="s">
        <v>362</v>
      </c>
      <c r="T92" t="s">
        <v>768</v>
      </c>
      <c r="V92" t="s">
        <v>215</v>
      </c>
      <c r="W92" t="s">
        <v>215</v>
      </c>
      <c r="X92" t="s">
        <v>215</v>
      </c>
      <c r="Y92" t="s">
        <v>215</v>
      </c>
      <c r="AN92">
        <v>1310.5</v>
      </c>
      <c r="AO92">
        <v>2453.0100000000002</v>
      </c>
      <c r="AP92">
        <v>167.99</v>
      </c>
    </row>
    <row r="93" spans="1:42" x14ac:dyDescent="0.3">
      <c r="A93" t="s">
        <v>800</v>
      </c>
      <c r="B93" t="s">
        <v>98</v>
      </c>
      <c r="C93" t="s">
        <v>431</v>
      </c>
      <c r="D93" t="s">
        <v>53</v>
      </c>
      <c r="E93" t="s">
        <v>1441</v>
      </c>
      <c r="F93" t="s">
        <v>340</v>
      </c>
      <c r="G93" t="s">
        <v>864</v>
      </c>
      <c r="H93" t="s">
        <v>1804</v>
      </c>
      <c r="I93" t="s">
        <v>215</v>
      </c>
      <c r="J93" t="s">
        <v>1695</v>
      </c>
      <c r="K93" t="s">
        <v>341</v>
      </c>
      <c r="L93" t="s">
        <v>1671</v>
      </c>
      <c r="M93" t="s">
        <v>299</v>
      </c>
      <c r="N93" t="s">
        <v>297</v>
      </c>
      <c r="O93" t="s">
        <v>298</v>
      </c>
      <c r="V93" t="s">
        <v>215</v>
      </c>
      <c r="W93" t="s">
        <v>215</v>
      </c>
      <c r="X93" t="s">
        <v>215</v>
      </c>
      <c r="Y93" t="s">
        <v>215</v>
      </c>
      <c r="AN93">
        <v>9.9</v>
      </c>
      <c r="AO93">
        <v>32.17</v>
      </c>
      <c r="AP93">
        <v>-12.37</v>
      </c>
    </row>
    <row r="94" spans="1:42" x14ac:dyDescent="0.3">
      <c r="A94" t="s">
        <v>823</v>
      </c>
      <c r="B94" t="s">
        <v>98</v>
      </c>
      <c r="C94" t="s">
        <v>431</v>
      </c>
      <c r="D94" t="s">
        <v>52</v>
      </c>
      <c r="E94" t="s">
        <v>1460</v>
      </c>
      <c r="F94" t="s">
        <v>340</v>
      </c>
      <c r="G94" t="s">
        <v>758</v>
      </c>
      <c r="H94" t="s">
        <v>1805</v>
      </c>
      <c r="I94" t="s">
        <v>1806</v>
      </c>
      <c r="J94" t="s">
        <v>1807</v>
      </c>
      <c r="K94" t="s">
        <v>341</v>
      </c>
      <c r="L94" t="s">
        <v>1645</v>
      </c>
      <c r="M94" t="s">
        <v>300</v>
      </c>
      <c r="N94" t="s">
        <v>397</v>
      </c>
      <c r="O94" t="s">
        <v>330</v>
      </c>
      <c r="U94" t="s">
        <v>1042</v>
      </c>
      <c r="V94" t="s">
        <v>215</v>
      </c>
      <c r="W94" t="s">
        <v>215</v>
      </c>
      <c r="X94" t="s">
        <v>215</v>
      </c>
      <c r="Y94" t="s">
        <v>215</v>
      </c>
      <c r="AH94">
        <v>224.35</v>
      </c>
      <c r="AI94">
        <v>305.13</v>
      </c>
      <c r="AJ94">
        <v>143.58000000000001</v>
      </c>
      <c r="AK94">
        <v>319.27</v>
      </c>
      <c r="AL94">
        <v>321.58999999999997</v>
      </c>
      <c r="AM94">
        <v>316.95999999999998</v>
      </c>
      <c r="AN94">
        <v>74.010000000000005</v>
      </c>
      <c r="AO94">
        <v>320.7</v>
      </c>
      <c r="AP94">
        <v>-172.68</v>
      </c>
    </row>
    <row r="95" spans="1:42" x14ac:dyDescent="0.3">
      <c r="A95" t="s">
        <v>597</v>
      </c>
      <c r="B95" t="s">
        <v>98</v>
      </c>
      <c r="C95" t="s">
        <v>431</v>
      </c>
      <c r="D95" t="s">
        <v>52</v>
      </c>
      <c r="E95" t="s">
        <v>1462</v>
      </c>
      <c r="F95" t="s">
        <v>340</v>
      </c>
      <c r="G95" t="s">
        <v>598</v>
      </c>
      <c r="H95" t="s">
        <v>1808</v>
      </c>
      <c r="I95" t="s">
        <v>357</v>
      </c>
      <c r="J95" t="s">
        <v>1809</v>
      </c>
      <c r="K95" t="s">
        <v>341</v>
      </c>
      <c r="L95" t="s">
        <v>1645</v>
      </c>
      <c r="M95" t="s">
        <v>300</v>
      </c>
      <c r="N95" t="s">
        <v>306</v>
      </c>
      <c r="O95" t="s">
        <v>133</v>
      </c>
      <c r="P95" t="s">
        <v>302</v>
      </c>
      <c r="U95" t="s">
        <v>1045</v>
      </c>
      <c r="V95" t="s">
        <v>215</v>
      </c>
      <c r="W95" t="s">
        <v>215</v>
      </c>
      <c r="X95" t="s">
        <v>215</v>
      </c>
      <c r="Y95" t="s">
        <v>215</v>
      </c>
      <c r="AH95">
        <v>79.94</v>
      </c>
      <c r="AI95">
        <v>119.91</v>
      </c>
      <c r="AJ95">
        <v>39.97</v>
      </c>
      <c r="AK95">
        <v>112.56</v>
      </c>
      <c r="AL95">
        <v>112.71</v>
      </c>
      <c r="AM95">
        <v>112.4</v>
      </c>
      <c r="AN95">
        <v>34.619999999999997</v>
      </c>
      <c r="AO95">
        <v>112.5</v>
      </c>
      <c r="AP95">
        <v>-43.27</v>
      </c>
    </row>
    <row r="96" spans="1:42" x14ac:dyDescent="0.3">
      <c r="A96" t="s">
        <v>599</v>
      </c>
      <c r="B96" t="s">
        <v>98</v>
      </c>
      <c r="C96" t="s">
        <v>431</v>
      </c>
      <c r="D96" t="s">
        <v>52</v>
      </c>
      <c r="E96" t="s">
        <v>1464</v>
      </c>
      <c r="F96" t="s">
        <v>340</v>
      </c>
      <c r="G96" t="s">
        <v>600</v>
      </c>
      <c r="H96" t="s">
        <v>1810</v>
      </c>
      <c r="I96" t="s">
        <v>357</v>
      </c>
      <c r="J96" t="s">
        <v>1809</v>
      </c>
      <c r="K96" t="s">
        <v>341</v>
      </c>
      <c r="L96" t="s">
        <v>1645</v>
      </c>
      <c r="M96" t="s">
        <v>300</v>
      </c>
      <c r="N96" t="s">
        <v>401</v>
      </c>
      <c r="O96" t="s">
        <v>129</v>
      </c>
      <c r="P96" t="s">
        <v>88</v>
      </c>
      <c r="Q96" t="s">
        <v>1811</v>
      </c>
      <c r="R96" t="s">
        <v>320</v>
      </c>
      <c r="S96" t="s">
        <v>297</v>
      </c>
      <c r="T96" t="s">
        <v>88</v>
      </c>
      <c r="U96" t="s">
        <v>1048</v>
      </c>
      <c r="V96" t="s">
        <v>215</v>
      </c>
      <c r="W96" t="s">
        <v>215</v>
      </c>
      <c r="X96" t="s">
        <v>215</v>
      </c>
      <c r="Y96" t="s">
        <v>215</v>
      </c>
      <c r="AH96">
        <v>24.18</v>
      </c>
      <c r="AI96">
        <v>45.33</v>
      </c>
      <c r="AJ96">
        <v>3.02</v>
      </c>
      <c r="AK96">
        <v>55.45</v>
      </c>
      <c r="AL96">
        <v>62.78</v>
      </c>
      <c r="AM96">
        <v>48.11</v>
      </c>
    </row>
    <row r="97" spans="1:42" x14ac:dyDescent="0.3">
      <c r="A97" t="s">
        <v>824</v>
      </c>
      <c r="B97" t="s">
        <v>98</v>
      </c>
      <c r="C97" t="s">
        <v>431</v>
      </c>
      <c r="D97" t="s">
        <v>59</v>
      </c>
      <c r="E97" t="s">
        <v>1536</v>
      </c>
      <c r="F97" t="s">
        <v>363</v>
      </c>
      <c r="G97" t="s">
        <v>1262</v>
      </c>
      <c r="H97" t="s">
        <v>1812</v>
      </c>
      <c r="I97" t="s">
        <v>1663</v>
      </c>
      <c r="J97" t="s">
        <v>1664</v>
      </c>
      <c r="K97" t="s">
        <v>341</v>
      </c>
      <c r="L97" t="s">
        <v>1661</v>
      </c>
      <c r="M97" t="s">
        <v>300</v>
      </c>
      <c r="N97" t="s">
        <v>306</v>
      </c>
      <c r="O97" t="s">
        <v>330</v>
      </c>
      <c r="U97" t="s">
        <v>1170</v>
      </c>
      <c r="V97" t="s">
        <v>215</v>
      </c>
      <c r="W97" t="s">
        <v>215</v>
      </c>
      <c r="X97" t="s">
        <v>215</v>
      </c>
      <c r="Y97" t="s">
        <v>215</v>
      </c>
      <c r="AH97">
        <v>117.06</v>
      </c>
      <c r="AI97">
        <v>159.62</v>
      </c>
      <c r="AJ97">
        <v>74.489999999999995</v>
      </c>
      <c r="AK97">
        <v>157.75</v>
      </c>
      <c r="AL97">
        <v>168.69</v>
      </c>
      <c r="AM97">
        <v>146.81</v>
      </c>
      <c r="AN97">
        <v>43.07</v>
      </c>
      <c r="AO97">
        <v>139.97</v>
      </c>
      <c r="AP97">
        <v>-53.83</v>
      </c>
    </row>
    <row r="98" spans="1:42" x14ac:dyDescent="0.3">
      <c r="A98" t="s">
        <v>825</v>
      </c>
      <c r="B98" t="s">
        <v>98</v>
      </c>
      <c r="C98" t="s">
        <v>431</v>
      </c>
      <c r="D98" t="s">
        <v>59</v>
      </c>
      <c r="E98" t="s">
        <v>1560</v>
      </c>
      <c r="F98" t="s">
        <v>346</v>
      </c>
      <c r="G98" t="s">
        <v>1264</v>
      </c>
      <c r="H98" t="s">
        <v>1813</v>
      </c>
      <c r="I98" t="s">
        <v>1663</v>
      </c>
      <c r="J98" t="s">
        <v>1703</v>
      </c>
      <c r="K98" t="s">
        <v>341</v>
      </c>
      <c r="L98" t="s">
        <v>1661</v>
      </c>
      <c r="M98" t="s">
        <v>300</v>
      </c>
      <c r="N98" t="s">
        <v>404</v>
      </c>
      <c r="O98" t="s">
        <v>133</v>
      </c>
      <c r="U98" t="s">
        <v>1170</v>
      </c>
      <c r="V98" t="s">
        <v>215</v>
      </c>
      <c r="W98" t="s">
        <v>215</v>
      </c>
      <c r="X98" t="s">
        <v>215</v>
      </c>
      <c r="Y98" t="s">
        <v>215</v>
      </c>
      <c r="AH98">
        <v>92.44</v>
      </c>
      <c r="AI98">
        <v>138.66</v>
      </c>
      <c r="AJ98">
        <v>46.22</v>
      </c>
      <c r="AK98">
        <v>133.52000000000001</v>
      </c>
      <c r="AL98">
        <v>133.52000000000001</v>
      </c>
      <c r="AM98">
        <v>133.52000000000001</v>
      </c>
      <c r="AN98">
        <v>41.24</v>
      </c>
      <c r="AO98">
        <v>134.04</v>
      </c>
      <c r="AP98">
        <v>-51.55</v>
      </c>
    </row>
    <row r="99" spans="1:42" x14ac:dyDescent="0.3">
      <c r="A99" t="s">
        <v>911</v>
      </c>
      <c r="B99" t="s">
        <v>98</v>
      </c>
      <c r="C99" t="s">
        <v>431</v>
      </c>
      <c r="D99" t="s">
        <v>60</v>
      </c>
      <c r="E99" t="s">
        <v>1594</v>
      </c>
      <c r="F99" t="s">
        <v>340</v>
      </c>
      <c r="G99" t="s">
        <v>912</v>
      </c>
      <c r="H99" t="s">
        <v>1814</v>
      </c>
      <c r="I99" t="s">
        <v>357</v>
      </c>
      <c r="J99" t="s">
        <v>1815</v>
      </c>
      <c r="K99" t="s">
        <v>341</v>
      </c>
      <c r="L99" t="s">
        <v>1710</v>
      </c>
      <c r="M99" t="s">
        <v>303</v>
      </c>
      <c r="N99" t="s">
        <v>98</v>
      </c>
      <c r="O99" t="s">
        <v>355</v>
      </c>
      <c r="U99" t="s">
        <v>1051</v>
      </c>
      <c r="V99" t="s">
        <v>215</v>
      </c>
      <c r="W99" t="s">
        <v>215</v>
      </c>
      <c r="X99" t="s">
        <v>215</v>
      </c>
      <c r="Y99" t="s">
        <v>215</v>
      </c>
      <c r="AB99" t="s">
        <v>568</v>
      </c>
      <c r="AE99">
        <v>7.95</v>
      </c>
      <c r="AF99">
        <v>16.690000000000001</v>
      </c>
      <c r="AG99">
        <v>-0.79</v>
      </c>
      <c r="AH99">
        <v>18.07</v>
      </c>
      <c r="AI99">
        <v>21.95</v>
      </c>
      <c r="AJ99">
        <v>14.2</v>
      </c>
      <c r="AK99">
        <v>18.96</v>
      </c>
      <c r="AL99">
        <v>20.54</v>
      </c>
      <c r="AM99">
        <v>17.38</v>
      </c>
      <c r="AN99">
        <v>6.32</v>
      </c>
      <c r="AO99">
        <v>20.54</v>
      </c>
      <c r="AP99">
        <v>-7.9</v>
      </c>
    </row>
    <row r="100" spans="1:42" x14ac:dyDescent="0.3">
      <c r="A100" t="s">
        <v>593</v>
      </c>
      <c r="B100" t="s">
        <v>98</v>
      </c>
      <c r="C100" t="s">
        <v>431</v>
      </c>
      <c r="D100" t="s">
        <v>53</v>
      </c>
      <c r="E100" t="s">
        <v>1391</v>
      </c>
      <c r="F100" t="s">
        <v>340</v>
      </c>
      <c r="G100" t="s">
        <v>594</v>
      </c>
      <c r="H100" t="s">
        <v>1816</v>
      </c>
      <c r="I100" t="s">
        <v>357</v>
      </c>
      <c r="J100" t="s">
        <v>1817</v>
      </c>
      <c r="K100" t="s">
        <v>341</v>
      </c>
      <c r="L100" t="s">
        <v>1671</v>
      </c>
      <c r="M100" t="s">
        <v>300</v>
      </c>
      <c r="N100" t="s">
        <v>149</v>
      </c>
      <c r="O100" t="s">
        <v>328</v>
      </c>
      <c r="P100" t="s">
        <v>325</v>
      </c>
      <c r="Q100" t="s">
        <v>560</v>
      </c>
      <c r="R100" t="s">
        <v>398</v>
      </c>
      <c r="S100" t="s">
        <v>323</v>
      </c>
      <c r="T100" t="s">
        <v>401</v>
      </c>
      <c r="V100" t="s">
        <v>215</v>
      </c>
      <c r="W100" t="s">
        <v>215</v>
      </c>
      <c r="X100" t="s">
        <v>215</v>
      </c>
      <c r="Y100" t="s">
        <v>215</v>
      </c>
      <c r="AB100" t="s">
        <v>565</v>
      </c>
      <c r="AE100">
        <v>116.25</v>
      </c>
      <c r="AF100">
        <v>116.72</v>
      </c>
      <c r="AG100">
        <v>115.78</v>
      </c>
      <c r="AH100">
        <v>120.61</v>
      </c>
      <c r="AI100">
        <v>120.61</v>
      </c>
      <c r="AJ100">
        <v>120.61</v>
      </c>
      <c r="AK100">
        <v>120.61</v>
      </c>
      <c r="AL100">
        <v>120.61</v>
      </c>
      <c r="AM100">
        <v>120.61</v>
      </c>
      <c r="AN100">
        <v>120.71</v>
      </c>
      <c r="AO100">
        <v>130.68</v>
      </c>
      <c r="AP100">
        <v>110.74</v>
      </c>
    </row>
    <row r="101" spans="1:42" x14ac:dyDescent="0.3">
      <c r="A101" t="s">
        <v>826</v>
      </c>
      <c r="B101" t="s">
        <v>98</v>
      </c>
      <c r="C101" t="s">
        <v>431</v>
      </c>
      <c r="D101" t="s">
        <v>59</v>
      </c>
      <c r="E101" t="s">
        <v>1542</v>
      </c>
      <c r="F101" t="s">
        <v>346</v>
      </c>
      <c r="G101" t="s">
        <v>1266</v>
      </c>
      <c r="H101" t="s">
        <v>1818</v>
      </c>
      <c r="I101" t="s">
        <v>1819</v>
      </c>
      <c r="J101" t="s">
        <v>1707</v>
      </c>
      <c r="K101" t="s">
        <v>341</v>
      </c>
      <c r="L101" t="s">
        <v>1645</v>
      </c>
      <c r="M101" t="s">
        <v>300</v>
      </c>
      <c r="N101" t="s">
        <v>95</v>
      </c>
      <c r="O101" t="s">
        <v>330</v>
      </c>
      <c r="U101" t="s">
        <v>1170</v>
      </c>
      <c r="V101" t="s">
        <v>215</v>
      </c>
      <c r="W101" t="s">
        <v>215</v>
      </c>
      <c r="X101" t="s">
        <v>215</v>
      </c>
      <c r="Y101" t="s">
        <v>215</v>
      </c>
      <c r="AH101">
        <v>131.47999999999999</v>
      </c>
      <c r="AI101">
        <v>168.18</v>
      </c>
      <c r="AJ101">
        <v>94.78</v>
      </c>
      <c r="AK101">
        <v>183.7</v>
      </c>
      <c r="AL101">
        <v>183.7</v>
      </c>
      <c r="AM101">
        <v>183.7</v>
      </c>
      <c r="AN101">
        <v>46.74</v>
      </c>
      <c r="AO101">
        <v>151.91</v>
      </c>
      <c r="AP101">
        <v>-58.43</v>
      </c>
    </row>
    <row r="102" spans="1:42" x14ac:dyDescent="0.3">
      <c r="A102" t="s">
        <v>786</v>
      </c>
      <c r="B102" t="s">
        <v>98</v>
      </c>
      <c r="C102" t="s">
        <v>431</v>
      </c>
      <c r="D102" t="s">
        <v>52</v>
      </c>
      <c r="E102" t="s">
        <v>1516</v>
      </c>
      <c r="F102" t="s">
        <v>340</v>
      </c>
      <c r="G102" t="s">
        <v>890</v>
      </c>
      <c r="H102" t="s">
        <v>1820</v>
      </c>
      <c r="I102" t="s">
        <v>357</v>
      </c>
      <c r="J102" t="s">
        <v>1809</v>
      </c>
      <c r="K102" t="s">
        <v>341</v>
      </c>
      <c r="L102" t="s">
        <v>1645</v>
      </c>
      <c r="M102" t="s">
        <v>300</v>
      </c>
      <c r="N102" t="s">
        <v>404</v>
      </c>
      <c r="O102" t="s">
        <v>134</v>
      </c>
      <c r="R102" t="s">
        <v>297</v>
      </c>
      <c r="U102" t="s">
        <v>1056</v>
      </c>
      <c r="V102" t="s">
        <v>215</v>
      </c>
      <c r="W102" t="s">
        <v>215</v>
      </c>
      <c r="X102" t="s">
        <v>215</v>
      </c>
      <c r="Y102" t="s">
        <v>215</v>
      </c>
      <c r="AH102">
        <v>142.59</v>
      </c>
      <c r="AI102">
        <v>213.89</v>
      </c>
      <c r="AJ102">
        <v>71.3</v>
      </c>
      <c r="AK102">
        <v>235.96</v>
      </c>
      <c r="AL102">
        <v>243.04</v>
      </c>
      <c r="AM102">
        <v>228.89</v>
      </c>
      <c r="AN102">
        <v>36.15</v>
      </c>
      <c r="AO102">
        <v>234.99</v>
      </c>
      <c r="AP102">
        <v>-162.69</v>
      </c>
    </row>
    <row r="103" spans="1:42" x14ac:dyDescent="0.3">
      <c r="A103" t="s">
        <v>801</v>
      </c>
      <c r="B103" t="s">
        <v>98</v>
      </c>
      <c r="C103" t="s">
        <v>431</v>
      </c>
      <c r="D103" t="s">
        <v>60</v>
      </c>
      <c r="E103" t="s">
        <v>1596</v>
      </c>
      <c r="F103" t="s">
        <v>340</v>
      </c>
      <c r="G103" t="s">
        <v>913</v>
      </c>
      <c r="H103" t="s">
        <v>1821</v>
      </c>
      <c r="I103" t="s">
        <v>357</v>
      </c>
      <c r="J103" t="s">
        <v>1815</v>
      </c>
      <c r="K103" t="s">
        <v>341</v>
      </c>
      <c r="L103" t="s">
        <v>1710</v>
      </c>
      <c r="M103" t="s">
        <v>299</v>
      </c>
      <c r="N103" t="s">
        <v>77</v>
      </c>
      <c r="O103" t="s">
        <v>130</v>
      </c>
      <c r="U103" t="s">
        <v>429</v>
      </c>
      <c r="V103" t="s">
        <v>215</v>
      </c>
      <c r="W103" t="s">
        <v>215</v>
      </c>
      <c r="X103" t="s">
        <v>215</v>
      </c>
      <c r="Y103" t="s">
        <v>215</v>
      </c>
      <c r="AB103" t="s">
        <v>1822</v>
      </c>
      <c r="AE103">
        <v>37.64</v>
      </c>
      <c r="AF103">
        <v>44.7</v>
      </c>
      <c r="AG103">
        <v>30.59</v>
      </c>
      <c r="AH103">
        <v>17.149999999999999</v>
      </c>
      <c r="AI103">
        <v>22.51</v>
      </c>
      <c r="AJ103">
        <v>11.79</v>
      </c>
      <c r="AK103">
        <v>5.66</v>
      </c>
      <c r="AL103">
        <v>18.41</v>
      </c>
      <c r="AM103">
        <v>-7.08</v>
      </c>
      <c r="AN103">
        <v>20.9</v>
      </c>
      <c r="AO103">
        <v>33.97</v>
      </c>
      <c r="AP103">
        <v>7.84</v>
      </c>
    </row>
    <row r="104" spans="1:42" x14ac:dyDescent="0.3">
      <c r="A104" t="s">
        <v>591</v>
      </c>
      <c r="B104" t="s">
        <v>98</v>
      </c>
      <c r="C104" t="s">
        <v>431</v>
      </c>
      <c r="D104" t="s">
        <v>53</v>
      </c>
      <c r="E104" t="s">
        <v>1393</v>
      </c>
      <c r="F104" t="s">
        <v>340</v>
      </c>
      <c r="G104" t="s">
        <v>592</v>
      </c>
      <c r="H104" t="s">
        <v>1823</v>
      </c>
      <c r="I104" t="s">
        <v>357</v>
      </c>
      <c r="J104" t="s">
        <v>1824</v>
      </c>
      <c r="K104" t="s">
        <v>341</v>
      </c>
      <c r="L104" t="s">
        <v>1639</v>
      </c>
      <c r="M104" t="s">
        <v>300</v>
      </c>
      <c r="N104" t="s">
        <v>320</v>
      </c>
      <c r="O104" t="s">
        <v>307</v>
      </c>
      <c r="P104" t="s">
        <v>302</v>
      </c>
      <c r="V104" t="s">
        <v>215</v>
      </c>
      <c r="W104" t="s">
        <v>215</v>
      </c>
      <c r="X104" t="s">
        <v>215</v>
      </c>
      <c r="Y104" t="s">
        <v>215</v>
      </c>
      <c r="AB104" t="s">
        <v>1825</v>
      </c>
      <c r="AE104">
        <v>94.43</v>
      </c>
      <c r="AF104">
        <v>100.95</v>
      </c>
      <c r="AG104">
        <v>87.91</v>
      </c>
      <c r="AH104">
        <v>80.61</v>
      </c>
      <c r="AI104">
        <v>102.88</v>
      </c>
      <c r="AJ104">
        <v>58.33</v>
      </c>
      <c r="AK104">
        <v>70.75</v>
      </c>
      <c r="AL104">
        <v>85.95</v>
      </c>
      <c r="AM104">
        <v>55.54</v>
      </c>
      <c r="AN104">
        <v>89.67</v>
      </c>
      <c r="AO104">
        <v>112.07</v>
      </c>
      <c r="AP104">
        <v>67.27</v>
      </c>
    </row>
    <row r="105" spans="1:42" x14ac:dyDescent="0.3">
      <c r="A105" t="s">
        <v>838</v>
      </c>
      <c r="B105" t="s">
        <v>98</v>
      </c>
      <c r="C105" t="s">
        <v>431</v>
      </c>
      <c r="D105" t="s">
        <v>60</v>
      </c>
      <c r="E105" t="s">
        <v>1598</v>
      </c>
      <c r="F105" t="s">
        <v>340</v>
      </c>
      <c r="G105" t="s">
        <v>1268</v>
      </c>
      <c r="H105" t="s">
        <v>1826</v>
      </c>
      <c r="I105" t="s">
        <v>1827</v>
      </c>
      <c r="J105" t="s">
        <v>1824</v>
      </c>
      <c r="K105" t="s">
        <v>341</v>
      </c>
      <c r="L105" t="s">
        <v>1639</v>
      </c>
      <c r="M105" t="s">
        <v>323</v>
      </c>
      <c r="N105" t="s">
        <v>397</v>
      </c>
      <c r="O105" t="s">
        <v>316</v>
      </c>
      <c r="V105" t="s">
        <v>215</v>
      </c>
      <c r="W105" t="s">
        <v>215</v>
      </c>
      <c r="X105" t="s">
        <v>215</v>
      </c>
      <c r="Y105" t="s">
        <v>215</v>
      </c>
      <c r="AB105" t="s">
        <v>567</v>
      </c>
      <c r="AE105">
        <v>39.51</v>
      </c>
      <c r="AF105">
        <v>62.2</v>
      </c>
      <c r="AG105">
        <v>16.829999999999998</v>
      </c>
      <c r="AH105">
        <v>30</v>
      </c>
      <c r="AI105">
        <v>35.28</v>
      </c>
      <c r="AJ105">
        <v>24.73</v>
      </c>
      <c r="AK105">
        <v>40.69</v>
      </c>
      <c r="AL105">
        <v>43.59</v>
      </c>
      <c r="AM105">
        <v>37.78</v>
      </c>
      <c r="AN105">
        <v>29.11</v>
      </c>
      <c r="AO105">
        <v>32.53</v>
      </c>
      <c r="AP105">
        <v>25.7</v>
      </c>
    </row>
    <row r="106" spans="1:42" x14ac:dyDescent="0.3">
      <c r="A106" t="s">
        <v>839</v>
      </c>
      <c r="B106" t="s">
        <v>98</v>
      </c>
      <c r="C106" t="s">
        <v>431</v>
      </c>
      <c r="D106" t="s">
        <v>53</v>
      </c>
      <c r="E106" t="s">
        <v>1395</v>
      </c>
      <c r="F106" t="s">
        <v>340</v>
      </c>
      <c r="G106" t="s">
        <v>873</v>
      </c>
      <c r="H106" t="s">
        <v>1828</v>
      </c>
      <c r="I106" t="s">
        <v>357</v>
      </c>
      <c r="J106" t="s">
        <v>1829</v>
      </c>
      <c r="K106" t="s">
        <v>341</v>
      </c>
      <c r="L106" t="s">
        <v>1639</v>
      </c>
      <c r="M106" t="s">
        <v>298</v>
      </c>
      <c r="N106" t="s">
        <v>316</v>
      </c>
      <c r="O106" t="s">
        <v>303</v>
      </c>
      <c r="U106" t="s">
        <v>1009</v>
      </c>
      <c r="V106" t="s">
        <v>215</v>
      </c>
      <c r="W106" t="s">
        <v>215</v>
      </c>
      <c r="X106" t="s">
        <v>215</v>
      </c>
      <c r="Y106" t="s">
        <v>215</v>
      </c>
      <c r="AH106">
        <v>7.97</v>
      </c>
      <c r="AI106">
        <v>13.95</v>
      </c>
      <c r="AJ106">
        <v>1.99</v>
      </c>
      <c r="AK106">
        <v>11.96</v>
      </c>
      <c r="AL106">
        <v>12.95</v>
      </c>
      <c r="AM106">
        <v>10.96</v>
      </c>
      <c r="AN106">
        <v>3.99</v>
      </c>
      <c r="AO106">
        <v>10.46</v>
      </c>
      <c r="AP106">
        <v>-2.4900000000000002</v>
      </c>
    </row>
    <row r="107" spans="1:42" x14ac:dyDescent="0.3">
      <c r="A107" t="s">
        <v>874</v>
      </c>
      <c r="B107" t="s">
        <v>98</v>
      </c>
      <c r="C107" t="s">
        <v>431</v>
      </c>
      <c r="D107" t="s">
        <v>53</v>
      </c>
      <c r="E107" t="s">
        <v>1449</v>
      </c>
      <c r="F107" t="s">
        <v>358</v>
      </c>
      <c r="G107" t="s">
        <v>875</v>
      </c>
      <c r="H107" t="s">
        <v>1830</v>
      </c>
      <c r="I107" t="s">
        <v>357</v>
      </c>
      <c r="J107" t="s">
        <v>1638</v>
      </c>
      <c r="K107" t="s">
        <v>341</v>
      </c>
      <c r="L107" t="s">
        <v>1639</v>
      </c>
      <c r="M107" t="s">
        <v>303</v>
      </c>
      <c r="N107" t="s">
        <v>315</v>
      </c>
      <c r="O107" t="s">
        <v>134</v>
      </c>
      <c r="V107" t="s">
        <v>215</v>
      </c>
      <c r="W107" t="s">
        <v>215</v>
      </c>
      <c r="X107" t="s">
        <v>215</v>
      </c>
      <c r="Y107" t="s">
        <v>215</v>
      </c>
      <c r="AB107" t="s">
        <v>547</v>
      </c>
      <c r="AE107">
        <v>30.87</v>
      </c>
      <c r="AF107">
        <v>33.57</v>
      </c>
      <c r="AG107">
        <v>28.17</v>
      </c>
      <c r="AH107">
        <v>30.08</v>
      </c>
      <c r="AI107">
        <v>32.58</v>
      </c>
      <c r="AJ107">
        <v>27.57</v>
      </c>
      <c r="AK107">
        <v>31.29</v>
      </c>
      <c r="AL107">
        <v>33.9</v>
      </c>
      <c r="AM107">
        <v>28.68</v>
      </c>
      <c r="AN107">
        <v>31.45</v>
      </c>
      <c r="AO107">
        <v>37.65</v>
      </c>
      <c r="AP107">
        <v>25.25</v>
      </c>
    </row>
    <row r="108" spans="1:42" x14ac:dyDescent="0.3">
      <c r="A108" t="s">
        <v>768</v>
      </c>
      <c r="B108" t="s">
        <v>98</v>
      </c>
      <c r="C108" t="s">
        <v>431</v>
      </c>
      <c r="D108" t="s">
        <v>58</v>
      </c>
      <c r="E108" t="s">
        <v>1336</v>
      </c>
      <c r="F108" t="s">
        <v>340</v>
      </c>
      <c r="G108" t="s">
        <v>1271</v>
      </c>
      <c r="H108" t="s">
        <v>1831</v>
      </c>
      <c r="I108" t="s">
        <v>357</v>
      </c>
      <c r="J108" t="s">
        <v>1832</v>
      </c>
      <c r="K108" t="s">
        <v>341</v>
      </c>
      <c r="L108" t="s">
        <v>1681</v>
      </c>
      <c r="M108" t="s">
        <v>300</v>
      </c>
      <c r="N108" t="s">
        <v>404</v>
      </c>
      <c r="O108" t="s">
        <v>307</v>
      </c>
      <c r="V108" t="s">
        <v>215</v>
      </c>
      <c r="W108" t="s">
        <v>215</v>
      </c>
      <c r="X108" t="s">
        <v>215</v>
      </c>
      <c r="Y108" t="s">
        <v>215</v>
      </c>
      <c r="AB108" t="s">
        <v>1833</v>
      </c>
      <c r="AE108">
        <v>192.14</v>
      </c>
      <c r="AF108">
        <v>259.56</v>
      </c>
      <c r="AG108">
        <v>124.71</v>
      </c>
      <c r="AH108">
        <v>204.03</v>
      </c>
      <c r="AI108">
        <v>271.93</v>
      </c>
      <c r="AJ108">
        <v>136.13999999999999</v>
      </c>
      <c r="AK108">
        <v>212.7</v>
      </c>
      <c r="AL108">
        <v>279.73</v>
      </c>
      <c r="AM108">
        <v>145.66999999999999</v>
      </c>
      <c r="AN108">
        <v>174.22</v>
      </c>
      <c r="AO108">
        <v>234.59</v>
      </c>
      <c r="AP108">
        <v>113.84</v>
      </c>
    </row>
    <row r="109" spans="1:42" x14ac:dyDescent="0.3">
      <c r="A109" t="s">
        <v>736</v>
      </c>
      <c r="B109" t="s">
        <v>98</v>
      </c>
      <c r="C109" t="s">
        <v>431</v>
      </c>
      <c r="D109" t="s">
        <v>58</v>
      </c>
      <c r="E109" t="s">
        <v>371</v>
      </c>
      <c r="F109" t="s">
        <v>393</v>
      </c>
      <c r="G109" t="s">
        <v>737</v>
      </c>
      <c r="H109" t="s">
        <v>1834</v>
      </c>
      <c r="I109" t="s">
        <v>1835</v>
      </c>
      <c r="J109" t="s">
        <v>1832</v>
      </c>
      <c r="K109" t="s">
        <v>341</v>
      </c>
      <c r="L109" t="s">
        <v>1681</v>
      </c>
      <c r="M109" t="s">
        <v>300</v>
      </c>
      <c r="N109" t="s">
        <v>304</v>
      </c>
      <c r="O109" t="s">
        <v>307</v>
      </c>
      <c r="P109" t="s">
        <v>477</v>
      </c>
      <c r="Q109" t="s">
        <v>559</v>
      </c>
      <c r="R109" t="s">
        <v>308</v>
      </c>
      <c r="S109" t="s">
        <v>130</v>
      </c>
      <c r="T109" t="s">
        <v>417</v>
      </c>
      <c r="V109" t="s">
        <v>215</v>
      </c>
      <c r="W109" t="s">
        <v>215</v>
      </c>
      <c r="X109" t="s">
        <v>215</v>
      </c>
      <c r="Y109" t="s">
        <v>215</v>
      </c>
      <c r="AB109" t="s">
        <v>1836</v>
      </c>
      <c r="AE109">
        <v>251.37</v>
      </c>
      <c r="AF109">
        <v>253.85</v>
      </c>
      <c r="AG109">
        <v>248.89</v>
      </c>
      <c r="AH109">
        <v>250.6</v>
      </c>
      <c r="AI109">
        <v>253.1</v>
      </c>
      <c r="AJ109">
        <v>248.11</v>
      </c>
      <c r="AK109">
        <v>273.45999999999998</v>
      </c>
      <c r="AL109">
        <v>292.99</v>
      </c>
      <c r="AM109">
        <v>253.93</v>
      </c>
      <c r="AN109">
        <v>253.51</v>
      </c>
      <c r="AO109">
        <v>254.46</v>
      </c>
      <c r="AP109">
        <v>252.56</v>
      </c>
    </row>
    <row r="110" spans="1:42" x14ac:dyDescent="0.3">
      <c r="A110" t="s">
        <v>827</v>
      </c>
      <c r="B110" t="s">
        <v>98</v>
      </c>
      <c r="C110" t="s">
        <v>431</v>
      </c>
      <c r="D110" t="s">
        <v>52</v>
      </c>
      <c r="E110" t="s">
        <v>1516</v>
      </c>
      <c r="F110" t="s">
        <v>360</v>
      </c>
      <c r="G110" t="s">
        <v>757</v>
      </c>
      <c r="H110" t="s">
        <v>1837</v>
      </c>
      <c r="I110" t="s">
        <v>357</v>
      </c>
      <c r="J110" t="s">
        <v>1838</v>
      </c>
      <c r="K110" t="s">
        <v>341</v>
      </c>
      <c r="L110" t="s">
        <v>1645</v>
      </c>
      <c r="M110" t="s">
        <v>300</v>
      </c>
      <c r="N110" t="s">
        <v>391</v>
      </c>
      <c r="O110" t="s">
        <v>307</v>
      </c>
      <c r="V110" t="s">
        <v>215</v>
      </c>
      <c r="W110" t="s">
        <v>215</v>
      </c>
      <c r="X110" t="s">
        <v>215</v>
      </c>
      <c r="Y110" t="s">
        <v>215</v>
      </c>
      <c r="AB110" t="s">
        <v>1839</v>
      </c>
      <c r="AE110">
        <v>132.72</v>
      </c>
      <c r="AF110">
        <v>154.6</v>
      </c>
      <c r="AG110">
        <v>110.83</v>
      </c>
      <c r="AH110">
        <v>170.07</v>
      </c>
      <c r="AI110">
        <v>199.58</v>
      </c>
      <c r="AJ110">
        <v>140.57</v>
      </c>
      <c r="AK110">
        <v>215.08</v>
      </c>
      <c r="AL110">
        <v>255.05</v>
      </c>
      <c r="AM110">
        <v>175.12</v>
      </c>
      <c r="AN110">
        <v>190.45</v>
      </c>
      <c r="AO110">
        <v>231.29</v>
      </c>
      <c r="AP110">
        <v>149.6</v>
      </c>
    </row>
    <row r="111" spans="1:42" x14ac:dyDescent="0.3">
      <c r="A111" t="s">
        <v>787</v>
      </c>
      <c r="B111" t="s">
        <v>98</v>
      </c>
      <c r="C111" t="s">
        <v>431</v>
      </c>
      <c r="D111" t="s">
        <v>52</v>
      </c>
      <c r="E111" t="s">
        <v>1466</v>
      </c>
      <c r="F111" t="s">
        <v>340</v>
      </c>
      <c r="G111" t="s">
        <v>883</v>
      </c>
      <c r="H111" t="s">
        <v>1840</v>
      </c>
      <c r="I111" t="s">
        <v>357</v>
      </c>
      <c r="J111" t="s">
        <v>1838</v>
      </c>
      <c r="K111" t="s">
        <v>341</v>
      </c>
      <c r="L111" t="s">
        <v>1645</v>
      </c>
      <c r="M111" t="s">
        <v>323</v>
      </c>
      <c r="N111" t="s">
        <v>319</v>
      </c>
      <c r="O111" t="s">
        <v>133</v>
      </c>
      <c r="V111" t="s">
        <v>215</v>
      </c>
      <c r="W111" t="s">
        <v>215</v>
      </c>
      <c r="X111" t="s">
        <v>215</v>
      </c>
      <c r="Y111" t="s">
        <v>215</v>
      </c>
      <c r="AB111" t="s">
        <v>413</v>
      </c>
      <c r="AE111">
        <v>21.16</v>
      </c>
      <c r="AF111">
        <v>22.67</v>
      </c>
      <c r="AG111">
        <v>19.649999999999999</v>
      </c>
      <c r="AH111">
        <v>18.22</v>
      </c>
      <c r="AI111">
        <v>19.739999999999998</v>
      </c>
      <c r="AJ111">
        <v>16.7</v>
      </c>
      <c r="AK111">
        <v>21.26</v>
      </c>
      <c r="AL111">
        <v>22.78</v>
      </c>
      <c r="AM111">
        <v>19.739999999999998</v>
      </c>
      <c r="AN111">
        <v>18.59</v>
      </c>
      <c r="AO111">
        <v>20.14</v>
      </c>
      <c r="AP111">
        <v>17.04</v>
      </c>
    </row>
    <row r="112" spans="1:42" x14ac:dyDescent="0.3">
      <c r="A112" t="s">
        <v>828</v>
      </c>
      <c r="B112" t="s">
        <v>98</v>
      </c>
      <c r="C112" t="s">
        <v>431</v>
      </c>
      <c r="D112" t="s">
        <v>52</v>
      </c>
      <c r="E112" t="s">
        <v>1468</v>
      </c>
      <c r="F112" t="s">
        <v>340</v>
      </c>
      <c r="G112" t="s">
        <v>903</v>
      </c>
      <c r="H112" t="s">
        <v>1841</v>
      </c>
      <c r="I112" t="s">
        <v>357</v>
      </c>
      <c r="J112" t="s">
        <v>1838</v>
      </c>
      <c r="K112" t="s">
        <v>341</v>
      </c>
      <c r="L112" t="s">
        <v>1645</v>
      </c>
      <c r="M112" t="s">
        <v>323</v>
      </c>
      <c r="N112" t="s">
        <v>1689</v>
      </c>
      <c r="O112" t="s">
        <v>77</v>
      </c>
      <c r="V112" t="s">
        <v>215</v>
      </c>
      <c r="W112" t="s">
        <v>215</v>
      </c>
      <c r="X112" t="s">
        <v>215</v>
      </c>
      <c r="Y112" t="s">
        <v>215</v>
      </c>
      <c r="AB112" t="s">
        <v>1842</v>
      </c>
      <c r="AE112">
        <v>46.68</v>
      </c>
      <c r="AF112">
        <v>62.38</v>
      </c>
      <c r="AG112">
        <v>30.98</v>
      </c>
      <c r="AH112">
        <v>73.05</v>
      </c>
      <c r="AI112">
        <v>102.99</v>
      </c>
      <c r="AJ112">
        <v>43.11</v>
      </c>
      <c r="AK112">
        <v>120.85</v>
      </c>
      <c r="AL112">
        <v>137.65</v>
      </c>
      <c r="AM112">
        <v>104.05</v>
      </c>
      <c r="AN112">
        <v>94.75</v>
      </c>
      <c r="AO112">
        <v>123.9</v>
      </c>
      <c r="AP112">
        <v>65.59</v>
      </c>
    </row>
    <row r="113" spans="1:42" x14ac:dyDescent="0.3">
      <c r="A113" t="s">
        <v>769</v>
      </c>
      <c r="B113" t="s">
        <v>98</v>
      </c>
      <c r="C113" t="s">
        <v>431</v>
      </c>
      <c r="D113" t="s">
        <v>58</v>
      </c>
      <c r="E113" t="s">
        <v>1338</v>
      </c>
      <c r="F113" t="s">
        <v>340</v>
      </c>
      <c r="G113" t="s">
        <v>1276</v>
      </c>
      <c r="H113" t="s">
        <v>1843</v>
      </c>
      <c r="I113" t="s">
        <v>357</v>
      </c>
      <c r="J113" t="s">
        <v>1844</v>
      </c>
      <c r="K113" t="s">
        <v>341</v>
      </c>
      <c r="L113" t="s">
        <v>1723</v>
      </c>
      <c r="M113" t="s">
        <v>300</v>
      </c>
      <c r="N113" t="s">
        <v>191</v>
      </c>
      <c r="O113" t="s">
        <v>324</v>
      </c>
      <c r="U113" t="s">
        <v>1164</v>
      </c>
      <c r="V113" t="s">
        <v>215</v>
      </c>
      <c r="W113" t="s">
        <v>215</v>
      </c>
      <c r="X113" t="s">
        <v>215</v>
      </c>
      <c r="Y113" t="s">
        <v>215</v>
      </c>
      <c r="AE113">
        <v>-7.72</v>
      </c>
      <c r="AF113">
        <v>84.97</v>
      </c>
      <c r="AG113">
        <v>-100.42</v>
      </c>
      <c r="AH113">
        <v>460.75</v>
      </c>
      <c r="AI113">
        <v>692.32</v>
      </c>
      <c r="AJ113">
        <v>229.19</v>
      </c>
      <c r="AK113">
        <v>616.95000000000005</v>
      </c>
      <c r="AL113">
        <v>734.93</v>
      </c>
      <c r="AM113">
        <v>498.98</v>
      </c>
      <c r="AN113">
        <v>194.35</v>
      </c>
      <c r="AO113">
        <v>397.13</v>
      </c>
      <c r="AP113">
        <v>-8.44</v>
      </c>
    </row>
    <row r="114" spans="1:42" x14ac:dyDescent="0.3">
      <c r="A114" t="s">
        <v>788</v>
      </c>
      <c r="B114" t="s">
        <v>98</v>
      </c>
      <c r="C114" t="s">
        <v>431</v>
      </c>
      <c r="D114" t="s">
        <v>52</v>
      </c>
      <c r="E114" t="s">
        <v>1446</v>
      </c>
      <c r="F114" t="s">
        <v>364</v>
      </c>
      <c r="G114" t="s">
        <v>889</v>
      </c>
      <c r="H114" t="s">
        <v>1845</v>
      </c>
      <c r="I114" t="s">
        <v>357</v>
      </c>
      <c r="J114" t="s">
        <v>1846</v>
      </c>
      <c r="K114" t="s">
        <v>341</v>
      </c>
      <c r="L114" t="s">
        <v>1650</v>
      </c>
      <c r="M114" t="s">
        <v>302</v>
      </c>
      <c r="N114" t="s">
        <v>361</v>
      </c>
      <c r="O114" t="s">
        <v>344</v>
      </c>
      <c r="V114" t="s">
        <v>215</v>
      </c>
      <c r="W114" t="s">
        <v>215</v>
      </c>
      <c r="X114" t="s">
        <v>215</v>
      </c>
      <c r="Y114" t="s">
        <v>215</v>
      </c>
      <c r="AB114" t="s">
        <v>1847</v>
      </c>
      <c r="AE114">
        <v>21.19</v>
      </c>
      <c r="AF114">
        <v>22.96</v>
      </c>
      <c r="AG114">
        <v>19.420000000000002</v>
      </c>
      <c r="AH114">
        <v>22.75</v>
      </c>
      <c r="AI114">
        <v>24.64</v>
      </c>
      <c r="AJ114">
        <v>20.85</v>
      </c>
      <c r="AK114">
        <v>24.62</v>
      </c>
      <c r="AL114">
        <v>26.68</v>
      </c>
      <c r="AM114">
        <v>22.57</v>
      </c>
      <c r="AN114">
        <v>34.61</v>
      </c>
      <c r="AO114">
        <v>41.09</v>
      </c>
      <c r="AP114">
        <v>28.12</v>
      </c>
    </row>
    <row r="115" spans="1:42" x14ac:dyDescent="0.3">
      <c r="A115" t="s">
        <v>732</v>
      </c>
      <c r="B115" t="s">
        <v>98</v>
      </c>
      <c r="C115" t="s">
        <v>431</v>
      </c>
      <c r="D115" t="s">
        <v>52</v>
      </c>
      <c r="E115" t="s">
        <v>373</v>
      </c>
      <c r="F115" t="s">
        <v>534</v>
      </c>
      <c r="G115" t="s">
        <v>733</v>
      </c>
      <c r="H115" t="s">
        <v>1692</v>
      </c>
      <c r="I115" t="s">
        <v>1848</v>
      </c>
      <c r="J115" t="s">
        <v>1649</v>
      </c>
      <c r="K115" t="s">
        <v>341</v>
      </c>
      <c r="L115" t="s">
        <v>1650</v>
      </c>
      <c r="M115" t="s">
        <v>300</v>
      </c>
      <c r="N115" t="s">
        <v>204</v>
      </c>
      <c r="O115" t="s">
        <v>307</v>
      </c>
      <c r="P115" t="s">
        <v>398</v>
      </c>
      <c r="Q115" t="s">
        <v>1849</v>
      </c>
      <c r="R115" t="s">
        <v>303</v>
      </c>
      <c r="S115" t="s">
        <v>298</v>
      </c>
      <c r="T115" t="s">
        <v>389</v>
      </c>
      <c r="V115" t="s">
        <v>215</v>
      </c>
      <c r="W115" t="s">
        <v>215</v>
      </c>
      <c r="X115" t="s">
        <v>215</v>
      </c>
      <c r="Y115" t="s">
        <v>215</v>
      </c>
      <c r="AB115" t="s">
        <v>1850</v>
      </c>
      <c r="AE115">
        <v>81.59</v>
      </c>
      <c r="AF115">
        <v>86.83</v>
      </c>
      <c r="AG115">
        <v>76.36</v>
      </c>
      <c r="AH115">
        <v>74.27</v>
      </c>
      <c r="AI115">
        <v>86.42</v>
      </c>
      <c r="AJ115">
        <v>62.11</v>
      </c>
      <c r="AK115">
        <v>80.14</v>
      </c>
      <c r="AL115">
        <v>93.44</v>
      </c>
      <c r="AM115">
        <v>66.849999999999994</v>
      </c>
      <c r="AN115">
        <v>78.930000000000007</v>
      </c>
      <c r="AO115">
        <v>87.36</v>
      </c>
      <c r="AP115">
        <v>70.489999999999995</v>
      </c>
    </row>
    <row r="116" spans="1:42" x14ac:dyDescent="0.3">
      <c r="A116" t="s">
        <v>789</v>
      </c>
      <c r="B116" t="s">
        <v>98</v>
      </c>
      <c r="C116" t="s">
        <v>431</v>
      </c>
      <c r="D116" t="s">
        <v>52</v>
      </c>
      <c r="E116" t="s">
        <v>544</v>
      </c>
      <c r="F116" t="s">
        <v>346</v>
      </c>
      <c r="G116" t="s">
        <v>885</v>
      </c>
      <c r="H116" t="s">
        <v>1851</v>
      </c>
      <c r="I116" t="s">
        <v>357</v>
      </c>
      <c r="J116" t="s">
        <v>1846</v>
      </c>
      <c r="K116" t="s">
        <v>341</v>
      </c>
      <c r="L116" t="s">
        <v>1650</v>
      </c>
      <c r="M116" t="s">
        <v>323</v>
      </c>
      <c r="N116" t="s">
        <v>316</v>
      </c>
      <c r="O116" t="s">
        <v>316</v>
      </c>
      <c r="V116" t="s">
        <v>215</v>
      </c>
      <c r="W116" t="s">
        <v>215</v>
      </c>
      <c r="X116" t="s">
        <v>215</v>
      </c>
      <c r="Y116" t="s">
        <v>215</v>
      </c>
      <c r="AB116" t="s">
        <v>580</v>
      </c>
      <c r="AE116">
        <v>27.67</v>
      </c>
      <c r="AF116">
        <v>29.98</v>
      </c>
      <c r="AG116">
        <v>25.37</v>
      </c>
      <c r="AH116">
        <v>27.14</v>
      </c>
      <c r="AI116">
        <v>29.41</v>
      </c>
      <c r="AJ116">
        <v>24.88</v>
      </c>
      <c r="AK116">
        <v>31.12</v>
      </c>
      <c r="AL116">
        <v>33.35</v>
      </c>
      <c r="AM116">
        <v>28.9</v>
      </c>
      <c r="AN116">
        <v>26.68</v>
      </c>
      <c r="AO116">
        <v>28.9</v>
      </c>
      <c r="AP116">
        <v>24.45</v>
      </c>
    </row>
    <row r="117" spans="1:42" x14ac:dyDescent="0.3">
      <c r="A117" t="s">
        <v>790</v>
      </c>
      <c r="B117" t="s">
        <v>98</v>
      </c>
      <c r="C117" t="s">
        <v>431</v>
      </c>
      <c r="D117" t="s">
        <v>52</v>
      </c>
      <c r="E117" t="s">
        <v>1470</v>
      </c>
      <c r="F117" t="s">
        <v>340</v>
      </c>
      <c r="G117" t="s">
        <v>886</v>
      </c>
      <c r="H117" t="s">
        <v>1852</v>
      </c>
      <c r="I117" t="s">
        <v>357</v>
      </c>
      <c r="J117" t="s">
        <v>1846</v>
      </c>
      <c r="K117" t="s">
        <v>341</v>
      </c>
      <c r="L117" t="s">
        <v>1650</v>
      </c>
      <c r="M117" t="s">
        <v>302</v>
      </c>
      <c r="N117" t="s">
        <v>323</v>
      </c>
      <c r="O117" t="s">
        <v>296</v>
      </c>
      <c r="V117" t="s">
        <v>215</v>
      </c>
      <c r="W117" t="s">
        <v>215</v>
      </c>
      <c r="X117" t="s">
        <v>215</v>
      </c>
      <c r="Y117" t="s">
        <v>215</v>
      </c>
      <c r="AB117" t="s">
        <v>573</v>
      </c>
      <c r="AE117">
        <v>14.86</v>
      </c>
      <c r="AF117">
        <v>16.09</v>
      </c>
      <c r="AG117">
        <v>13.62</v>
      </c>
      <c r="AH117">
        <v>14.96</v>
      </c>
      <c r="AI117">
        <v>16.21</v>
      </c>
      <c r="AJ117">
        <v>13.71</v>
      </c>
      <c r="AK117">
        <v>14.96</v>
      </c>
      <c r="AL117">
        <v>16.21</v>
      </c>
      <c r="AM117">
        <v>13.71</v>
      </c>
      <c r="AN117">
        <v>14.96</v>
      </c>
      <c r="AO117">
        <v>16.21</v>
      </c>
      <c r="AP117">
        <v>13.71</v>
      </c>
    </row>
    <row r="118" spans="1:42" x14ac:dyDescent="0.3">
      <c r="A118" t="s">
        <v>791</v>
      </c>
      <c r="B118" t="s">
        <v>98</v>
      </c>
      <c r="C118" t="s">
        <v>431</v>
      </c>
      <c r="D118" t="s">
        <v>52</v>
      </c>
      <c r="E118" t="s">
        <v>1472</v>
      </c>
      <c r="F118" t="s">
        <v>340</v>
      </c>
      <c r="G118" t="s">
        <v>887</v>
      </c>
      <c r="H118" t="s">
        <v>1853</v>
      </c>
      <c r="I118" t="s">
        <v>357</v>
      </c>
      <c r="J118" t="s">
        <v>1846</v>
      </c>
      <c r="K118" t="s">
        <v>341</v>
      </c>
      <c r="L118" t="s">
        <v>1650</v>
      </c>
      <c r="M118" t="s">
        <v>323</v>
      </c>
      <c r="N118" t="s">
        <v>108</v>
      </c>
      <c r="O118" t="s">
        <v>134</v>
      </c>
      <c r="V118" t="s">
        <v>215</v>
      </c>
      <c r="W118" t="s">
        <v>215</v>
      </c>
      <c r="X118" t="s">
        <v>215</v>
      </c>
      <c r="Y118" t="s">
        <v>215</v>
      </c>
      <c r="AB118" t="s">
        <v>423</v>
      </c>
      <c r="AE118">
        <v>23.55</v>
      </c>
      <c r="AF118">
        <v>38.26</v>
      </c>
      <c r="AG118">
        <v>8.83</v>
      </c>
      <c r="AH118">
        <v>33.72</v>
      </c>
      <c r="AI118">
        <v>36.53</v>
      </c>
      <c r="AJ118">
        <v>30.91</v>
      </c>
      <c r="AK118">
        <v>39.340000000000003</v>
      </c>
      <c r="AL118">
        <v>42.15</v>
      </c>
      <c r="AM118">
        <v>36.53</v>
      </c>
      <c r="AN118">
        <v>33.81</v>
      </c>
      <c r="AO118">
        <v>36.630000000000003</v>
      </c>
      <c r="AP118">
        <v>30.99</v>
      </c>
    </row>
    <row r="119" spans="1:42" x14ac:dyDescent="0.3">
      <c r="A119" t="s">
        <v>792</v>
      </c>
      <c r="B119" t="s">
        <v>98</v>
      </c>
      <c r="C119" t="s">
        <v>431</v>
      </c>
      <c r="D119" t="s">
        <v>52</v>
      </c>
      <c r="E119" t="s">
        <v>1514</v>
      </c>
      <c r="F119" t="s">
        <v>347</v>
      </c>
      <c r="G119" t="s">
        <v>888</v>
      </c>
      <c r="H119" t="s">
        <v>1854</v>
      </c>
      <c r="I119" t="s">
        <v>357</v>
      </c>
      <c r="J119" t="s">
        <v>1855</v>
      </c>
      <c r="K119" t="s">
        <v>341</v>
      </c>
      <c r="L119" t="s">
        <v>1650</v>
      </c>
      <c r="M119" t="s">
        <v>302</v>
      </c>
      <c r="N119" t="s">
        <v>405</v>
      </c>
      <c r="O119" t="s">
        <v>344</v>
      </c>
      <c r="V119" t="s">
        <v>215</v>
      </c>
      <c r="W119" t="s">
        <v>215</v>
      </c>
      <c r="X119" t="s">
        <v>215</v>
      </c>
      <c r="Y119" t="s">
        <v>215</v>
      </c>
      <c r="AB119" t="s">
        <v>550</v>
      </c>
      <c r="AE119">
        <v>23.33</v>
      </c>
      <c r="AF119">
        <v>25.28</v>
      </c>
      <c r="AG119">
        <v>21.39</v>
      </c>
      <c r="AH119">
        <v>20.350000000000001</v>
      </c>
      <c r="AI119">
        <v>22.04</v>
      </c>
      <c r="AJ119">
        <v>18.649999999999999</v>
      </c>
      <c r="AK119">
        <v>19.18</v>
      </c>
      <c r="AL119">
        <v>20.78</v>
      </c>
      <c r="AM119">
        <v>17.579999999999998</v>
      </c>
      <c r="AN119">
        <v>26.97</v>
      </c>
      <c r="AO119">
        <v>32.03</v>
      </c>
      <c r="AP119">
        <v>21.91</v>
      </c>
    </row>
    <row r="120" spans="1:42" x14ac:dyDescent="0.3">
      <c r="A120" t="s">
        <v>631</v>
      </c>
      <c r="B120" t="s">
        <v>98</v>
      </c>
      <c r="C120" t="s">
        <v>431</v>
      </c>
      <c r="D120" t="s">
        <v>59</v>
      </c>
      <c r="E120" t="s">
        <v>1528</v>
      </c>
      <c r="F120" t="s">
        <v>340</v>
      </c>
      <c r="G120" t="s">
        <v>633</v>
      </c>
      <c r="H120" t="s">
        <v>1856</v>
      </c>
      <c r="I120" t="s">
        <v>357</v>
      </c>
      <c r="J120" t="s">
        <v>1857</v>
      </c>
      <c r="K120" t="s">
        <v>341</v>
      </c>
      <c r="L120" t="s">
        <v>1642</v>
      </c>
      <c r="M120" t="s">
        <v>300</v>
      </c>
      <c r="N120" t="s">
        <v>204</v>
      </c>
      <c r="O120" t="s">
        <v>311</v>
      </c>
      <c r="P120" t="s">
        <v>310</v>
      </c>
      <c r="Q120" t="s">
        <v>1858</v>
      </c>
      <c r="R120" t="s">
        <v>323</v>
      </c>
      <c r="S120" t="s">
        <v>302</v>
      </c>
      <c r="T120" t="s">
        <v>310</v>
      </c>
      <c r="V120" t="s">
        <v>215</v>
      </c>
      <c r="W120" t="s">
        <v>215</v>
      </c>
      <c r="X120" t="s">
        <v>215</v>
      </c>
      <c r="Y120" t="s">
        <v>215</v>
      </c>
      <c r="AB120" t="s">
        <v>1859</v>
      </c>
      <c r="AE120">
        <v>46.64</v>
      </c>
      <c r="AF120">
        <v>70.69</v>
      </c>
      <c r="AG120">
        <v>22.59</v>
      </c>
      <c r="AH120">
        <v>54.5</v>
      </c>
      <c r="AI120">
        <v>77.709999999999994</v>
      </c>
      <c r="AJ120">
        <v>31.28</v>
      </c>
      <c r="AK120">
        <v>54.25</v>
      </c>
      <c r="AL120">
        <v>81.89</v>
      </c>
      <c r="AM120">
        <v>26.62</v>
      </c>
      <c r="AN120">
        <v>51.31</v>
      </c>
      <c r="AO120">
        <v>75.58</v>
      </c>
      <c r="AP120">
        <v>27.04</v>
      </c>
    </row>
    <row r="121" spans="1:42" x14ac:dyDescent="0.3">
      <c r="A121" t="s">
        <v>634</v>
      </c>
      <c r="B121" t="s">
        <v>98</v>
      </c>
      <c r="C121" t="s">
        <v>431</v>
      </c>
      <c r="D121" t="s">
        <v>59</v>
      </c>
      <c r="E121" t="s">
        <v>1530</v>
      </c>
      <c r="F121" t="s">
        <v>340</v>
      </c>
      <c r="G121" t="s">
        <v>635</v>
      </c>
      <c r="H121" t="s">
        <v>1860</v>
      </c>
      <c r="I121" t="s">
        <v>357</v>
      </c>
      <c r="J121" t="s">
        <v>1857</v>
      </c>
      <c r="K121" t="s">
        <v>341</v>
      </c>
      <c r="L121" t="s">
        <v>1642</v>
      </c>
      <c r="M121" t="s">
        <v>300</v>
      </c>
      <c r="N121" t="s">
        <v>325</v>
      </c>
      <c r="O121" t="s">
        <v>391</v>
      </c>
      <c r="P121" t="s">
        <v>299</v>
      </c>
      <c r="U121" t="s">
        <v>1283</v>
      </c>
      <c r="V121" t="s">
        <v>215</v>
      </c>
      <c r="W121" t="s">
        <v>215</v>
      </c>
      <c r="X121" t="s">
        <v>215</v>
      </c>
      <c r="Y121" t="s">
        <v>215</v>
      </c>
      <c r="AB121" t="s">
        <v>1861</v>
      </c>
      <c r="AE121">
        <v>263.83</v>
      </c>
      <c r="AF121">
        <v>294.72000000000003</v>
      </c>
      <c r="AG121">
        <v>232.93</v>
      </c>
      <c r="AH121">
        <v>299.58</v>
      </c>
      <c r="AI121">
        <v>354.64</v>
      </c>
      <c r="AJ121">
        <v>244.53</v>
      </c>
      <c r="AK121">
        <v>294.79000000000002</v>
      </c>
      <c r="AL121">
        <v>336.13</v>
      </c>
      <c r="AM121">
        <v>253.45</v>
      </c>
      <c r="AN121">
        <v>247.84</v>
      </c>
      <c r="AO121">
        <v>329.74</v>
      </c>
      <c r="AP121">
        <v>165.94</v>
      </c>
    </row>
    <row r="122" spans="1:42" x14ac:dyDescent="0.3">
      <c r="A122" t="s">
        <v>734</v>
      </c>
      <c r="B122" t="s">
        <v>98</v>
      </c>
      <c r="C122" t="s">
        <v>431</v>
      </c>
      <c r="D122" t="s">
        <v>59</v>
      </c>
      <c r="E122" t="s">
        <v>373</v>
      </c>
      <c r="F122" t="s">
        <v>535</v>
      </c>
      <c r="G122" t="s">
        <v>735</v>
      </c>
      <c r="H122" t="s">
        <v>1693</v>
      </c>
      <c r="I122" t="s">
        <v>1862</v>
      </c>
      <c r="J122" t="s">
        <v>1674</v>
      </c>
      <c r="K122" t="s">
        <v>341</v>
      </c>
      <c r="L122" t="s">
        <v>1642</v>
      </c>
      <c r="M122" t="s">
        <v>300</v>
      </c>
      <c r="N122" t="s">
        <v>320</v>
      </c>
      <c r="O122" t="s">
        <v>311</v>
      </c>
      <c r="P122" t="s">
        <v>307</v>
      </c>
      <c r="Q122" t="s">
        <v>574</v>
      </c>
      <c r="R122" t="s">
        <v>130</v>
      </c>
      <c r="S122" t="s">
        <v>298</v>
      </c>
      <c r="T122" t="s">
        <v>326</v>
      </c>
      <c r="V122" t="s">
        <v>215</v>
      </c>
      <c r="W122" t="s">
        <v>215</v>
      </c>
      <c r="X122" t="s">
        <v>215</v>
      </c>
      <c r="Y122" t="s">
        <v>215</v>
      </c>
      <c r="AB122" t="s">
        <v>1863</v>
      </c>
      <c r="AE122">
        <v>110.09</v>
      </c>
      <c r="AF122">
        <v>116.76</v>
      </c>
      <c r="AG122">
        <v>103.42</v>
      </c>
      <c r="AH122">
        <v>96.91</v>
      </c>
      <c r="AI122">
        <v>122.76</v>
      </c>
      <c r="AJ122">
        <v>71.05</v>
      </c>
      <c r="AK122">
        <v>106.84</v>
      </c>
      <c r="AL122">
        <v>131.63</v>
      </c>
      <c r="AM122">
        <v>82.05</v>
      </c>
      <c r="AN122">
        <v>95.01</v>
      </c>
      <c r="AO122">
        <v>107.9</v>
      </c>
      <c r="AP122">
        <v>82.12</v>
      </c>
    </row>
    <row r="123" spans="1:42" x14ac:dyDescent="0.3">
      <c r="A123" t="s">
        <v>829</v>
      </c>
      <c r="B123" t="s">
        <v>98</v>
      </c>
      <c r="C123" t="s">
        <v>431</v>
      </c>
      <c r="D123" t="s">
        <v>59</v>
      </c>
      <c r="E123" t="s">
        <v>1474</v>
      </c>
      <c r="F123" t="s">
        <v>340</v>
      </c>
      <c r="G123" t="s">
        <v>1286</v>
      </c>
      <c r="H123" t="s">
        <v>1864</v>
      </c>
      <c r="I123" t="s">
        <v>1865</v>
      </c>
      <c r="J123" t="s">
        <v>1703</v>
      </c>
      <c r="K123" t="s">
        <v>341</v>
      </c>
      <c r="L123" t="s">
        <v>1661</v>
      </c>
      <c r="M123" t="s">
        <v>300</v>
      </c>
      <c r="N123" t="s">
        <v>353</v>
      </c>
      <c r="O123" t="s">
        <v>133</v>
      </c>
      <c r="U123" t="s">
        <v>1170</v>
      </c>
      <c r="V123" t="s">
        <v>215</v>
      </c>
      <c r="W123" t="s">
        <v>215</v>
      </c>
      <c r="X123" t="s">
        <v>215</v>
      </c>
      <c r="Y123" t="s">
        <v>215</v>
      </c>
      <c r="AH123">
        <v>100.5</v>
      </c>
      <c r="AI123">
        <v>150.75</v>
      </c>
      <c r="AJ123">
        <v>50.25</v>
      </c>
      <c r="AK123">
        <v>145.16999999999999</v>
      </c>
      <c r="AL123">
        <v>145.16999999999999</v>
      </c>
      <c r="AM123">
        <v>145.16999999999999</v>
      </c>
      <c r="AN123">
        <v>44.67</v>
      </c>
      <c r="AO123">
        <v>145.16999999999999</v>
      </c>
      <c r="AP123">
        <v>-55.83</v>
      </c>
    </row>
    <row r="124" spans="1:42" x14ac:dyDescent="0.3">
      <c r="A124" t="s">
        <v>636</v>
      </c>
      <c r="B124" t="s">
        <v>98</v>
      </c>
      <c r="C124" t="s">
        <v>431</v>
      </c>
      <c r="D124" t="s">
        <v>59</v>
      </c>
      <c r="E124" t="s">
        <v>1474</v>
      </c>
      <c r="F124" t="s">
        <v>347</v>
      </c>
      <c r="G124" t="s">
        <v>637</v>
      </c>
      <c r="H124" t="s">
        <v>1866</v>
      </c>
      <c r="I124" t="s">
        <v>357</v>
      </c>
      <c r="J124" t="s">
        <v>1867</v>
      </c>
      <c r="K124" t="s">
        <v>341</v>
      </c>
      <c r="L124" t="s">
        <v>1642</v>
      </c>
      <c r="M124" t="s">
        <v>300</v>
      </c>
      <c r="N124" t="s">
        <v>402</v>
      </c>
      <c r="O124" t="s">
        <v>78</v>
      </c>
      <c r="P124" t="s">
        <v>302</v>
      </c>
      <c r="V124" t="s">
        <v>215</v>
      </c>
      <c r="W124" t="s">
        <v>215</v>
      </c>
      <c r="X124" t="s">
        <v>215</v>
      </c>
      <c r="Y124" t="s">
        <v>215</v>
      </c>
      <c r="AB124" t="s">
        <v>577</v>
      </c>
      <c r="AE124">
        <v>99.42</v>
      </c>
      <c r="AF124">
        <v>182.38</v>
      </c>
      <c r="AG124">
        <v>16.46</v>
      </c>
      <c r="AH124">
        <v>103.33</v>
      </c>
      <c r="AI124">
        <v>147.6</v>
      </c>
      <c r="AJ124">
        <v>59.07</v>
      </c>
      <c r="AK124">
        <v>155.28</v>
      </c>
      <c r="AL124">
        <v>220.97</v>
      </c>
      <c r="AM124">
        <v>89.59</v>
      </c>
      <c r="AN124">
        <v>202.94</v>
      </c>
      <c r="AO124">
        <v>271.24</v>
      </c>
      <c r="AP124">
        <v>134.63999999999999</v>
      </c>
    </row>
    <row r="125" spans="1:42" x14ac:dyDescent="0.3">
      <c r="A125" t="s">
        <v>830</v>
      </c>
      <c r="B125" t="s">
        <v>98</v>
      </c>
      <c r="C125" t="s">
        <v>431</v>
      </c>
      <c r="D125" t="s">
        <v>59</v>
      </c>
      <c r="E125" t="s">
        <v>1536</v>
      </c>
      <c r="F125" t="s">
        <v>340</v>
      </c>
      <c r="G125" t="s">
        <v>1290</v>
      </c>
      <c r="H125" t="s">
        <v>1868</v>
      </c>
      <c r="I125" t="s">
        <v>1869</v>
      </c>
      <c r="J125" t="s">
        <v>1707</v>
      </c>
      <c r="K125" t="s">
        <v>341</v>
      </c>
      <c r="L125" t="s">
        <v>1661</v>
      </c>
      <c r="M125" t="s">
        <v>300</v>
      </c>
      <c r="N125" t="s">
        <v>316</v>
      </c>
      <c r="O125" t="s">
        <v>134</v>
      </c>
      <c r="U125" t="s">
        <v>1170</v>
      </c>
      <c r="V125" t="s">
        <v>215</v>
      </c>
      <c r="W125" t="s">
        <v>215</v>
      </c>
      <c r="X125" t="s">
        <v>215</v>
      </c>
      <c r="Y125" t="s">
        <v>215</v>
      </c>
      <c r="AH125">
        <v>199.28</v>
      </c>
      <c r="AI125">
        <v>376.42</v>
      </c>
      <c r="AJ125">
        <v>22.14</v>
      </c>
      <c r="AK125">
        <v>350.29</v>
      </c>
      <c r="AL125">
        <v>350.99</v>
      </c>
      <c r="AM125">
        <v>349.6</v>
      </c>
      <c r="AN125">
        <v>35.29</v>
      </c>
      <c r="AO125">
        <v>177.57</v>
      </c>
      <c r="AP125">
        <v>-106.99</v>
      </c>
    </row>
    <row r="126" spans="1:42" x14ac:dyDescent="0.3">
      <c r="A126" t="s">
        <v>831</v>
      </c>
      <c r="B126" t="s">
        <v>98</v>
      </c>
      <c r="C126" t="s">
        <v>431</v>
      </c>
      <c r="D126" t="s">
        <v>59</v>
      </c>
      <c r="E126" t="s">
        <v>1542</v>
      </c>
      <c r="F126" t="s">
        <v>340</v>
      </c>
      <c r="G126" t="s">
        <v>1292</v>
      </c>
      <c r="H126" t="s">
        <v>1870</v>
      </c>
      <c r="I126" t="s">
        <v>1819</v>
      </c>
      <c r="J126" t="s">
        <v>1707</v>
      </c>
      <c r="K126" t="s">
        <v>341</v>
      </c>
      <c r="L126" t="s">
        <v>1661</v>
      </c>
      <c r="M126" t="s">
        <v>300</v>
      </c>
      <c r="N126" t="s">
        <v>304</v>
      </c>
      <c r="O126" t="s">
        <v>330</v>
      </c>
      <c r="U126" t="s">
        <v>1170</v>
      </c>
      <c r="V126" t="s">
        <v>215</v>
      </c>
      <c r="W126" t="s">
        <v>215</v>
      </c>
      <c r="X126" t="s">
        <v>215</v>
      </c>
      <c r="Y126" t="s">
        <v>215</v>
      </c>
      <c r="AH126">
        <v>139.58000000000001</v>
      </c>
      <c r="AI126">
        <v>181.2</v>
      </c>
      <c r="AJ126">
        <v>97.96</v>
      </c>
      <c r="AK126">
        <v>181.69</v>
      </c>
      <c r="AL126">
        <v>181.69</v>
      </c>
      <c r="AM126">
        <v>181.69</v>
      </c>
      <c r="AN126">
        <v>55.9</v>
      </c>
      <c r="AO126">
        <v>181.69</v>
      </c>
      <c r="AP126">
        <v>-69.88</v>
      </c>
    </row>
    <row r="127" spans="1:42" x14ac:dyDescent="0.3">
      <c r="A127" t="s">
        <v>832</v>
      </c>
      <c r="B127" t="s">
        <v>98</v>
      </c>
      <c r="C127" t="s">
        <v>431</v>
      </c>
      <c r="D127" t="s">
        <v>59</v>
      </c>
      <c r="E127" t="s">
        <v>1545</v>
      </c>
      <c r="F127" t="s">
        <v>340</v>
      </c>
      <c r="G127" t="s">
        <v>1294</v>
      </c>
      <c r="H127" t="s">
        <v>1871</v>
      </c>
      <c r="I127" t="s">
        <v>1663</v>
      </c>
      <c r="J127" t="s">
        <v>1703</v>
      </c>
      <c r="K127" t="s">
        <v>341</v>
      </c>
      <c r="L127" t="s">
        <v>1661</v>
      </c>
      <c r="M127" t="s">
        <v>300</v>
      </c>
      <c r="N127" t="s">
        <v>319</v>
      </c>
      <c r="O127" t="s">
        <v>316</v>
      </c>
      <c r="U127" t="s">
        <v>1170</v>
      </c>
      <c r="V127" t="s">
        <v>215</v>
      </c>
      <c r="W127" t="s">
        <v>215</v>
      </c>
      <c r="X127" t="s">
        <v>215</v>
      </c>
      <c r="Y127" t="s">
        <v>215</v>
      </c>
      <c r="AH127">
        <v>105.84</v>
      </c>
      <c r="AI127">
        <v>154.13999999999999</v>
      </c>
      <c r="AJ127">
        <v>57.54</v>
      </c>
      <c r="AK127">
        <v>151.04</v>
      </c>
      <c r="AL127">
        <v>160.97</v>
      </c>
      <c r="AM127">
        <v>141.11000000000001</v>
      </c>
      <c r="AN127">
        <v>36.51</v>
      </c>
      <c r="AO127">
        <v>136.91</v>
      </c>
      <c r="AP127">
        <v>-63.89</v>
      </c>
    </row>
    <row r="128" spans="1:42" x14ac:dyDescent="0.3">
      <c r="A128" t="s">
        <v>833</v>
      </c>
      <c r="B128" t="s">
        <v>98</v>
      </c>
      <c r="C128" t="s">
        <v>431</v>
      </c>
      <c r="D128" t="s">
        <v>59</v>
      </c>
      <c r="E128" t="s">
        <v>1536</v>
      </c>
      <c r="F128" t="s">
        <v>347</v>
      </c>
      <c r="G128" t="s">
        <v>1296</v>
      </c>
      <c r="H128" t="s">
        <v>1872</v>
      </c>
      <c r="I128" t="s">
        <v>1873</v>
      </c>
      <c r="J128" t="s">
        <v>1664</v>
      </c>
      <c r="K128" t="s">
        <v>341</v>
      </c>
      <c r="L128" t="s">
        <v>1661</v>
      </c>
      <c r="M128" t="s">
        <v>300</v>
      </c>
      <c r="N128" t="s">
        <v>401</v>
      </c>
      <c r="O128" t="s">
        <v>133</v>
      </c>
      <c r="U128" t="s">
        <v>1170</v>
      </c>
      <c r="V128" t="s">
        <v>215</v>
      </c>
      <c r="W128" t="s">
        <v>215</v>
      </c>
      <c r="X128" t="s">
        <v>215</v>
      </c>
      <c r="Y128" t="s">
        <v>215</v>
      </c>
      <c r="AH128">
        <v>195.27</v>
      </c>
      <c r="AI128">
        <v>292.89999999999998</v>
      </c>
      <c r="AJ128">
        <v>97.63</v>
      </c>
      <c r="AK128">
        <v>282.05</v>
      </c>
      <c r="AL128">
        <v>282.05</v>
      </c>
      <c r="AM128">
        <v>282.05</v>
      </c>
      <c r="AN128">
        <v>86.78</v>
      </c>
      <c r="AO128">
        <v>282.05</v>
      </c>
      <c r="AP128">
        <v>-108.48</v>
      </c>
    </row>
    <row r="129" spans="1:42" x14ac:dyDescent="0.3">
      <c r="A129" t="s">
        <v>914</v>
      </c>
      <c r="B129" t="s">
        <v>98</v>
      </c>
      <c r="C129" t="s">
        <v>431</v>
      </c>
      <c r="D129" t="s">
        <v>60</v>
      </c>
      <c r="E129" t="s">
        <v>1349</v>
      </c>
      <c r="F129" t="s">
        <v>347</v>
      </c>
      <c r="G129" t="s">
        <v>915</v>
      </c>
      <c r="H129" t="s">
        <v>1874</v>
      </c>
      <c r="I129" t="s">
        <v>1875</v>
      </c>
      <c r="J129" t="s">
        <v>1815</v>
      </c>
      <c r="K129" t="s">
        <v>341</v>
      </c>
      <c r="L129" t="s">
        <v>1710</v>
      </c>
      <c r="M129" t="s">
        <v>303</v>
      </c>
      <c r="N129" t="s">
        <v>95</v>
      </c>
      <c r="O129" t="s">
        <v>316</v>
      </c>
      <c r="V129" t="s">
        <v>215</v>
      </c>
      <c r="W129" t="s">
        <v>215</v>
      </c>
      <c r="X129" t="s">
        <v>215</v>
      </c>
      <c r="Y129" t="s">
        <v>215</v>
      </c>
      <c r="AB129" t="s">
        <v>578</v>
      </c>
      <c r="AE129">
        <v>41.72</v>
      </c>
      <c r="AF129">
        <v>51.74</v>
      </c>
      <c r="AG129">
        <v>31.69</v>
      </c>
      <c r="AH129">
        <v>53.42</v>
      </c>
      <c r="AI129">
        <v>57.23</v>
      </c>
      <c r="AJ129">
        <v>49.6</v>
      </c>
      <c r="AK129">
        <v>46.71</v>
      </c>
      <c r="AL129">
        <v>50.6</v>
      </c>
      <c r="AM129">
        <v>42.82</v>
      </c>
      <c r="AN129">
        <v>56.27</v>
      </c>
      <c r="AO129">
        <v>60.29</v>
      </c>
      <c r="AP129">
        <v>52.25</v>
      </c>
    </row>
    <row r="130" spans="1:42" x14ac:dyDescent="0.3">
      <c r="A130" t="s">
        <v>640</v>
      </c>
      <c r="B130" t="s">
        <v>98</v>
      </c>
      <c r="C130" t="s">
        <v>431</v>
      </c>
      <c r="D130" t="s">
        <v>60</v>
      </c>
      <c r="E130" t="s">
        <v>1600</v>
      </c>
      <c r="F130" t="s">
        <v>340</v>
      </c>
      <c r="G130" t="s">
        <v>642</v>
      </c>
      <c r="H130" t="s">
        <v>1876</v>
      </c>
      <c r="I130" t="s">
        <v>215</v>
      </c>
      <c r="J130" t="s">
        <v>1877</v>
      </c>
      <c r="K130" t="s">
        <v>341</v>
      </c>
      <c r="L130" t="s">
        <v>1710</v>
      </c>
      <c r="M130" t="s">
        <v>300</v>
      </c>
      <c r="N130" t="s">
        <v>320</v>
      </c>
      <c r="O130" t="s">
        <v>307</v>
      </c>
      <c r="P130" t="s">
        <v>430</v>
      </c>
      <c r="Q130" t="s">
        <v>1878</v>
      </c>
      <c r="R130" t="s">
        <v>88</v>
      </c>
      <c r="S130" t="s">
        <v>299</v>
      </c>
      <c r="T130" t="s">
        <v>581</v>
      </c>
      <c r="V130" t="s">
        <v>215</v>
      </c>
      <c r="W130" t="s">
        <v>215</v>
      </c>
      <c r="X130" t="s">
        <v>215</v>
      </c>
      <c r="Y130" t="s">
        <v>215</v>
      </c>
      <c r="AB130" t="s">
        <v>552</v>
      </c>
      <c r="AE130">
        <v>139.49</v>
      </c>
      <c r="AF130">
        <v>160.5</v>
      </c>
      <c r="AG130">
        <v>118.48</v>
      </c>
      <c r="AH130">
        <v>129.41999999999999</v>
      </c>
      <c r="AI130">
        <v>135.72</v>
      </c>
      <c r="AJ130">
        <v>123.13</v>
      </c>
      <c r="AK130">
        <v>131.01</v>
      </c>
      <c r="AL130">
        <v>131.15</v>
      </c>
      <c r="AM130">
        <v>130.86000000000001</v>
      </c>
      <c r="AN130">
        <v>131.1</v>
      </c>
      <c r="AO130">
        <v>131.1</v>
      </c>
      <c r="AP130">
        <v>131.1</v>
      </c>
    </row>
    <row r="131" spans="1:42" x14ac:dyDescent="0.3">
      <c r="A131" t="s">
        <v>802</v>
      </c>
      <c r="B131" t="s">
        <v>98</v>
      </c>
      <c r="C131" t="s">
        <v>431</v>
      </c>
      <c r="D131" t="s">
        <v>58</v>
      </c>
      <c r="E131" t="s">
        <v>1340</v>
      </c>
      <c r="F131" t="s">
        <v>340</v>
      </c>
      <c r="G131" t="s">
        <v>860</v>
      </c>
      <c r="H131" t="s">
        <v>1879</v>
      </c>
      <c r="I131" t="s">
        <v>357</v>
      </c>
      <c r="J131" t="s">
        <v>1880</v>
      </c>
      <c r="K131" t="s">
        <v>341</v>
      </c>
      <c r="L131" t="s">
        <v>1738</v>
      </c>
      <c r="M131" t="s">
        <v>302</v>
      </c>
      <c r="N131" t="s">
        <v>130</v>
      </c>
      <c r="O131" t="s">
        <v>344</v>
      </c>
      <c r="V131" t="s">
        <v>215</v>
      </c>
      <c r="W131" t="s">
        <v>215</v>
      </c>
      <c r="X131" t="s">
        <v>215</v>
      </c>
      <c r="Y131" t="s">
        <v>215</v>
      </c>
      <c r="AB131" t="s">
        <v>1881</v>
      </c>
      <c r="AE131">
        <v>13.96</v>
      </c>
      <c r="AF131">
        <v>15.13</v>
      </c>
      <c r="AG131">
        <v>12.8</v>
      </c>
      <c r="AH131">
        <v>14.04</v>
      </c>
      <c r="AI131">
        <v>15.22</v>
      </c>
      <c r="AJ131">
        <v>12.87</v>
      </c>
      <c r="AK131">
        <v>18.73</v>
      </c>
      <c r="AL131">
        <v>22.24</v>
      </c>
      <c r="AM131">
        <v>15.22</v>
      </c>
      <c r="AN131">
        <v>14.48</v>
      </c>
      <c r="AO131">
        <v>15.68</v>
      </c>
      <c r="AP131">
        <v>13.27</v>
      </c>
    </row>
    <row r="132" spans="1:42" x14ac:dyDescent="0.3">
      <c r="A132" t="s">
        <v>643</v>
      </c>
      <c r="B132" t="s">
        <v>98</v>
      </c>
      <c r="C132" t="s">
        <v>431</v>
      </c>
      <c r="D132" t="s">
        <v>60</v>
      </c>
      <c r="E132" t="s">
        <v>1602</v>
      </c>
      <c r="F132" t="s">
        <v>340</v>
      </c>
      <c r="G132" t="s">
        <v>644</v>
      </c>
      <c r="H132" t="s">
        <v>1882</v>
      </c>
      <c r="I132" t="s">
        <v>357</v>
      </c>
      <c r="J132" t="s">
        <v>1877</v>
      </c>
      <c r="K132" t="s">
        <v>341</v>
      </c>
      <c r="L132" t="s">
        <v>1710</v>
      </c>
      <c r="M132" t="s">
        <v>300</v>
      </c>
      <c r="N132" t="s">
        <v>309</v>
      </c>
      <c r="O132" t="s">
        <v>328</v>
      </c>
      <c r="P132" t="s">
        <v>301</v>
      </c>
      <c r="V132" t="s">
        <v>215</v>
      </c>
      <c r="W132" t="s">
        <v>215</v>
      </c>
      <c r="X132" t="s">
        <v>215</v>
      </c>
      <c r="Y132" t="s">
        <v>215</v>
      </c>
      <c r="AB132" t="s">
        <v>1883</v>
      </c>
      <c r="AE132">
        <v>75.489999999999995</v>
      </c>
      <c r="AF132">
        <v>92.7</v>
      </c>
      <c r="AG132">
        <v>58.27</v>
      </c>
      <c r="AH132">
        <v>62.69</v>
      </c>
      <c r="AI132">
        <v>62.69</v>
      </c>
      <c r="AJ132">
        <v>62.69</v>
      </c>
      <c r="AK132">
        <v>65.290000000000006</v>
      </c>
      <c r="AL132">
        <v>66.88</v>
      </c>
      <c r="AM132">
        <v>63.69</v>
      </c>
      <c r="AN132">
        <v>74.489999999999995</v>
      </c>
      <c r="AO132">
        <v>79.45</v>
      </c>
      <c r="AP132">
        <v>69.540000000000006</v>
      </c>
    </row>
    <row r="133" spans="1:42" x14ac:dyDescent="0.3">
      <c r="A133" t="s">
        <v>738</v>
      </c>
      <c r="B133" t="s">
        <v>98</v>
      </c>
      <c r="C133" t="s">
        <v>431</v>
      </c>
      <c r="D133" t="s">
        <v>60</v>
      </c>
      <c r="E133" t="s">
        <v>371</v>
      </c>
      <c r="F133" t="s">
        <v>530</v>
      </c>
      <c r="G133" t="s">
        <v>739</v>
      </c>
      <c r="H133" t="s">
        <v>1884</v>
      </c>
      <c r="I133" t="s">
        <v>357</v>
      </c>
      <c r="J133" t="s">
        <v>1877</v>
      </c>
      <c r="K133" t="s">
        <v>341</v>
      </c>
      <c r="L133" t="s">
        <v>1710</v>
      </c>
      <c r="M133" t="s">
        <v>300</v>
      </c>
      <c r="N133" t="s">
        <v>319</v>
      </c>
      <c r="O133" t="s">
        <v>311</v>
      </c>
      <c r="P133" t="s">
        <v>307</v>
      </c>
      <c r="Q133" t="s">
        <v>1885</v>
      </c>
      <c r="R133" t="s">
        <v>128</v>
      </c>
      <c r="S133" t="s">
        <v>298</v>
      </c>
      <c r="T133" t="s">
        <v>307</v>
      </c>
      <c r="V133" t="s">
        <v>215</v>
      </c>
      <c r="W133" t="s">
        <v>215</v>
      </c>
      <c r="X133" t="s">
        <v>215</v>
      </c>
      <c r="Y133" t="s">
        <v>215</v>
      </c>
      <c r="AB133" t="s">
        <v>420</v>
      </c>
      <c r="AE133">
        <v>100.58</v>
      </c>
      <c r="AF133">
        <v>116.37</v>
      </c>
      <c r="AG133">
        <v>84.79</v>
      </c>
      <c r="AH133">
        <v>104.38</v>
      </c>
      <c r="AI133">
        <v>129.24</v>
      </c>
      <c r="AJ133">
        <v>79.52</v>
      </c>
      <c r="AK133">
        <v>88.56</v>
      </c>
      <c r="AL133">
        <v>89.83</v>
      </c>
      <c r="AM133">
        <v>87.28</v>
      </c>
      <c r="AN133">
        <v>87.73</v>
      </c>
      <c r="AO133">
        <v>87.73</v>
      </c>
      <c r="AP133">
        <v>87.73</v>
      </c>
    </row>
    <row r="134" spans="1:42" x14ac:dyDescent="0.3">
      <c r="A134" t="s">
        <v>803</v>
      </c>
      <c r="B134" t="s">
        <v>98</v>
      </c>
      <c r="C134" t="s">
        <v>431</v>
      </c>
      <c r="D134" t="s">
        <v>60</v>
      </c>
      <c r="E134" t="s">
        <v>1604</v>
      </c>
      <c r="F134" t="s">
        <v>340</v>
      </c>
      <c r="G134" t="s">
        <v>916</v>
      </c>
      <c r="H134" t="s">
        <v>1886</v>
      </c>
      <c r="I134" t="s">
        <v>1887</v>
      </c>
      <c r="J134" t="s">
        <v>1877</v>
      </c>
      <c r="K134" t="s">
        <v>341</v>
      </c>
      <c r="L134" t="s">
        <v>1710</v>
      </c>
      <c r="M134" t="s">
        <v>302</v>
      </c>
      <c r="N134" t="s">
        <v>304</v>
      </c>
      <c r="O134" t="s">
        <v>344</v>
      </c>
      <c r="V134" t="s">
        <v>215</v>
      </c>
      <c r="W134" t="s">
        <v>215</v>
      </c>
      <c r="X134" t="s">
        <v>215</v>
      </c>
      <c r="Y134" t="s">
        <v>215</v>
      </c>
      <c r="AB134" t="s">
        <v>428</v>
      </c>
      <c r="AE134">
        <v>12.63</v>
      </c>
      <c r="AF134">
        <v>13.68</v>
      </c>
      <c r="AG134">
        <v>11.58</v>
      </c>
      <c r="AH134">
        <v>12.7</v>
      </c>
      <c r="AI134">
        <v>13.76</v>
      </c>
      <c r="AJ134">
        <v>11.64</v>
      </c>
      <c r="AK134">
        <v>12.7</v>
      </c>
      <c r="AL134">
        <v>13.76</v>
      </c>
      <c r="AM134">
        <v>11.64</v>
      </c>
      <c r="AN134">
        <v>16.93</v>
      </c>
      <c r="AO134">
        <v>20.100000000000001</v>
      </c>
      <c r="AP134">
        <v>13.76</v>
      </c>
    </row>
    <row r="135" spans="1:42" x14ac:dyDescent="0.3">
      <c r="A135" t="s">
        <v>804</v>
      </c>
      <c r="B135" t="s">
        <v>98</v>
      </c>
      <c r="C135" t="s">
        <v>431</v>
      </c>
      <c r="D135" t="s">
        <v>53</v>
      </c>
      <c r="E135" t="s">
        <v>1453</v>
      </c>
      <c r="F135" t="s">
        <v>347</v>
      </c>
      <c r="G135" t="s">
        <v>863</v>
      </c>
      <c r="H135" t="s">
        <v>1888</v>
      </c>
      <c r="I135" t="s">
        <v>357</v>
      </c>
      <c r="J135" t="s">
        <v>1695</v>
      </c>
      <c r="K135" t="s">
        <v>341</v>
      </c>
      <c r="L135" t="s">
        <v>1671</v>
      </c>
      <c r="M135" t="s">
        <v>323</v>
      </c>
      <c r="N135" t="s">
        <v>343</v>
      </c>
      <c r="O135" t="s">
        <v>133</v>
      </c>
      <c r="V135" t="s">
        <v>215</v>
      </c>
      <c r="W135" t="s">
        <v>215</v>
      </c>
      <c r="X135" t="s">
        <v>215</v>
      </c>
      <c r="Y135" t="s">
        <v>215</v>
      </c>
      <c r="AB135" t="s">
        <v>1889</v>
      </c>
      <c r="AE135">
        <v>29.13</v>
      </c>
      <c r="AF135">
        <v>31.21</v>
      </c>
      <c r="AG135">
        <v>27.05</v>
      </c>
      <c r="AH135">
        <v>24.64</v>
      </c>
      <c r="AI135">
        <v>27.69</v>
      </c>
      <c r="AJ135">
        <v>21.59</v>
      </c>
      <c r="AK135">
        <v>23.32</v>
      </c>
      <c r="AL135">
        <v>24.98</v>
      </c>
      <c r="AM135">
        <v>21.65</v>
      </c>
      <c r="AN135">
        <v>23.32</v>
      </c>
      <c r="AO135">
        <v>24.98</v>
      </c>
      <c r="AP135">
        <v>21.65</v>
      </c>
    </row>
    <row r="136" spans="1:42" x14ac:dyDescent="0.3">
      <c r="A136" t="s">
        <v>865</v>
      </c>
      <c r="B136" t="s">
        <v>98</v>
      </c>
      <c r="C136" t="s">
        <v>431</v>
      </c>
      <c r="D136" t="s">
        <v>53</v>
      </c>
      <c r="E136" t="s">
        <v>1349</v>
      </c>
      <c r="F136" t="s">
        <v>360</v>
      </c>
      <c r="G136" t="s">
        <v>866</v>
      </c>
      <c r="H136" t="s">
        <v>1890</v>
      </c>
      <c r="I136" t="s">
        <v>357</v>
      </c>
      <c r="J136" t="s">
        <v>1817</v>
      </c>
      <c r="K136" t="s">
        <v>341</v>
      </c>
      <c r="L136" t="s">
        <v>1671</v>
      </c>
      <c r="M136" t="s">
        <v>303</v>
      </c>
      <c r="N136" t="s">
        <v>325</v>
      </c>
      <c r="O136" t="s">
        <v>77</v>
      </c>
      <c r="V136" t="s">
        <v>215</v>
      </c>
      <c r="W136" t="s">
        <v>215</v>
      </c>
      <c r="X136" t="s">
        <v>215</v>
      </c>
      <c r="Y136" t="s">
        <v>215</v>
      </c>
      <c r="AB136" t="s">
        <v>554</v>
      </c>
      <c r="AE136">
        <v>53.69</v>
      </c>
      <c r="AF136">
        <v>70.55</v>
      </c>
      <c r="AG136">
        <v>36.840000000000003</v>
      </c>
      <c r="AH136">
        <v>53.26</v>
      </c>
      <c r="AI136">
        <v>72.34</v>
      </c>
      <c r="AJ136">
        <v>34.17</v>
      </c>
      <c r="AK136">
        <v>40.380000000000003</v>
      </c>
      <c r="AL136">
        <v>54.4</v>
      </c>
      <c r="AM136">
        <v>26.36</v>
      </c>
      <c r="AN136">
        <v>25.15</v>
      </c>
      <c r="AO136">
        <v>26.95</v>
      </c>
      <c r="AP136">
        <v>23.36</v>
      </c>
    </row>
    <row r="137" spans="1:42" x14ac:dyDescent="0.3">
      <c r="A137" t="s">
        <v>645</v>
      </c>
      <c r="B137" t="s">
        <v>98</v>
      </c>
      <c r="C137" t="s">
        <v>431</v>
      </c>
      <c r="D137" t="s">
        <v>52</v>
      </c>
      <c r="E137" t="s">
        <v>1476</v>
      </c>
      <c r="F137" t="s">
        <v>340</v>
      </c>
      <c r="G137" t="s">
        <v>646</v>
      </c>
      <c r="H137" t="s">
        <v>1891</v>
      </c>
      <c r="I137" t="s">
        <v>357</v>
      </c>
      <c r="J137" t="s">
        <v>1892</v>
      </c>
      <c r="K137" t="s">
        <v>341</v>
      </c>
      <c r="L137" t="s">
        <v>1671</v>
      </c>
      <c r="M137" t="s">
        <v>300</v>
      </c>
      <c r="N137" t="s">
        <v>582</v>
      </c>
      <c r="O137" t="s">
        <v>307</v>
      </c>
      <c r="P137" t="s">
        <v>310</v>
      </c>
      <c r="Q137" t="s">
        <v>576</v>
      </c>
      <c r="R137" t="s">
        <v>318</v>
      </c>
      <c r="S137" t="s">
        <v>302</v>
      </c>
      <c r="T137" t="s">
        <v>310</v>
      </c>
      <c r="V137" t="s">
        <v>215</v>
      </c>
      <c r="W137" t="s">
        <v>215</v>
      </c>
      <c r="X137" t="s">
        <v>215</v>
      </c>
      <c r="Y137" t="s">
        <v>215</v>
      </c>
      <c r="AB137" t="s">
        <v>575</v>
      </c>
      <c r="AE137">
        <v>87.05</v>
      </c>
      <c r="AF137">
        <v>92.01</v>
      </c>
      <c r="AG137">
        <v>82.08</v>
      </c>
      <c r="AH137">
        <v>67.19</v>
      </c>
      <c r="AI137">
        <v>73.86</v>
      </c>
      <c r="AJ137">
        <v>60.52</v>
      </c>
      <c r="AK137">
        <v>78.83</v>
      </c>
      <c r="AL137">
        <v>85.5</v>
      </c>
      <c r="AM137">
        <v>72.150000000000006</v>
      </c>
      <c r="AN137">
        <v>83.15</v>
      </c>
      <c r="AO137">
        <v>91.05</v>
      </c>
      <c r="AP137">
        <v>75.260000000000005</v>
      </c>
    </row>
    <row r="138" spans="1:42" x14ac:dyDescent="0.3">
      <c r="A138" t="s">
        <v>617</v>
      </c>
      <c r="B138" t="s">
        <v>98</v>
      </c>
      <c r="C138" t="s">
        <v>431</v>
      </c>
      <c r="D138" t="s">
        <v>53</v>
      </c>
      <c r="E138" t="s">
        <v>1397</v>
      </c>
      <c r="F138" t="s">
        <v>340</v>
      </c>
      <c r="G138" t="s">
        <v>618</v>
      </c>
      <c r="H138" t="s">
        <v>1893</v>
      </c>
      <c r="I138" t="s">
        <v>357</v>
      </c>
      <c r="J138" t="s">
        <v>1894</v>
      </c>
      <c r="K138" t="s">
        <v>341</v>
      </c>
      <c r="L138" t="s">
        <v>1671</v>
      </c>
      <c r="M138" t="s">
        <v>300</v>
      </c>
      <c r="N138" t="s">
        <v>95</v>
      </c>
      <c r="O138" t="s">
        <v>307</v>
      </c>
      <c r="P138" t="s">
        <v>315</v>
      </c>
      <c r="Q138" t="s">
        <v>1895</v>
      </c>
      <c r="R138" t="s">
        <v>297</v>
      </c>
      <c r="S138" t="s">
        <v>298</v>
      </c>
      <c r="T138" t="s">
        <v>315</v>
      </c>
      <c r="V138" t="s">
        <v>215</v>
      </c>
      <c r="W138" t="s">
        <v>215</v>
      </c>
      <c r="X138" t="s">
        <v>215</v>
      </c>
      <c r="Y138" t="s">
        <v>215</v>
      </c>
      <c r="AB138" t="s">
        <v>419</v>
      </c>
      <c r="AE138">
        <v>39.409999999999997</v>
      </c>
      <c r="AF138">
        <v>45.23</v>
      </c>
      <c r="AG138">
        <v>33.58</v>
      </c>
      <c r="AH138">
        <v>48.3</v>
      </c>
      <c r="AI138">
        <v>55.34</v>
      </c>
      <c r="AJ138">
        <v>41.27</v>
      </c>
      <c r="AK138">
        <v>52.34</v>
      </c>
      <c r="AL138">
        <v>58.34</v>
      </c>
      <c r="AM138">
        <v>46.34</v>
      </c>
      <c r="AN138">
        <v>46.28</v>
      </c>
      <c r="AO138">
        <v>55.07</v>
      </c>
      <c r="AP138">
        <v>37.5</v>
      </c>
    </row>
    <row r="139" spans="1:42" x14ac:dyDescent="0.3">
      <c r="A139" t="s">
        <v>805</v>
      </c>
      <c r="B139" t="s">
        <v>98</v>
      </c>
      <c r="C139" t="s">
        <v>431</v>
      </c>
      <c r="D139" t="s">
        <v>53</v>
      </c>
      <c r="E139" t="s">
        <v>1399</v>
      </c>
      <c r="F139" t="s">
        <v>340</v>
      </c>
      <c r="G139" t="s">
        <v>867</v>
      </c>
      <c r="H139" t="s">
        <v>1896</v>
      </c>
      <c r="I139" t="s">
        <v>357</v>
      </c>
      <c r="J139" t="s">
        <v>1892</v>
      </c>
      <c r="K139" t="s">
        <v>341</v>
      </c>
      <c r="L139" t="s">
        <v>1671</v>
      </c>
      <c r="M139" t="s">
        <v>323</v>
      </c>
      <c r="N139" t="s">
        <v>405</v>
      </c>
      <c r="O139" t="s">
        <v>316</v>
      </c>
      <c r="V139" t="s">
        <v>215</v>
      </c>
      <c r="W139" t="s">
        <v>215</v>
      </c>
      <c r="X139" t="s">
        <v>215</v>
      </c>
      <c r="Y139" t="s">
        <v>215</v>
      </c>
      <c r="AB139" t="s">
        <v>411</v>
      </c>
      <c r="AE139">
        <v>32.82</v>
      </c>
      <c r="AF139">
        <v>43.41</v>
      </c>
      <c r="AG139">
        <v>22.22</v>
      </c>
      <c r="AH139">
        <v>33.880000000000003</v>
      </c>
      <c r="AI139">
        <v>41.01</v>
      </c>
      <c r="AJ139">
        <v>26.76</v>
      </c>
      <c r="AK139">
        <v>41.15</v>
      </c>
      <c r="AL139">
        <v>47.8</v>
      </c>
      <c r="AM139">
        <v>34.5</v>
      </c>
      <c r="AN139">
        <v>32.1</v>
      </c>
      <c r="AO139">
        <v>41.42</v>
      </c>
      <c r="AP139">
        <v>22.78</v>
      </c>
    </row>
    <row r="140" spans="1:42" x14ac:dyDescent="0.3">
      <c r="A140" t="s">
        <v>840</v>
      </c>
      <c r="B140" t="s">
        <v>98</v>
      </c>
      <c r="C140" t="s">
        <v>431</v>
      </c>
      <c r="D140" t="s">
        <v>59</v>
      </c>
      <c r="E140" t="s">
        <v>1547</v>
      </c>
      <c r="F140" t="s">
        <v>340</v>
      </c>
      <c r="G140" t="s">
        <v>905</v>
      </c>
      <c r="H140" t="s">
        <v>1897</v>
      </c>
      <c r="I140" t="s">
        <v>357</v>
      </c>
      <c r="J140" t="s">
        <v>1892</v>
      </c>
      <c r="K140" t="s">
        <v>341</v>
      </c>
      <c r="L140" t="s">
        <v>1671</v>
      </c>
      <c r="M140" t="s">
        <v>298</v>
      </c>
      <c r="N140" t="s">
        <v>312</v>
      </c>
      <c r="O140" t="s">
        <v>344</v>
      </c>
      <c r="V140" t="s">
        <v>215</v>
      </c>
      <c r="W140" t="s">
        <v>215</v>
      </c>
      <c r="X140" t="s">
        <v>215</v>
      </c>
      <c r="Y140" t="s">
        <v>215</v>
      </c>
      <c r="AB140" t="s">
        <v>1898</v>
      </c>
      <c r="AE140">
        <v>13.7</v>
      </c>
      <c r="AF140">
        <v>16.27</v>
      </c>
      <c r="AG140">
        <v>11.14</v>
      </c>
      <c r="AH140">
        <v>10.57</v>
      </c>
      <c r="AI140">
        <v>11.45</v>
      </c>
      <c r="AJ140">
        <v>9.69</v>
      </c>
      <c r="AK140">
        <v>10.98</v>
      </c>
      <c r="AL140">
        <v>11.89</v>
      </c>
      <c r="AM140">
        <v>10.06</v>
      </c>
      <c r="AN140">
        <v>10.98</v>
      </c>
      <c r="AO140">
        <v>11.89</v>
      </c>
      <c r="AP140">
        <v>10.06</v>
      </c>
    </row>
    <row r="141" spans="1:42" x14ac:dyDescent="0.3">
      <c r="A141" t="s">
        <v>806</v>
      </c>
      <c r="B141" t="s">
        <v>98</v>
      </c>
      <c r="C141" t="s">
        <v>431</v>
      </c>
      <c r="D141" t="s">
        <v>53</v>
      </c>
      <c r="E141" t="s">
        <v>1446</v>
      </c>
      <c r="F141" t="s">
        <v>342</v>
      </c>
      <c r="G141" t="s">
        <v>868</v>
      </c>
      <c r="H141" t="s">
        <v>1899</v>
      </c>
      <c r="I141" t="s">
        <v>357</v>
      </c>
      <c r="J141" t="s">
        <v>1892</v>
      </c>
      <c r="K141" t="s">
        <v>341</v>
      </c>
      <c r="L141" t="s">
        <v>1671</v>
      </c>
      <c r="M141" t="s">
        <v>302</v>
      </c>
      <c r="N141" t="s">
        <v>317</v>
      </c>
      <c r="O141" t="s">
        <v>344</v>
      </c>
      <c r="V141" t="s">
        <v>215</v>
      </c>
      <c r="W141" t="s">
        <v>215</v>
      </c>
      <c r="X141" t="s">
        <v>215</v>
      </c>
      <c r="Y141" t="s">
        <v>215</v>
      </c>
      <c r="AB141" t="s">
        <v>1900</v>
      </c>
      <c r="AE141">
        <v>36.18</v>
      </c>
      <c r="AF141">
        <v>39.200000000000003</v>
      </c>
      <c r="AG141">
        <v>33.17</v>
      </c>
      <c r="AH141">
        <v>36.74</v>
      </c>
      <c r="AI141">
        <v>39.799999999999997</v>
      </c>
      <c r="AJ141">
        <v>33.68</v>
      </c>
      <c r="AK141">
        <v>38.29</v>
      </c>
      <c r="AL141">
        <v>41.48</v>
      </c>
      <c r="AM141">
        <v>35.1</v>
      </c>
      <c r="AN141">
        <v>54.07</v>
      </c>
      <c r="AO141">
        <v>64.209999999999994</v>
      </c>
      <c r="AP141">
        <v>43.93</v>
      </c>
    </row>
    <row r="142" spans="1:42" x14ac:dyDescent="0.3">
      <c r="A142" t="s">
        <v>619</v>
      </c>
      <c r="B142" t="s">
        <v>98</v>
      </c>
      <c r="C142" t="s">
        <v>431</v>
      </c>
      <c r="D142" t="s">
        <v>53</v>
      </c>
      <c r="E142" t="s">
        <v>373</v>
      </c>
      <c r="F142" t="s">
        <v>1451</v>
      </c>
      <c r="G142" t="s">
        <v>620</v>
      </c>
      <c r="H142" t="s">
        <v>1694</v>
      </c>
      <c r="I142" t="s">
        <v>215</v>
      </c>
      <c r="J142" t="s">
        <v>1695</v>
      </c>
      <c r="K142" t="s">
        <v>341</v>
      </c>
      <c r="L142" t="s">
        <v>1671</v>
      </c>
      <c r="M142" t="s">
        <v>300</v>
      </c>
      <c r="N142" t="s">
        <v>304</v>
      </c>
      <c r="O142" t="s">
        <v>307</v>
      </c>
      <c r="P142" t="s">
        <v>400</v>
      </c>
      <c r="Q142" t="s">
        <v>1901</v>
      </c>
      <c r="R142" t="s">
        <v>297</v>
      </c>
      <c r="S142" t="s">
        <v>298</v>
      </c>
      <c r="T142" t="s">
        <v>362</v>
      </c>
      <c r="V142" t="s">
        <v>215</v>
      </c>
      <c r="W142" t="s">
        <v>215</v>
      </c>
      <c r="X142" t="s">
        <v>215</v>
      </c>
      <c r="Y142" t="s">
        <v>215</v>
      </c>
      <c r="AB142" t="s">
        <v>1902</v>
      </c>
      <c r="AE142">
        <v>77.180000000000007</v>
      </c>
      <c r="AF142">
        <v>85.29</v>
      </c>
      <c r="AG142">
        <v>69.069999999999993</v>
      </c>
      <c r="AH142">
        <v>68.23</v>
      </c>
      <c r="AI142">
        <v>91.47</v>
      </c>
      <c r="AJ142">
        <v>45</v>
      </c>
      <c r="AK142">
        <v>78.069999999999993</v>
      </c>
      <c r="AL142">
        <v>94.37</v>
      </c>
      <c r="AM142">
        <v>61.78</v>
      </c>
      <c r="AN142">
        <v>103.18</v>
      </c>
      <c r="AO142">
        <v>138.22</v>
      </c>
      <c r="AP142">
        <v>68.13</v>
      </c>
    </row>
    <row r="143" spans="1:42" x14ac:dyDescent="0.3">
      <c r="A143" t="s">
        <v>621</v>
      </c>
      <c r="B143" t="s">
        <v>98</v>
      </c>
      <c r="C143" t="s">
        <v>431</v>
      </c>
      <c r="D143" t="s">
        <v>53</v>
      </c>
      <c r="E143" t="s">
        <v>1401</v>
      </c>
      <c r="F143" t="s">
        <v>340</v>
      </c>
      <c r="G143" t="s">
        <v>622</v>
      </c>
      <c r="H143" t="s">
        <v>1903</v>
      </c>
      <c r="I143" t="s">
        <v>357</v>
      </c>
      <c r="J143" t="s">
        <v>1892</v>
      </c>
      <c r="K143" t="s">
        <v>341</v>
      </c>
      <c r="L143" t="s">
        <v>1671</v>
      </c>
      <c r="M143" t="s">
        <v>300</v>
      </c>
      <c r="N143" t="s">
        <v>397</v>
      </c>
      <c r="O143" t="s">
        <v>307</v>
      </c>
      <c r="P143" t="s">
        <v>421</v>
      </c>
      <c r="Q143" t="s">
        <v>1904</v>
      </c>
      <c r="R143" t="s">
        <v>318</v>
      </c>
      <c r="S143" t="s">
        <v>303</v>
      </c>
      <c r="T143" t="s">
        <v>558</v>
      </c>
      <c r="V143" t="s">
        <v>215</v>
      </c>
      <c r="W143" t="s">
        <v>215</v>
      </c>
      <c r="X143" t="s">
        <v>215</v>
      </c>
      <c r="Y143" t="s">
        <v>215</v>
      </c>
      <c r="AB143" t="s">
        <v>1905</v>
      </c>
      <c r="AE143">
        <v>165.67</v>
      </c>
      <c r="AF143">
        <v>208.43</v>
      </c>
      <c r="AG143">
        <v>122.9</v>
      </c>
      <c r="AH143">
        <v>171.53</v>
      </c>
      <c r="AI143">
        <v>228.2</v>
      </c>
      <c r="AJ143">
        <v>114.85</v>
      </c>
      <c r="AK143">
        <v>196.11</v>
      </c>
      <c r="AL143">
        <v>237.11</v>
      </c>
      <c r="AM143">
        <v>155.11000000000001</v>
      </c>
      <c r="AN143">
        <v>220.39</v>
      </c>
      <c r="AO143">
        <v>266.36</v>
      </c>
      <c r="AP143">
        <v>174.41</v>
      </c>
    </row>
    <row r="144" spans="1:42" x14ac:dyDescent="0.3">
      <c r="A144" t="s">
        <v>871</v>
      </c>
      <c r="B144" t="s">
        <v>98</v>
      </c>
      <c r="C144" t="s">
        <v>431</v>
      </c>
      <c r="D144" t="s">
        <v>53</v>
      </c>
      <c r="E144" t="s">
        <v>1403</v>
      </c>
      <c r="F144" t="s">
        <v>340</v>
      </c>
      <c r="G144" t="s">
        <v>872</v>
      </c>
      <c r="H144" t="s">
        <v>1906</v>
      </c>
      <c r="I144" t="s">
        <v>215</v>
      </c>
      <c r="J144" t="s">
        <v>1695</v>
      </c>
      <c r="K144" t="s">
        <v>341</v>
      </c>
      <c r="L144" t="s">
        <v>1671</v>
      </c>
      <c r="M144" t="s">
        <v>303</v>
      </c>
      <c r="N144" t="s">
        <v>319</v>
      </c>
      <c r="O144" t="s">
        <v>133</v>
      </c>
      <c r="V144" t="s">
        <v>215</v>
      </c>
      <c r="W144" t="s">
        <v>215</v>
      </c>
      <c r="X144" t="s">
        <v>215</v>
      </c>
      <c r="Y144" t="s">
        <v>215</v>
      </c>
      <c r="AB144" t="s">
        <v>1907</v>
      </c>
      <c r="AE144">
        <v>54.92</v>
      </c>
      <c r="AF144">
        <v>59.79</v>
      </c>
      <c r="AG144">
        <v>50.05</v>
      </c>
      <c r="AH144">
        <v>61.75</v>
      </c>
      <c r="AI144">
        <v>68.64</v>
      </c>
      <c r="AJ144">
        <v>54.85</v>
      </c>
      <c r="AK144">
        <v>57.6</v>
      </c>
      <c r="AL144">
        <v>62.4</v>
      </c>
      <c r="AM144">
        <v>52.8</v>
      </c>
      <c r="AN144">
        <v>65.5</v>
      </c>
      <c r="AO144">
        <v>71.58</v>
      </c>
      <c r="AP144">
        <v>59.41</v>
      </c>
    </row>
    <row r="145" spans="1:42" x14ac:dyDescent="0.3">
      <c r="A145" t="s">
        <v>623</v>
      </c>
      <c r="B145" t="s">
        <v>98</v>
      </c>
      <c r="C145" t="s">
        <v>431</v>
      </c>
      <c r="D145" t="s">
        <v>53</v>
      </c>
      <c r="E145" t="s">
        <v>1405</v>
      </c>
      <c r="F145" t="s">
        <v>340</v>
      </c>
      <c r="G145" t="s">
        <v>624</v>
      </c>
      <c r="H145" t="s">
        <v>1908</v>
      </c>
      <c r="I145" t="s">
        <v>357</v>
      </c>
      <c r="J145" t="s">
        <v>1892</v>
      </c>
      <c r="K145" t="s">
        <v>341</v>
      </c>
      <c r="L145" t="s">
        <v>1671</v>
      </c>
      <c r="M145" t="s">
        <v>300</v>
      </c>
      <c r="N145" t="s">
        <v>1635</v>
      </c>
      <c r="O145" t="s">
        <v>307</v>
      </c>
      <c r="P145" t="s">
        <v>302</v>
      </c>
      <c r="V145" t="s">
        <v>215</v>
      </c>
      <c r="W145" t="s">
        <v>215</v>
      </c>
      <c r="X145" t="s">
        <v>215</v>
      </c>
      <c r="Y145" t="s">
        <v>215</v>
      </c>
      <c r="AB145" t="s">
        <v>569</v>
      </c>
      <c r="AE145">
        <v>125.91</v>
      </c>
      <c r="AF145">
        <v>141.12</v>
      </c>
      <c r="AG145">
        <v>110.7</v>
      </c>
      <c r="AH145">
        <v>129.32</v>
      </c>
      <c r="AI145">
        <v>140.91</v>
      </c>
      <c r="AJ145">
        <v>117.74</v>
      </c>
      <c r="AK145">
        <v>163</v>
      </c>
      <c r="AL145">
        <v>189.2</v>
      </c>
      <c r="AM145">
        <v>136.79</v>
      </c>
      <c r="AN145">
        <v>197.56</v>
      </c>
      <c r="AO145">
        <v>224.9</v>
      </c>
      <c r="AP145">
        <v>170.22</v>
      </c>
    </row>
    <row r="146" spans="1:42" x14ac:dyDescent="0.3">
      <c r="A146" t="s">
        <v>625</v>
      </c>
      <c r="B146" t="s">
        <v>98</v>
      </c>
      <c r="C146" t="s">
        <v>431</v>
      </c>
      <c r="D146" t="s">
        <v>53</v>
      </c>
      <c r="E146" t="s">
        <v>1407</v>
      </c>
      <c r="F146" t="s">
        <v>340</v>
      </c>
      <c r="G146" t="s">
        <v>626</v>
      </c>
      <c r="H146" t="s">
        <v>1909</v>
      </c>
      <c r="I146" t="s">
        <v>357</v>
      </c>
      <c r="J146" t="s">
        <v>1892</v>
      </c>
      <c r="K146" t="s">
        <v>341</v>
      </c>
      <c r="L146" t="s">
        <v>1671</v>
      </c>
      <c r="M146" t="s">
        <v>300</v>
      </c>
      <c r="N146" t="s">
        <v>404</v>
      </c>
      <c r="O146" t="s">
        <v>307</v>
      </c>
      <c r="P146" t="s">
        <v>205</v>
      </c>
      <c r="Q146" t="s">
        <v>1910</v>
      </c>
      <c r="R146" t="s">
        <v>313</v>
      </c>
      <c r="S146" t="s">
        <v>297</v>
      </c>
      <c r="T146" t="s">
        <v>205</v>
      </c>
      <c r="V146" t="s">
        <v>215</v>
      </c>
      <c r="W146" t="s">
        <v>215</v>
      </c>
      <c r="X146" t="s">
        <v>215</v>
      </c>
      <c r="Y146" t="s">
        <v>215</v>
      </c>
      <c r="AB146" t="s">
        <v>545</v>
      </c>
      <c r="AE146">
        <v>58.28</v>
      </c>
      <c r="AF146">
        <v>63.98</v>
      </c>
      <c r="AG146">
        <v>52.59</v>
      </c>
      <c r="AH146">
        <v>58.76</v>
      </c>
      <c r="AI146">
        <v>65.84</v>
      </c>
      <c r="AJ146">
        <v>51.68</v>
      </c>
      <c r="AK146">
        <v>61.03</v>
      </c>
      <c r="AL146">
        <v>68.150000000000006</v>
      </c>
      <c r="AM146">
        <v>53.91</v>
      </c>
      <c r="AN146">
        <v>62.08</v>
      </c>
      <c r="AO146">
        <v>66.510000000000005</v>
      </c>
      <c r="AP146">
        <v>57.64</v>
      </c>
    </row>
    <row r="147" spans="1:42" x14ac:dyDescent="0.3">
      <c r="A147" t="s">
        <v>841</v>
      </c>
      <c r="B147" t="s">
        <v>98</v>
      </c>
      <c r="C147" t="s">
        <v>431</v>
      </c>
      <c r="D147" t="s">
        <v>53</v>
      </c>
      <c r="E147" t="s">
        <v>1446</v>
      </c>
      <c r="F147" t="s">
        <v>358</v>
      </c>
      <c r="G147" t="s">
        <v>878</v>
      </c>
      <c r="H147" t="s">
        <v>1911</v>
      </c>
      <c r="I147" t="s">
        <v>357</v>
      </c>
      <c r="J147" t="s">
        <v>1912</v>
      </c>
      <c r="K147" t="s">
        <v>341</v>
      </c>
      <c r="L147" t="s">
        <v>1654</v>
      </c>
      <c r="M147" t="s">
        <v>302</v>
      </c>
      <c r="N147" t="s">
        <v>1913</v>
      </c>
      <c r="O147" t="s">
        <v>344</v>
      </c>
      <c r="V147" t="s">
        <v>215</v>
      </c>
      <c r="W147" t="s">
        <v>215</v>
      </c>
      <c r="X147" t="s">
        <v>215</v>
      </c>
      <c r="Y147" t="s">
        <v>215</v>
      </c>
      <c r="AB147" t="s">
        <v>1914</v>
      </c>
      <c r="AE147">
        <v>28.14</v>
      </c>
      <c r="AF147">
        <v>30.49</v>
      </c>
      <c r="AG147">
        <v>25.8</v>
      </c>
      <c r="AH147">
        <v>28.6</v>
      </c>
      <c r="AI147">
        <v>30.98</v>
      </c>
      <c r="AJ147">
        <v>26.21</v>
      </c>
      <c r="AK147">
        <v>29.28</v>
      </c>
      <c r="AL147">
        <v>31.72</v>
      </c>
      <c r="AM147">
        <v>26.84</v>
      </c>
      <c r="AN147">
        <v>40.82</v>
      </c>
      <c r="AO147">
        <v>48.48</v>
      </c>
      <c r="AP147">
        <v>33.17</v>
      </c>
    </row>
    <row r="148" spans="1:42" x14ac:dyDescent="0.3">
      <c r="A148" t="s">
        <v>647</v>
      </c>
      <c r="B148" t="s">
        <v>98</v>
      </c>
      <c r="C148" t="s">
        <v>431</v>
      </c>
      <c r="D148" t="s">
        <v>53</v>
      </c>
      <c r="E148" t="s">
        <v>1409</v>
      </c>
      <c r="F148" t="s">
        <v>340</v>
      </c>
      <c r="G148" t="s">
        <v>648</v>
      </c>
      <c r="H148" t="s">
        <v>1915</v>
      </c>
      <c r="I148" t="s">
        <v>357</v>
      </c>
      <c r="J148" t="s">
        <v>1912</v>
      </c>
      <c r="K148" t="s">
        <v>341</v>
      </c>
      <c r="L148" t="s">
        <v>1654</v>
      </c>
      <c r="M148" t="s">
        <v>298</v>
      </c>
      <c r="N148" t="s">
        <v>361</v>
      </c>
      <c r="O148" t="s">
        <v>344</v>
      </c>
      <c r="P148" t="s">
        <v>302</v>
      </c>
      <c r="V148" t="s">
        <v>215</v>
      </c>
      <c r="W148" t="s">
        <v>215</v>
      </c>
      <c r="X148" t="s">
        <v>215</v>
      </c>
      <c r="Y148" t="s">
        <v>215</v>
      </c>
      <c r="AB148" t="s">
        <v>1916</v>
      </c>
      <c r="AE148">
        <v>21.66</v>
      </c>
      <c r="AF148">
        <v>26.72</v>
      </c>
      <c r="AG148">
        <v>16.59</v>
      </c>
      <c r="AH148">
        <v>18.600000000000001</v>
      </c>
      <c r="AI148">
        <v>20.149999999999999</v>
      </c>
      <c r="AJ148">
        <v>17.05</v>
      </c>
      <c r="AK148">
        <v>18.600000000000001</v>
      </c>
      <c r="AL148">
        <v>20.149999999999999</v>
      </c>
      <c r="AM148">
        <v>17.05</v>
      </c>
      <c r="AN148">
        <v>25.09</v>
      </c>
      <c r="AO148">
        <v>29.79</v>
      </c>
      <c r="AP148">
        <v>20.38</v>
      </c>
    </row>
    <row r="149" spans="1:42" x14ac:dyDescent="0.3">
      <c r="A149" t="s">
        <v>649</v>
      </c>
      <c r="B149" t="s">
        <v>98</v>
      </c>
      <c r="C149" t="s">
        <v>431</v>
      </c>
      <c r="D149" t="s">
        <v>52</v>
      </c>
      <c r="E149" t="s">
        <v>1478</v>
      </c>
      <c r="F149" t="s">
        <v>340</v>
      </c>
      <c r="G149" t="s">
        <v>650</v>
      </c>
      <c r="H149" t="s">
        <v>1917</v>
      </c>
      <c r="I149" t="s">
        <v>357</v>
      </c>
      <c r="J149" t="s">
        <v>1838</v>
      </c>
      <c r="K149" t="s">
        <v>341</v>
      </c>
      <c r="L149" t="s">
        <v>1645</v>
      </c>
      <c r="M149" t="s">
        <v>303</v>
      </c>
      <c r="N149" t="s">
        <v>98</v>
      </c>
      <c r="O149" t="s">
        <v>410</v>
      </c>
      <c r="P149" t="s">
        <v>302</v>
      </c>
      <c r="V149" t="s">
        <v>215</v>
      </c>
      <c r="W149" t="s">
        <v>215</v>
      </c>
      <c r="X149" t="s">
        <v>215</v>
      </c>
      <c r="Y149" t="s">
        <v>215</v>
      </c>
      <c r="AB149" t="s">
        <v>1918</v>
      </c>
      <c r="AE149">
        <v>44.9</v>
      </c>
      <c r="AF149">
        <v>48.64</v>
      </c>
      <c r="AG149">
        <v>41.15</v>
      </c>
      <c r="AH149">
        <v>47.06</v>
      </c>
      <c r="AI149">
        <v>60.36</v>
      </c>
      <c r="AJ149">
        <v>33.76</v>
      </c>
      <c r="AK149">
        <v>56.06</v>
      </c>
      <c r="AL149">
        <v>60.74</v>
      </c>
      <c r="AM149">
        <v>51.39</v>
      </c>
      <c r="AN149">
        <v>74.58</v>
      </c>
      <c r="AO149">
        <v>91.76</v>
      </c>
      <c r="AP149">
        <v>57.4</v>
      </c>
    </row>
    <row r="150" spans="1:42" x14ac:dyDescent="0.3">
      <c r="A150" t="s">
        <v>842</v>
      </c>
      <c r="B150" t="s">
        <v>98</v>
      </c>
      <c r="C150" t="s">
        <v>431</v>
      </c>
      <c r="D150" t="s">
        <v>53</v>
      </c>
      <c r="E150" t="s">
        <v>1457</v>
      </c>
      <c r="F150" t="s">
        <v>347</v>
      </c>
      <c r="G150" t="s">
        <v>881</v>
      </c>
      <c r="H150" t="s">
        <v>1919</v>
      </c>
      <c r="I150" t="s">
        <v>357</v>
      </c>
      <c r="J150" t="s">
        <v>1824</v>
      </c>
      <c r="K150" t="s">
        <v>341</v>
      </c>
      <c r="L150" t="s">
        <v>1639</v>
      </c>
      <c r="M150" t="s">
        <v>299</v>
      </c>
      <c r="N150" t="s">
        <v>130</v>
      </c>
      <c r="O150" t="s">
        <v>128</v>
      </c>
      <c r="V150" t="s">
        <v>215</v>
      </c>
      <c r="W150" t="s">
        <v>215</v>
      </c>
      <c r="X150" t="s">
        <v>215</v>
      </c>
      <c r="Y150" t="s">
        <v>215</v>
      </c>
      <c r="AB150" t="s">
        <v>370</v>
      </c>
      <c r="AE150">
        <v>44.65</v>
      </c>
      <c r="AF150">
        <v>52.74</v>
      </c>
      <c r="AG150">
        <v>36.56</v>
      </c>
      <c r="AH150">
        <v>54.05</v>
      </c>
      <c r="AI150">
        <v>64.19</v>
      </c>
      <c r="AJ150">
        <v>43.92</v>
      </c>
      <c r="AK150">
        <v>47.4</v>
      </c>
      <c r="AL150">
        <v>58.54</v>
      </c>
      <c r="AM150">
        <v>36.25</v>
      </c>
      <c r="AN150">
        <v>51</v>
      </c>
      <c r="AO150">
        <v>59.65</v>
      </c>
      <c r="AP150">
        <v>42.35</v>
      </c>
    </row>
    <row r="151" spans="1:42" x14ac:dyDescent="0.3">
      <c r="A151" t="s">
        <v>843</v>
      </c>
      <c r="B151" t="s">
        <v>98</v>
      </c>
      <c r="C151" t="s">
        <v>431</v>
      </c>
      <c r="D151" t="s">
        <v>59</v>
      </c>
      <c r="E151" t="s">
        <v>1549</v>
      </c>
      <c r="F151" t="s">
        <v>340</v>
      </c>
      <c r="G151" t="s">
        <v>760</v>
      </c>
      <c r="H151" t="s">
        <v>1920</v>
      </c>
      <c r="I151" t="s">
        <v>357</v>
      </c>
      <c r="J151" t="s">
        <v>1824</v>
      </c>
      <c r="K151" t="s">
        <v>341</v>
      </c>
      <c r="L151" t="s">
        <v>1639</v>
      </c>
      <c r="M151" t="s">
        <v>300</v>
      </c>
      <c r="N151" t="s">
        <v>582</v>
      </c>
      <c r="O151" t="s">
        <v>307</v>
      </c>
      <c r="V151" t="s">
        <v>215</v>
      </c>
      <c r="W151" t="s">
        <v>215</v>
      </c>
      <c r="X151" t="s">
        <v>215</v>
      </c>
      <c r="Y151" t="s">
        <v>215</v>
      </c>
      <c r="AB151" t="s">
        <v>570</v>
      </c>
      <c r="AE151">
        <v>78.23</v>
      </c>
      <c r="AF151">
        <v>90.73</v>
      </c>
      <c r="AG151">
        <v>65.73</v>
      </c>
      <c r="AH151">
        <v>86.94</v>
      </c>
      <c r="AI151">
        <v>111.56</v>
      </c>
      <c r="AJ151">
        <v>62.31</v>
      </c>
      <c r="AK151">
        <v>65.760000000000005</v>
      </c>
      <c r="AL151">
        <v>75.88</v>
      </c>
      <c r="AM151">
        <v>55.65</v>
      </c>
      <c r="AN151">
        <v>82.96</v>
      </c>
      <c r="AO151">
        <v>100.58</v>
      </c>
      <c r="AP151">
        <v>65.33</v>
      </c>
    </row>
    <row r="152" spans="1:42" x14ac:dyDescent="0.3">
      <c r="A152" t="s">
        <v>834</v>
      </c>
      <c r="B152" t="s">
        <v>98</v>
      </c>
      <c r="C152" t="s">
        <v>431</v>
      </c>
      <c r="D152" t="s">
        <v>59</v>
      </c>
      <c r="E152" t="s">
        <v>1536</v>
      </c>
      <c r="F152" t="s">
        <v>346</v>
      </c>
      <c r="G152" t="s">
        <v>1298</v>
      </c>
      <c r="H152" t="s">
        <v>1921</v>
      </c>
      <c r="I152" t="s">
        <v>1663</v>
      </c>
      <c r="J152" t="s">
        <v>1922</v>
      </c>
      <c r="K152" t="s">
        <v>341</v>
      </c>
      <c r="L152" t="s">
        <v>1661</v>
      </c>
      <c r="M152" t="s">
        <v>300</v>
      </c>
      <c r="N152" t="s">
        <v>391</v>
      </c>
      <c r="O152" t="s">
        <v>330</v>
      </c>
      <c r="U152" t="s">
        <v>1170</v>
      </c>
      <c r="V152" t="s">
        <v>215</v>
      </c>
      <c r="W152" t="s">
        <v>215</v>
      </c>
      <c r="X152" t="s">
        <v>215</v>
      </c>
      <c r="Y152" t="s">
        <v>215</v>
      </c>
      <c r="AH152">
        <v>211.52</v>
      </c>
      <c r="AI152">
        <v>288.44</v>
      </c>
      <c r="AJ152">
        <v>134.61000000000001</v>
      </c>
      <c r="AK152">
        <v>287.12</v>
      </c>
      <c r="AL152">
        <v>292.33</v>
      </c>
      <c r="AM152">
        <v>281.91000000000003</v>
      </c>
      <c r="AN152">
        <v>87.48</v>
      </c>
      <c r="AO152">
        <v>284.3</v>
      </c>
      <c r="AP152">
        <v>-109.35</v>
      </c>
    </row>
    <row r="153" spans="1:42" x14ac:dyDescent="0.3">
      <c r="A153" t="s">
        <v>651</v>
      </c>
      <c r="B153" t="s">
        <v>98</v>
      </c>
      <c r="C153" t="s">
        <v>431</v>
      </c>
      <c r="D153" t="s">
        <v>53</v>
      </c>
      <c r="E153" t="s">
        <v>1411</v>
      </c>
      <c r="F153" t="s">
        <v>340</v>
      </c>
      <c r="G153" t="s">
        <v>652</v>
      </c>
      <c r="H153" t="s">
        <v>1923</v>
      </c>
      <c r="I153" t="s">
        <v>357</v>
      </c>
      <c r="J153" t="s">
        <v>1892</v>
      </c>
      <c r="K153" t="s">
        <v>341</v>
      </c>
      <c r="L153" t="s">
        <v>1671</v>
      </c>
      <c r="M153" t="s">
        <v>303</v>
      </c>
      <c r="N153" t="s">
        <v>150</v>
      </c>
      <c r="O153" t="s">
        <v>133</v>
      </c>
      <c r="P153" t="s">
        <v>301</v>
      </c>
      <c r="V153" t="s">
        <v>215</v>
      </c>
      <c r="W153" t="s">
        <v>215</v>
      </c>
      <c r="X153" t="s">
        <v>215</v>
      </c>
      <c r="Y153" t="s">
        <v>215</v>
      </c>
      <c r="AB153" t="s">
        <v>1924</v>
      </c>
      <c r="AE153">
        <v>191.3</v>
      </c>
      <c r="AF153">
        <v>207.25</v>
      </c>
      <c r="AG153">
        <v>175.36</v>
      </c>
      <c r="AH153">
        <v>230.92</v>
      </c>
      <c r="AI153">
        <v>247.42</v>
      </c>
      <c r="AJ153">
        <v>214.43</v>
      </c>
      <c r="AK153">
        <v>197.94</v>
      </c>
      <c r="AL153">
        <v>214.43</v>
      </c>
      <c r="AM153">
        <v>181.44</v>
      </c>
      <c r="AN153">
        <v>231.42</v>
      </c>
      <c r="AO153">
        <v>247.95</v>
      </c>
      <c r="AP153">
        <v>214.89</v>
      </c>
    </row>
    <row r="154" spans="1:42" x14ac:dyDescent="0.3">
      <c r="A154" t="s">
        <v>844</v>
      </c>
      <c r="B154" t="s">
        <v>98</v>
      </c>
      <c r="C154" t="s">
        <v>431</v>
      </c>
      <c r="D154" t="s">
        <v>60</v>
      </c>
      <c r="E154" t="s">
        <v>1606</v>
      </c>
      <c r="F154" t="s">
        <v>340</v>
      </c>
      <c r="G154" t="s">
        <v>1300</v>
      </c>
      <c r="H154" t="s">
        <v>1925</v>
      </c>
      <c r="I154" t="s">
        <v>357</v>
      </c>
      <c r="J154" t="s">
        <v>1829</v>
      </c>
      <c r="K154" t="s">
        <v>341</v>
      </c>
      <c r="L154" t="s">
        <v>1639</v>
      </c>
      <c r="M154" t="s">
        <v>300</v>
      </c>
      <c r="N154" t="s">
        <v>314</v>
      </c>
      <c r="O154" t="s">
        <v>298</v>
      </c>
      <c r="R154" t="s">
        <v>354</v>
      </c>
      <c r="V154" t="s">
        <v>215</v>
      </c>
      <c r="W154" t="s">
        <v>215</v>
      </c>
      <c r="X154" t="s">
        <v>215</v>
      </c>
      <c r="Y154" t="s">
        <v>215</v>
      </c>
      <c r="AN154">
        <v>0</v>
      </c>
      <c r="AO154">
        <v>18.62</v>
      </c>
      <c r="AP154">
        <v>-18.62</v>
      </c>
    </row>
    <row r="155" spans="1:42" x14ac:dyDescent="0.3">
      <c r="A155" t="s">
        <v>770</v>
      </c>
      <c r="B155" t="s">
        <v>98</v>
      </c>
      <c r="C155" t="s">
        <v>431</v>
      </c>
      <c r="D155" t="s">
        <v>58</v>
      </c>
      <c r="E155" t="s">
        <v>1388</v>
      </c>
      <c r="F155" t="s">
        <v>363</v>
      </c>
      <c r="G155" t="s">
        <v>1304</v>
      </c>
      <c r="H155" t="s">
        <v>1926</v>
      </c>
      <c r="I155" t="s">
        <v>357</v>
      </c>
      <c r="J155" t="s">
        <v>1927</v>
      </c>
      <c r="K155" t="s">
        <v>341</v>
      </c>
      <c r="L155" t="s">
        <v>1716</v>
      </c>
      <c r="M155" t="s">
        <v>323</v>
      </c>
      <c r="N155" t="s">
        <v>325</v>
      </c>
      <c r="O155" t="s">
        <v>133</v>
      </c>
      <c r="V155" t="s">
        <v>215</v>
      </c>
      <c r="W155" t="s">
        <v>215</v>
      </c>
      <c r="X155" t="s">
        <v>215</v>
      </c>
      <c r="Y155" t="s">
        <v>215</v>
      </c>
      <c r="AB155" t="s">
        <v>367</v>
      </c>
      <c r="AE155">
        <v>34.840000000000003</v>
      </c>
      <c r="AF155">
        <v>37.32</v>
      </c>
      <c r="AG155">
        <v>32.35</v>
      </c>
      <c r="AH155">
        <v>29.75</v>
      </c>
      <c r="AI155">
        <v>32.229999999999997</v>
      </c>
      <c r="AJ155">
        <v>27.27</v>
      </c>
      <c r="AK155">
        <v>23.69</v>
      </c>
      <c r="AL155">
        <v>32.700000000000003</v>
      </c>
      <c r="AM155">
        <v>14.68</v>
      </c>
      <c r="AN155">
        <v>15.43</v>
      </c>
      <c r="AO155">
        <v>16.53</v>
      </c>
      <c r="AP155">
        <v>14.32</v>
      </c>
    </row>
    <row r="156" spans="1:42" x14ac:dyDescent="0.3">
      <c r="A156" t="s">
        <v>807</v>
      </c>
      <c r="B156" t="s">
        <v>98</v>
      </c>
      <c r="C156" t="s">
        <v>431</v>
      </c>
      <c r="D156" t="s">
        <v>53</v>
      </c>
      <c r="E156" t="s">
        <v>1388</v>
      </c>
      <c r="F156" t="s">
        <v>340</v>
      </c>
      <c r="G156" t="s">
        <v>862</v>
      </c>
      <c r="H156" t="s">
        <v>1928</v>
      </c>
      <c r="I156" t="s">
        <v>357</v>
      </c>
      <c r="J156" t="s">
        <v>1929</v>
      </c>
      <c r="K156" t="s">
        <v>341</v>
      </c>
      <c r="L156" t="s">
        <v>1671</v>
      </c>
      <c r="M156" t="s">
        <v>323</v>
      </c>
      <c r="N156" t="s">
        <v>401</v>
      </c>
      <c r="O156" t="s">
        <v>133</v>
      </c>
      <c r="V156" t="s">
        <v>215</v>
      </c>
      <c r="W156" t="s">
        <v>215</v>
      </c>
      <c r="X156" t="s">
        <v>215</v>
      </c>
      <c r="Y156" t="s">
        <v>215</v>
      </c>
      <c r="AB156" t="s">
        <v>1930</v>
      </c>
      <c r="AE156">
        <v>34.119999999999997</v>
      </c>
      <c r="AF156">
        <v>36.549999999999997</v>
      </c>
      <c r="AG156">
        <v>31.68</v>
      </c>
      <c r="AH156">
        <v>29.15</v>
      </c>
      <c r="AI156">
        <v>31.58</v>
      </c>
      <c r="AJ156">
        <v>26.72</v>
      </c>
      <c r="AK156">
        <v>34.020000000000003</v>
      </c>
      <c r="AL156">
        <v>36.450000000000003</v>
      </c>
      <c r="AM156">
        <v>31.59</v>
      </c>
      <c r="AN156">
        <v>34.020000000000003</v>
      </c>
      <c r="AO156">
        <v>36.450000000000003</v>
      </c>
      <c r="AP156">
        <v>31.59</v>
      </c>
    </row>
    <row r="157" spans="1:42" x14ac:dyDescent="0.3">
      <c r="A157" t="s">
        <v>808</v>
      </c>
      <c r="B157" t="s">
        <v>98</v>
      </c>
      <c r="C157" t="s">
        <v>431</v>
      </c>
      <c r="D157" t="s">
        <v>60</v>
      </c>
      <c r="E157" t="s">
        <v>1388</v>
      </c>
      <c r="F157" t="s">
        <v>347</v>
      </c>
      <c r="G157" t="s">
        <v>908</v>
      </c>
      <c r="H157" t="s">
        <v>1931</v>
      </c>
      <c r="I157" t="s">
        <v>357</v>
      </c>
      <c r="J157" t="s">
        <v>1932</v>
      </c>
      <c r="K157" t="s">
        <v>341</v>
      </c>
      <c r="L157" t="s">
        <v>1710</v>
      </c>
      <c r="M157" t="s">
        <v>323</v>
      </c>
      <c r="N157" t="s">
        <v>149</v>
      </c>
      <c r="O157" t="s">
        <v>133</v>
      </c>
      <c r="V157" t="s">
        <v>215</v>
      </c>
      <c r="W157" t="s">
        <v>215</v>
      </c>
      <c r="X157" t="s">
        <v>215</v>
      </c>
      <c r="Y157" t="s">
        <v>215</v>
      </c>
      <c r="AB157" t="s">
        <v>425</v>
      </c>
      <c r="AE157">
        <v>31.27</v>
      </c>
      <c r="AF157">
        <v>33.5</v>
      </c>
      <c r="AG157">
        <v>29.03</v>
      </c>
      <c r="AH157">
        <v>26.55</v>
      </c>
      <c r="AI157">
        <v>28.76</v>
      </c>
      <c r="AJ157">
        <v>24.34</v>
      </c>
      <c r="AK157">
        <v>30.98</v>
      </c>
      <c r="AL157">
        <v>33.19</v>
      </c>
      <c r="AM157">
        <v>28.76</v>
      </c>
      <c r="AN157">
        <v>26.62</v>
      </c>
      <c r="AO157">
        <v>28.84</v>
      </c>
      <c r="AP157">
        <v>24.4</v>
      </c>
    </row>
    <row r="158" spans="1:42" x14ac:dyDescent="0.3">
      <c r="A158" t="s">
        <v>851</v>
      </c>
      <c r="B158" t="s">
        <v>98</v>
      </c>
      <c r="C158" t="s">
        <v>431</v>
      </c>
      <c r="D158" t="s">
        <v>59</v>
      </c>
      <c r="E158" t="s">
        <v>1551</v>
      </c>
      <c r="F158" t="s">
        <v>340</v>
      </c>
      <c r="G158" t="s">
        <v>852</v>
      </c>
      <c r="H158" t="s">
        <v>1933</v>
      </c>
      <c r="I158" t="s">
        <v>1934</v>
      </c>
      <c r="J158" t="s">
        <v>1855</v>
      </c>
      <c r="K158" t="s">
        <v>341</v>
      </c>
      <c r="L158" t="s">
        <v>1650</v>
      </c>
      <c r="M158" t="s">
        <v>300</v>
      </c>
      <c r="N158" t="s">
        <v>323</v>
      </c>
      <c r="O158" t="s">
        <v>318</v>
      </c>
      <c r="U158" t="s">
        <v>1138</v>
      </c>
      <c r="V158" t="s">
        <v>215</v>
      </c>
      <c r="W158" t="s">
        <v>215</v>
      </c>
      <c r="X158" t="s">
        <v>215</v>
      </c>
      <c r="Y158" t="s">
        <v>215</v>
      </c>
      <c r="AH158">
        <v>123.81</v>
      </c>
      <c r="AI158">
        <v>208.94</v>
      </c>
      <c r="AJ158">
        <v>38.69</v>
      </c>
      <c r="AK158">
        <v>245.78</v>
      </c>
      <c r="AL158">
        <v>300.55</v>
      </c>
      <c r="AM158">
        <v>191.01</v>
      </c>
      <c r="AN158">
        <v>0</v>
      </c>
      <c r="AO158">
        <v>0</v>
      </c>
      <c r="AP158">
        <v>0</v>
      </c>
    </row>
    <row r="159" spans="1:42" x14ac:dyDescent="0.3">
      <c r="A159" t="s">
        <v>653</v>
      </c>
      <c r="B159" t="s">
        <v>98</v>
      </c>
      <c r="C159" t="s">
        <v>431</v>
      </c>
      <c r="D159" t="s">
        <v>60</v>
      </c>
      <c r="E159" t="s">
        <v>1608</v>
      </c>
      <c r="F159" t="s">
        <v>340</v>
      </c>
      <c r="G159" t="s">
        <v>654</v>
      </c>
      <c r="H159" t="s">
        <v>1935</v>
      </c>
      <c r="I159" t="s">
        <v>1936</v>
      </c>
      <c r="J159" t="s">
        <v>1829</v>
      </c>
      <c r="K159" t="s">
        <v>341</v>
      </c>
      <c r="L159" t="s">
        <v>1639</v>
      </c>
      <c r="M159" t="s">
        <v>300</v>
      </c>
      <c r="N159" t="s">
        <v>1689</v>
      </c>
      <c r="O159" t="s">
        <v>307</v>
      </c>
      <c r="P159" t="s">
        <v>205</v>
      </c>
      <c r="Q159" t="s">
        <v>297</v>
      </c>
      <c r="R159" t="s">
        <v>354</v>
      </c>
      <c r="S159" t="s">
        <v>302</v>
      </c>
      <c r="T159" t="s">
        <v>318</v>
      </c>
      <c r="V159" t="s">
        <v>215</v>
      </c>
      <c r="W159" t="s">
        <v>215</v>
      </c>
      <c r="X159" t="s">
        <v>215</v>
      </c>
      <c r="Y159" t="s">
        <v>215</v>
      </c>
      <c r="AB159" t="s">
        <v>323</v>
      </c>
      <c r="AE159">
        <v>38.700000000000003</v>
      </c>
      <c r="AF159">
        <v>38.700000000000003</v>
      </c>
      <c r="AG159">
        <v>38.700000000000003</v>
      </c>
      <c r="AH159">
        <v>40.57</v>
      </c>
      <c r="AI159">
        <v>41.72</v>
      </c>
      <c r="AJ159">
        <v>39.42</v>
      </c>
      <c r="AK159">
        <v>41.4</v>
      </c>
      <c r="AL159">
        <v>41.4</v>
      </c>
      <c r="AM159">
        <v>41.4</v>
      </c>
      <c r="AN159">
        <v>41.4</v>
      </c>
      <c r="AO159">
        <v>41.4</v>
      </c>
      <c r="AP159">
        <v>41.4</v>
      </c>
    </row>
    <row r="160" spans="1:42" x14ac:dyDescent="0.3">
      <c r="A160" t="s">
        <v>772</v>
      </c>
      <c r="B160" t="s">
        <v>98</v>
      </c>
      <c r="C160" t="s">
        <v>431</v>
      </c>
      <c r="D160" t="s">
        <v>58</v>
      </c>
      <c r="E160" t="s">
        <v>1343</v>
      </c>
      <c r="F160" t="s">
        <v>340</v>
      </c>
      <c r="G160" t="s">
        <v>1311</v>
      </c>
      <c r="H160" t="s">
        <v>1937</v>
      </c>
      <c r="I160" t="s">
        <v>357</v>
      </c>
      <c r="J160" t="s">
        <v>1938</v>
      </c>
      <c r="K160" t="s">
        <v>341</v>
      </c>
      <c r="L160" t="s">
        <v>1681</v>
      </c>
      <c r="M160" t="s">
        <v>297</v>
      </c>
      <c r="N160" t="s">
        <v>397</v>
      </c>
      <c r="O160" t="s">
        <v>128</v>
      </c>
      <c r="V160" t="s">
        <v>215</v>
      </c>
      <c r="W160" t="s">
        <v>215</v>
      </c>
      <c r="X160" t="s">
        <v>215</v>
      </c>
      <c r="Y160" t="s">
        <v>215</v>
      </c>
      <c r="AB160" t="s">
        <v>372</v>
      </c>
      <c r="AE160">
        <v>26.32</v>
      </c>
      <c r="AF160">
        <v>41.83</v>
      </c>
      <c r="AG160">
        <v>10.82</v>
      </c>
      <c r="AH160">
        <v>18.48</v>
      </c>
      <c r="AI160">
        <v>23.89</v>
      </c>
      <c r="AJ160">
        <v>13.07</v>
      </c>
      <c r="AK160">
        <v>34.74</v>
      </c>
      <c r="AL160">
        <v>44.89</v>
      </c>
      <c r="AM160">
        <v>24.59</v>
      </c>
      <c r="AN160">
        <v>19.55</v>
      </c>
      <c r="AO160">
        <v>23.96</v>
      </c>
      <c r="AP160">
        <v>15.14</v>
      </c>
    </row>
    <row r="161" spans="1:42" x14ac:dyDescent="0.3">
      <c r="A161" t="s">
        <v>906</v>
      </c>
      <c r="B161" t="s">
        <v>98</v>
      </c>
      <c r="C161" t="s">
        <v>431</v>
      </c>
      <c r="D161" t="s">
        <v>60</v>
      </c>
      <c r="E161" t="s">
        <v>1349</v>
      </c>
      <c r="F161" t="s">
        <v>346</v>
      </c>
      <c r="G161" t="s">
        <v>907</v>
      </c>
      <c r="H161" t="s">
        <v>1939</v>
      </c>
      <c r="I161" t="s">
        <v>1940</v>
      </c>
      <c r="J161" t="s">
        <v>1815</v>
      </c>
      <c r="K161" t="s">
        <v>341</v>
      </c>
      <c r="L161" t="s">
        <v>1710</v>
      </c>
      <c r="M161" t="s">
        <v>303</v>
      </c>
      <c r="N161" t="s">
        <v>316</v>
      </c>
      <c r="O161" t="s">
        <v>77</v>
      </c>
      <c r="V161" t="s">
        <v>215</v>
      </c>
      <c r="W161" t="s">
        <v>215</v>
      </c>
      <c r="X161" t="s">
        <v>215</v>
      </c>
      <c r="Y161" t="s">
        <v>215</v>
      </c>
      <c r="AB161" t="s">
        <v>1941</v>
      </c>
      <c r="AE161">
        <v>105.91</v>
      </c>
      <c r="AF161">
        <v>164.74</v>
      </c>
      <c r="AG161">
        <v>47.08</v>
      </c>
      <c r="AH161">
        <v>123.47</v>
      </c>
      <c r="AI161">
        <v>186.21</v>
      </c>
      <c r="AJ161">
        <v>60.73</v>
      </c>
      <c r="AK161">
        <v>82.72</v>
      </c>
      <c r="AL161">
        <v>116.2</v>
      </c>
      <c r="AM161">
        <v>49.25</v>
      </c>
      <c r="AN161">
        <v>90.32</v>
      </c>
      <c r="AO161">
        <v>96.77</v>
      </c>
      <c r="AP161">
        <v>83.87</v>
      </c>
    </row>
    <row r="162" spans="1:42" x14ac:dyDescent="0.3">
      <c r="A162" t="s">
        <v>809</v>
      </c>
      <c r="B162" t="s">
        <v>98</v>
      </c>
      <c r="C162" t="s">
        <v>431</v>
      </c>
      <c r="D162" t="s">
        <v>53</v>
      </c>
      <c r="E162" t="s">
        <v>1413</v>
      </c>
      <c r="F162" t="s">
        <v>340</v>
      </c>
      <c r="G162" t="s">
        <v>755</v>
      </c>
      <c r="H162" t="s">
        <v>1942</v>
      </c>
      <c r="I162" t="s">
        <v>215</v>
      </c>
      <c r="J162" t="s">
        <v>1929</v>
      </c>
      <c r="K162" t="s">
        <v>341</v>
      </c>
      <c r="L162" t="s">
        <v>1671</v>
      </c>
      <c r="M162" t="s">
        <v>300</v>
      </c>
      <c r="N162" t="s">
        <v>352</v>
      </c>
      <c r="O162" t="s">
        <v>307</v>
      </c>
      <c r="V162" t="s">
        <v>215</v>
      </c>
      <c r="W162" t="s">
        <v>215</v>
      </c>
      <c r="X162" t="s">
        <v>215</v>
      </c>
      <c r="Y162" t="s">
        <v>215</v>
      </c>
      <c r="AB162" t="s">
        <v>1943</v>
      </c>
      <c r="AE162">
        <v>45.53</v>
      </c>
      <c r="AF162">
        <v>46.86</v>
      </c>
      <c r="AG162">
        <v>44.2</v>
      </c>
      <c r="AH162">
        <v>49.44</v>
      </c>
      <c r="AI162">
        <v>50.78</v>
      </c>
      <c r="AJ162">
        <v>48.09</v>
      </c>
      <c r="AK162">
        <v>50.53</v>
      </c>
      <c r="AL162">
        <v>50.53</v>
      </c>
      <c r="AM162">
        <v>50.53</v>
      </c>
      <c r="AN162">
        <v>54.42</v>
      </c>
      <c r="AO162">
        <v>58.3</v>
      </c>
      <c r="AP162">
        <v>50.53</v>
      </c>
    </row>
    <row r="163" spans="1:42" x14ac:dyDescent="0.3">
      <c r="A163" t="s">
        <v>835</v>
      </c>
      <c r="B163" t="s">
        <v>98</v>
      </c>
      <c r="C163" t="s">
        <v>431</v>
      </c>
      <c r="D163" t="s">
        <v>59</v>
      </c>
      <c r="E163" t="s">
        <v>1474</v>
      </c>
      <c r="F163" t="s">
        <v>360</v>
      </c>
      <c r="G163" t="s">
        <v>1314</v>
      </c>
      <c r="H163" t="s">
        <v>1944</v>
      </c>
      <c r="I163" t="s">
        <v>357</v>
      </c>
      <c r="J163" t="s">
        <v>1922</v>
      </c>
      <c r="K163" t="s">
        <v>341</v>
      </c>
      <c r="L163" t="s">
        <v>1661</v>
      </c>
      <c r="M163" t="s">
        <v>300</v>
      </c>
      <c r="N163" t="s">
        <v>98</v>
      </c>
      <c r="O163" t="s">
        <v>133</v>
      </c>
      <c r="U163" t="s">
        <v>1170</v>
      </c>
      <c r="V163" t="s">
        <v>215</v>
      </c>
      <c r="W163" t="s">
        <v>215</v>
      </c>
      <c r="X163" t="s">
        <v>215</v>
      </c>
      <c r="Y163" t="s">
        <v>215</v>
      </c>
      <c r="AH163">
        <v>153.77000000000001</v>
      </c>
      <c r="AI163">
        <v>230.65</v>
      </c>
      <c r="AJ163">
        <v>76.88</v>
      </c>
      <c r="AK163">
        <v>222.11</v>
      </c>
      <c r="AL163">
        <v>222.11</v>
      </c>
      <c r="AM163">
        <v>222.11</v>
      </c>
      <c r="AN163">
        <v>69.7</v>
      </c>
      <c r="AO163">
        <v>226.51</v>
      </c>
      <c r="AP163">
        <v>-87.12</v>
      </c>
    </row>
    <row r="164" spans="1:42" x14ac:dyDescent="0.3">
      <c r="A164" t="s">
        <v>706</v>
      </c>
      <c r="B164" t="s">
        <v>98</v>
      </c>
      <c r="C164" t="s">
        <v>431</v>
      </c>
      <c r="D164" t="s">
        <v>58</v>
      </c>
      <c r="E164" t="s">
        <v>418</v>
      </c>
      <c r="F164" t="s">
        <v>533</v>
      </c>
      <c r="G164" t="s">
        <v>707</v>
      </c>
      <c r="H164" t="s">
        <v>1945</v>
      </c>
      <c r="I164" t="s">
        <v>426</v>
      </c>
      <c r="J164" t="s">
        <v>1783</v>
      </c>
      <c r="K164" t="s">
        <v>341</v>
      </c>
      <c r="L164" t="s">
        <v>1784</v>
      </c>
      <c r="M164" t="s">
        <v>300</v>
      </c>
      <c r="N164" t="s">
        <v>403</v>
      </c>
      <c r="O164" t="s">
        <v>311</v>
      </c>
      <c r="P164" t="s">
        <v>301</v>
      </c>
      <c r="V164" t="s">
        <v>215</v>
      </c>
      <c r="W164" t="s">
        <v>215</v>
      </c>
      <c r="X164" t="s">
        <v>215</v>
      </c>
      <c r="Y164" t="s">
        <v>215</v>
      </c>
      <c r="AB164" t="s">
        <v>1946</v>
      </c>
      <c r="AE164">
        <v>130.51</v>
      </c>
      <c r="AF164">
        <v>157.56</v>
      </c>
      <c r="AG164">
        <v>103.47</v>
      </c>
      <c r="AH164">
        <v>125.4</v>
      </c>
      <c r="AI164">
        <v>178.04</v>
      </c>
      <c r="AJ164">
        <v>72.760000000000005</v>
      </c>
      <c r="AK164">
        <v>142.4</v>
      </c>
      <c r="AL164">
        <v>193.83</v>
      </c>
      <c r="AM164">
        <v>90.98</v>
      </c>
      <c r="AN164">
        <v>122.22</v>
      </c>
      <c r="AO164">
        <v>156.75</v>
      </c>
      <c r="AP164">
        <v>87.7</v>
      </c>
    </row>
    <row r="165" spans="1:42" x14ac:dyDescent="0.3">
      <c r="A165" t="s">
        <v>708</v>
      </c>
      <c r="B165" t="s">
        <v>98</v>
      </c>
      <c r="C165" t="s">
        <v>431</v>
      </c>
      <c r="D165" t="s">
        <v>58</v>
      </c>
      <c r="E165" t="s">
        <v>418</v>
      </c>
      <c r="F165" t="s">
        <v>541</v>
      </c>
      <c r="G165" t="s">
        <v>709</v>
      </c>
      <c r="H165" t="s">
        <v>1947</v>
      </c>
      <c r="I165" t="s">
        <v>426</v>
      </c>
      <c r="J165" t="s">
        <v>1680</v>
      </c>
      <c r="K165" t="s">
        <v>341</v>
      </c>
      <c r="L165" t="s">
        <v>1681</v>
      </c>
      <c r="M165" t="s">
        <v>300</v>
      </c>
      <c r="N165" t="s">
        <v>343</v>
      </c>
      <c r="O165" t="s">
        <v>311</v>
      </c>
      <c r="P165" t="s">
        <v>299</v>
      </c>
      <c r="V165" t="s">
        <v>215</v>
      </c>
      <c r="W165" t="s">
        <v>215</v>
      </c>
      <c r="X165" t="s">
        <v>215</v>
      </c>
      <c r="Y165" t="s">
        <v>215</v>
      </c>
      <c r="AB165" t="s">
        <v>579</v>
      </c>
      <c r="AE165">
        <v>68.2</v>
      </c>
      <c r="AF165">
        <v>91.46</v>
      </c>
      <c r="AG165">
        <v>44.94</v>
      </c>
      <c r="AH165">
        <v>92.27</v>
      </c>
      <c r="AI165">
        <v>141.30000000000001</v>
      </c>
      <c r="AJ165">
        <v>43.24</v>
      </c>
      <c r="AK165">
        <v>93.7</v>
      </c>
      <c r="AL165">
        <v>131.63999999999999</v>
      </c>
      <c r="AM165">
        <v>55.77</v>
      </c>
      <c r="AN165">
        <v>76.88</v>
      </c>
      <c r="AO165">
        <v>101.7</v>
      </c>
      <c r="AP165">
        <v>52.06</v>
      </c>
    </row>
    <row r="166" spans="1:42" x14ac:dyDescent="0.3">
      <c r="A166" t="s">
        <v>710</v>
      </c>
      <c r="B166" t="s">
        <v>98</v>
      </c>
      <c r="C166" t="s">
        <v>431</v>
      </c>
      <c r="D166" t="s">
        <v>58</v>
      </c>
      <c r="E166" t="s">
        <v>418</v>
      </c>
      <c r="F166" t="s">
        <v>531</v>
      </c>
      <c r="G166" t="s">
        <v>711</v>
      </c>
      <c r="H166" t="s">
        <v>1948</v>
      </c>
      <c r="I166" t="s">
        <v>426</v>
      </c>
      <c r="J166" t="s">
        <v>1680</v>
      </c>
      <c r="K166" t="s">
        <v>341</v>
      </c>
      <c r="L166" t="s">
        <v>1681</v>
      </c>
      <c r="M166" t="s">
        <v>300</v>
      </c>
      <c r="N166" t="s">
        <v>77</v>
      </c>
      <c r="O166" t="s">
        <v>311</v>
      </c>
      <c r="P166" t="s">
        <v>303</v>
      </c>
      <c r="V166" t="s">
        <v>215</v>
      </c>
      <c r="W166" t="s">
        <v>215</v>
      </c>
      <c r="X166" t="s">
        <v>215</v>
      </c>
      <c r="Y166" t="s">
        <v>215</v>
      </c>
      <c r="AB166" t="s">
        <v>1949</v>
      </c>
      <c r="AE166">
        <v>144.88</v>
      </c>
      <c r="AF166">
        <v>193.88</v>
      </c>
      <c r="AG166">
        <v>95.89</v>
      </c>
      <c r="AH166">
        <v>196.52</v>
      </c>
      <c r="AI166">
        <v>252.14</v>
      </c>
      <c r="AJ166">
        <v>140.91</v>
      </c>
      <c r="AK166">
        <v>245.73</v>
      </c>
      <c r="AL166">
        <v>281.26</v>
      </c>
      <c r="AM166">
        <v>210.2</v>
      </c>
      <c r="AN166">
        <v>160.75</v>
      </c>
      <c r="AO166">
        <v>221</v>
      </c>
      <c r="AP166">
        <v>100.49</v>
      </c>
    </row>
    <row r="167" spans="1:42" x14ac:dyDescent="0.3">
      <c r="A167" t="s">
        <v>712</v>
      </c>
      <c r="B167" t="s">
        <v>98</v>
      </c>
      <c r="C167" t="s">
        <v>431</v>
      </c>
      <c r="D167" t="s">
        <v>52</v>
      </c>
      <c r="E167" t="s">
        <v>418</v>
      </c>
      <c r="F167" t="s">
        <v>536</v>
      </c>
      <c r="G167" t="s">
        <v>713</v>
      </c>
      <c r="H167" t="s">
        <v>1950</v>
      </c>
      <c r="I167" t="s">
        <v>426</v>
      </c>
      <c r="J167" t="s">
        <v>1649</v>
      </c>
      <c r="K167" t="s">
        <v>341</v>
      </c>
      <c r="L167" t="s">
        <v>1650</v>
      </c>
      <c r="M167" t="s">
        <v>300</v>
      </c>
      <c r="N167" t="s">
        <v>130</v>
      </c>
      <c r="O167" t="s">
        <v>307</v>
      </c>
      <c r="P167" t="s">
        <v>302</v>
      </c>
      <c r="V167" t="s">
        <v>215</v>
      </c>
      <c r="W167" t="s">
        <v>215</v>
      </c>
      <c r="X167" t="s">
        <v>215</v>
      </c>
      <c r="Y167" t="s">
        <v>215</v>
      </c>
      <c r="AB167" t="s">
        <v>1951</v>
      </c>
      <c r="AE167">
        <v>55.19</v>
      </c>
      <c r="AF167">
        <v>78.010000000000005</v>
      </c>
      <c r="AG167">
        <v>32.369999999999997</v>
      </c>
      <c r="AH167">
        <v>57.47</v>
      </c>
      <c r="AI167">
        <v>92.33</v>
      </c>
      <c r="AJ167">
        <v>22.61</v>
      </c>
      <c r="AK167">
        <v>60.68</v>
      </c>
      <c r="AL167">
        <v>89.98</v>
      </c>
      <c r="AM167">
        <v>31.37</v>
      </c>
      <c r="AN167">
        <v>87.3</v>
      </c>
      <c r="AO167">
        <v>122.18</v>
      </c>
      <c r="AP167">
        <v>52.42</v>
      </c>
    </row>
    <row r="168" spans="1:42" x14ac:dyDescent="0.3">
      <c r="A168" t="s">
        <v>627</v>
      </c>
      <c r="B168" t="s">
        <v>98</v>
      </c>
      <c r="C168" t="s">
        <v>431</v>
      </c>
      <c r="D168" t="s">
        <v>53</v>
      </c>
      <c r="E168" t="s">
        <v>418</v>
      </c>
      <c r="F168" t="s">
        <v>540</v>
      </c>
      <c r="G168" t="s">
        <v>628</v>
      </c>
      <c r="H168" t="s">
        <v>1952</v>
      </c>
      <c r="I168" t="s">
        <v>426</v>
      </c>
      <c r="J168" t="s">
        <v>1695</v>
      </c>
      <c r="K168" t="s">
        <v>341</v>
      </c>
      <c r="L168" t="s">
        <v>1671</v>
      </c>
      <c r="M168" t="s">
        <v>300</v>
      </c>
      <c r="N168" t="s">
        <v>1689</v>
      </c>
      <c r="O168" t="s">
        <v>311</v>
      </c>
      <c r="P168" t="s">
        <v>299</v>
      </c>
      <c r="V168" t="s">
        <v>215</v>
      </c>
      <c r="W168" t="s">
        <v>215</v>
      </c>
      <c r="X168" t="s">
        <v>215</v>
      </c>
      <c r="Y168" t="s">
        <v>215</v>
      </c>
      <c r="AB168" t="s">
        <v>556</v>
      </c>
      <c r="AE168">
        <v>128.53</v>
      </c>
      <c r="AF168">
        <v>168.98</v>
      </c>
      <c r="AG168">
        <v>88.07</v>
      </c>
      <c r="AH168">
        <v>154.69</v>
      </c>
      <c r="AI168">
        <v>193.43</v>
      </c>
      <c r="AJ168">
        <v>115.96</v>
      </c>
      <c r="AK168">
        <v>158.63999999999999</v>
      </c>
      <c r="AL168">
        <v>194.78</v>
      </c>
      <c r="AM168">
        <v>122.51</v>
      </c>
      <c r="AN168">
        <v>158.03</v>
      </c>
      <c r="AO168">
        <v>198.2</v>
      </c>
      <c r="AP168">
        <v>117.87</v>
      </c>
    </row>
    <row r="169" spans="1:42" x14ac:dyDescent="0.3">
      <c r="A169" t="s">
        <v>714</v>
      </c>
      <c r="B169" t="s">
        <v>98</v>
      </c>
      <c r="C169" t="s">
        <v>431</v>
      </c>
      <c r="D169" t="s">
        <v>59</v>
      </c>
      <c r="E169" t="s">
        <v>418</v>
      </c>
      <c r="F169" t="s">
        <v>539</v>
      </c>
      <c r="G169" t="s">
        <v>715</v>
      </c>
      <c r="H169" t="s">
        <v>1953</v>
      </c>
      <c r="I169" t="s">
        <v>426</v>
      </c>
      <c r="J169" t="s">
        <v>1641</v>
      </c>
      <c r="K169" t="s">
        <v>341</v>
      </c>
      <c r="L169" t="s">
        <v>1642</v>
      </c>
      <c r="M169" t="s">
        <v>300</v>
      </c>
      <c r="N169" t="s">
        <v>108</v>
      </c>
      <c r="O169" t="s">
        <v>78</v>
      </c>
      <c r="P169" t="s">
        <v>299</v>
      </c>
      <c r="V169" t="s">
        <v>215</v>
      </c>
      <c r="W169" t="s">
        <v>215</v>
      </c>
      <c r="X169" t="s">
        <v>215</v>
      </c>
      <c r="Y169" t="s">
        <v>215</v>
      </c>
      <c r="AB169" t="s">
        <v>1954</v>
      </c>
      <c r="AE169">
        <v>154.53</v>
      </c>
      <c r="AF169">
        <v>201.3</v>
      </c>
      <c r="AG169">
        <v>107.76</v>
      </c>
      <c r="AH169">
        <v>152.76</v>
      </c>
      <c r="AI169">
        <v>203.74</v>
      </c>
      <c r="AJ169">
        <v>101.78</v>
      </c>
      <c r="AK169">
        <v>193.25</v>
      </c>
      <c r="AL169">
        <v>248.35</v>
      </c>
      <c r="AM169">
        <v>138.15</v>
      </c>
      <c r="AN169">
        <v>146.6</v>
      </c>
      <c r="AO169">
        <v>194.72</v>
      </c>
      <c r="AP169">
        <v>98.49</v>
      </c>
    </row>
    <row r="170" spans="1:42" x14ac:dyDescent="0.3">
      <c r="A170" t="s">
        <v>716</v>
      </c>
      <c r="B170" t="s">
        <v>98</v>
      </c>
      <c r="C170" t="s">
        <v>431</v>
      </c>
      <c r="D170" t="s">
        <v>59</v>
      </c>
      <c r="E170" t="s">
        <v>418</v>
      </c>
      <c r="F170" t="s">
        <v>538</v>
      </c>
      <c r="G170" t="s">
        <v>717</v>
      </c>
      <c r="H170" t="s">
        <v>1955</v>
      </c>
      <c r="I170" t="s">
        <v>426</v>
      </c>
      <c r="J170" t="s">
        <v>1641</v>
      </c>
      <c r="K170" t="s">
        <v>341</v>
      </c>
      <c r="L170" t="s">
        <v>1642</v>
      </c>
      <c r="M170" t="s">
        <v>300</v>
      </c>
      <c r="N170" t="s">
        <v>1913</v>
      </c>
      <c r="O170" t="s">
        <v>321</v>
      </c>
      <c r="P170" t="s">
        <v>299</v>
      </c>
      <c r="V170" t="s">
        <v>215</v>
      </c>
      <c r="W170" t="s">
        <v>215</v>
      </c>
      <c r="X170" t="s">
        <v>215</v>
      </c>
      <c r="Y170" t="s">
        <v>215</v>
      </c>
      <c r="AB170" t="s">
        <v>1956</v>
      </c>
      <c r="AE170">
        <v>177.4</v>
      </c>
      <c r="AF170">
        <v>238.13</v>
      </c>
      <c r="AG170">
        <v>116.67</v>
      </c>
      <c r="AH170">
        <v>216.47</v>
      </c>
      <c r="AI170">
        <v>275.88</v>
      </c>
      <c r="AJ170">
        <v>157.05000000000001</v>
      </c>
      <c r="AK170">
        <v>273.93</v>
      </c>
      <c r="AL170">
        <v>368.66</v>
      </c>
      <c r="AM170">
        <v>179.21</v>
      </c>
      <c r="AN170">
        <v>182.6</v>
      </c>
      <c r="AO170">
        <v>248.23</v>
      </c>
      <c r="AP170">
        <v>116.96</v>
      </c>
    </row>
    <row r="171" spans="1:42" x14ac:dyDescent="0.3">
      <c r="A171" t="s">
        <v>718</v>
      </c>
      <c r="B171" t="s">
        <v>98</v>
      </c>
      <c r="C171" t="s">
        <v>431</v>
      </c>
      <c r="D171" t="s">
        <v>58</v>
      </c>
      <c r="E171" t="s">
        <v>418</v>
      </c>
      <c r="F171" t="s">
        <v>542</v>
      </c>
      <c r="G171" t="s">
        <v>719</v>
      </c>
      <c r="H171" t="s">
        <v>1957</v>
      </c>
      <c r="I171" t="s">
        <v>426</v>
      </c>
      <c r="J171" t="s">
        <v>1649</v>
      </c>
      <c r="K171" t="s">
        <v>341</v>
      </c>
      <c r="L171" t="s">
        <v>1650</v>
      </c>
      <c r="M171" t="s">
        <v>300</v>
      </c>
      <c r="N171" t="s">
        <v>1913</v>
      </c>
      <c r="O171" t="s">
        <v>311</v>
      </c>
      <c r="P171" t="s">
        <v>302</v>
      </c>
      <c r="V171" t="s">
        <v>215</v>
      </c>
      <c r="W171" t="s">
        <v>215</v>
      </c>
      <c r="X171" t="s">
        <v>215</v>
      </c>
      <c r="Y171" t="s">
        <v>215</v>
      </c>
      <c r="AB171" t="s">
        <v>406</v>
      </c>
      <c r="AE171">
        <v>57.97</v>
      </c>
      <c r="AF171">
        <v>90.38</v>
      </c>
      <c r="AG171">
        <v>25.55</v>
      </c>
      <c r="AH171">
        <v>55.33</v>
      </c>
      <c r="AI171">
        <v>77.69</v>
      </c>
      <c r="AJ171">
        <v>32.979999999999997</v>
      </c>
      <c r="AK171">
        <v>109.53</v>
      </c>
      <c r="AL171">
        <v>190.02</v>
      </c>
      <c r="AM171">
        <v>29.04</v>
      </c>
      <c r="AN171">
        <v>51.81</v>
      </c>
      <c r="AO171">
        <v>69.13</v>
      </c>
      <c r="AP171">
        <v>34.479999999999997</v>
      </c>
    </row>
    <row r="172" spans="1:42" x14ac:dyDescent="0.3">
      <c r="A172" t="s">
        <v>793</v>
      </c>
      <c r="B172" t="s">
        <v>98</v>
      </c>
      <c r="C172" t="s">
        <v>431</v>
      </c>
      <c r="D172" t="s">
        <v>52</v>
      </c>
      <c r="E172" t="s">
        <v>1480</v>
      </c>
      <c r="F172" t="s">
        <v>340</v>
      </c>
      <c r="G172" t="s">
        <v>899</v>
      </c>
      <c r="H172" t="s">
        <v>1958</v>
      </c>
      <c r="I172" t="s">
        <v>215</v>
      </c>
      <c r="J172" t="s">
        <v>1649</v>
      </c>
      <c r="K172" t="s">
        <v>341</v>
      </c>
      <c r="L172" t="s">
        <v>1650</v>
      </c>
      <c r="M172" t="s">
        <v>323</v>
      </c>
      <c r="N172" t="s">
        <v>1913</v>
      </c>
      <c r="O172" t="s">
        <v>133</v>
      </c>
      <c r="V172" t="s">
        <v>215</v>
      </c>
      <c r="W172" t="s">
        <v>215</v>
      </c>
      <c r="X172" t="s">
        <v>215</v>
      </c>
      <c r="Y172" t="s">
        <v>215</v>
      </c>
      <c r="AB172" t="s">
        <v>1959</v>
      </c>
      <c r="AE172">
        <v>23.31</v>
      </c>
      <c r="AF172">
        <v>25.28</v>
      </c>
      <c r="AG172">
        <v>21.34</v>
      </c>
      <c r="AH172">
        <v>22.71</v>
      </c>
      <c r="AI172">
        <v>24.6</v>
      </c>
      <c r="AJ172">
        <v>20.82</v>
      </c>
      <c r="AK172">
        <v>26.9</v>
      </c>
      <c r="AL172">
        <v>28.82</v>
      </c>
      <c r="AM172">
        <v>24.98</v>
      </c>
      <c r="AN172">
        <v>23.07</v>
      </c>
      <c r="AO172">
        <v>24.99</v>
      </c>
      <c r="AP172">
        <v>21.15</v>
      </c>
    </row>
    <row r="173" spans="1:42" x14ac:dyDescent="0.3">
      <c r="A173" t="s">
        <v>655</v>
      </c>
      <c r="B173" t="s">
        <v>98</v>
      </c>
      <c r="C173" t="s">
        <v>431</v>
      </c>
      <c r="D173" t="s">
        <v>52</v>
      </c>
      <c r="E173" t="s">
        <v>1482</v>
      </c>
      <c r="F173" t="s">
        <v>340</v>
      </c>
      <c r="G173" t="s">
        <v>656</v>
      </c>
      <c r="H173" t="s">
        <v>1960</v>
      </c>
      <c r="I173" t="s">
        <v>215</v>
      </c>
      <c r="J173" t="s">
        <v>1737</v>
      </c>
      <c r="K173" t="s">
        <v>341</v>
      </c>
      <c r="L173" t="s">
        <v>1738</v>
      </c>
      <c r="M173" t="s">
        <v>300</v>
      </c>
      <c r="N173" t="s">
        <v>312</v>
      </c>
      <c r="O173" t="s">
        <v>392</v>
      </c>
      <c r="P173" t="s">
        <v>320</v>
      </c>
      <c r="Q173" t="s">
        <v>560</v>
      </c>
      <c r="R173" t="s">
        <v>300</v>
      </c>
      <c r="S173" t="s">
        <v>297</v>
      </c>
      <c r="T173" t="s">
        <v>313</v>
      </c>
      <c r="V173" t="s">
        <v>215</v>
      </c>
      <c r="W173" t="s">
        <v>215</v>
      </c>
      <c r="X173" t="s">
        <v>215</v>
      </c>
      <c r="Y173" t="s">
        <v>215</v>
      </c>
      <c r="AH173">
        <v>96.23</v>
      </c>
      <c r="AI173">
        <v>198.93</v>
      </c>
      <c r="AJ173">
        <v>-6.47</v>
      </c>
      <c r="AK173">
        <v>241.9</v>
      </c>
      <c r="AL173">
        <v>283.83999999999997</v>
      </c>
      <c r="AM173">
        <v>199.97</v>
      </c>
      <c r="AN173">
        <v>206.44</v>
      </c>
      <c r="AO173">
        <v>239.25</v>
      </c>
      <c r="AP173">
        <v>173.62</v>
      </c>
    </row>
    <row r="174" spans="1:42" x14ac:dyDescent="0.3">
      <c r="A174" t="s">
        <v>794</v>
      </c>
      <c r="B174" t="s">
        <v>98</v>
      </c>
      <c r="C174" t="s">
        <v>431</v>
      </c>
      <c r="D174" t="s">
        <v>58</v>
      </c>
      <c r="E174" t="s">
        <v>1345</v>
      </c>
      <c r="F174" t="s">
        <v>340</v>
      </c>
      <c r="G174" t="s">
        <v>859</v>
      </c>
      <c r="H174" t="s">
        <v>1961</v>
      </c>
      <c r="I174" t="s">
        <v>215</v>
      </c>
      <c r="J174" t="s">
        <v>1649</v>
      </c>
      <c r="K174" t="s">
        <v>341</v>
      </c>
      <c r="L174" t="s">
        <v>1650</v>
      </c>
      <c r="M174" t="s">
        <v>323</v>
      </c>
      <c r="N174" t="s">
        <v>390</v>
      </c>
      <c r="O174" t="s">
        <v>322</v>
      </c>
      <c r="V174" t="s">
        <v>215</v>
      </c>
      <c r="W174" t="s">
        <v>215</v>
      </c>
      <c r="X174" t="s">
        <v>215</v>
      </c>
      <c r="Y174" t="s">
        <v>215</v>
      </c>
      <c r="AB174" t="s">
        <v>571</v>
      </c>
      <c r="AE174">
        <v>25.14</v>
      </c>
      <c r="AF174">
        <v>27.24</v>
      </c>
      <c r="AG174">
        <v>23.05</v>
      </c>
      <c r="AH174">
        <v>95.54</v>
      </c>
      <c r="AI174">
        <v>147.09</v>
      </c>
      <c r="AJ174">
        <v>43.99</v>
      </c>
      <c r="AK174">
        <v>164.28</v>
      </c>
      <c r="AL174">
        <v>213.97</v>
      </c>
      <c r="AM174">
        <v>114.6</v>
      </c>
      <c r="AN174">
        <v>78.72</v>
      </c>
      <c r="AO174">
        <v>98.52</v>
      </c>
      <c r="AP174">
        <v>58.91</v>
      </c>
    </row>
    <row r="175" spans="1:42" x14ac:dyDescent="0.3">
      <c r="A175" t="s">
        <v>846</v>
      </c>
      <c r="B175" t="s">
        <v>98</v>
      </c>
      <c r="C175" t="s">
        <v>431</v>
      </c>
      <c r="D175" t="s">
        <v>60</v>
      </c>
      <c r="E175" t="s">
        <v>1610</v>
      </c>
      <c r="F175" t="s">
        <v>340</v>
      </c>
      <c r="G175" t="s">
        <v>1328</v>
      </c>
      <c r="H175" t="s">
        <v>1935</v>
      </c>
      <c r="I175" t="s">
        <v>215</v>
      </c>
      <c r="J175" t="s">
        <v>1638</v>
      </c>
      <c r="K175" t="s">
        <v>341</v>
      </c>
      <c r="L175" t="s">
        <v>1639</v>
      </c>
      <c r="M175" t="s">
        <v>300</v>
      </c>
      <c r="N175" t="s">
        <v>306</v>
      </c>
      <c r="O175" t="s">
        <v>329</v>
      </c>
      <c r="V175" t="s">
        <v>215</v>
      </c>
      <c r="W175" t="s">
        <v>215</v>
      </c>
      <c r="X175" t="s">
        <v>215</v>
      </c>
      <c r="Y175" t="s">
        <v>215</v>
      </c>
      <c r="AB175" t="s">
        <v>412</v>
      </c>
      <c r="AE175">
        <v>8.65</v>
      </c>
      <c r="AF175">
        <v>23.3</v>
      </c>
      <c r="AG175">
        <v>-5.99</v>
      </c>
      <c r="AH175">
        <v>106.78</v>
      </c>
      <c r="AI175">
        <v>180.53</v>
      </c>
      <c r="AJ175">
        <v>33.03</v>
      </c>
      <c r="AK175">
        <v>146.82</v>
      </c>
      <c r="AL175">
        <v>220.63</v>
      </c>
      <c r="AM175">
        <v>73</v>
      </c>
      <c r="AN175">
        <v>81.78</v>
      </c>
      <c r="AO175">
        <v>153.6</v>
      </c>
      <c r="AP175">
        <v>9.9700000000000006</v>
      </c>
    </row>
    <row r="176" spans="1:42" x14ac:dyDescent="0.3">
      <c r="A176" t="s">
        <v>773</v>
      </c>
      <c r="B176" t="s">
        <v>98</v>
      </c>
      <c r="C176" t="s">
        <v>431</v>
      </c>
      <c r="D176" t="s">
        <v>58</v>
      </c>
      <c r="E176" t="s">
        <v>1388</v>
      </c>
      <c r="F176" t="s">
        <v>346</v>
      </c>
      <c r="G176" t="s">
        <v>1331</v>
      </c>
      <c r="H176" t="s">
        <v>1962</v>
      </c>
      <c r="I176" t="s">
        <v>215</v>
      </c>
      <c r="J176" t="s">
        <v>1680</v>
      </c>
      <c r="K176" t="s">
        <v>341</v>
      </c>
      <c r="L176" t="s">
        <v>1963</v>
      </c>
      <c r="M176" t="s">
        <v>323</v>
      </c>
      <c r="N176" t="s">
        <v>150</v>
      </c>
      <c r="O176" t="s">
        <v>133</v>
      </c>
      <c r="V176" t="s">
        <v>215</v>
      </c>
      <c r="W176" t="s">
        <v>215</v>
      </c>
      <c r="X176" t="s">
        <v>215</v>
      </c>
      <c r="Y176" t="s">
        <v>215</v>
      </c>
      <c r="AB176" t="s">
        <v>407</v>
      </c>
      <c r="AE176">
        <v>38.770000000000003</v>
      </c>
      <c r="AF176">
        <v>41.65</v>
      </c>
      <c r="AG176">
        <v>35.89</v>
      </c>
      <c r="AH176">
        <v>34.89</v>
      </c>
      <c r="AI176">
        <v>37.799999999999997</v>
      </c>
      <c r="AJ176">
        <v>31.98</v>
      </c>
      <c r="AK176">
        <v>40.729999999999997</v>
      </c>
      <c r="AL176">
        <v>43.64</v>
      </c>
      <c r="AM176">
        <v>37.82</v>
      </c>
      <c r="AN176">
        <v>40.729999999999997</v>
      </c>
      <c r="AO176">
        <v>43.64</v>
      </c>
      <c r="AP176">
        <v>37.82</v>
      </c>
    </row>
    <row r="177" spans="1:42" x14ac:dyDescent="0.3">
      <c r="A177" t="s">
        <v>595</v>
      </c>
      <c r="B177" t="s">
        <v>98</v>
      </c>
      <c r="C177" t="s">
        <v>431</v>
      </c>
      <c r="D177" t="s">
        <v>53</v>
      </c>
      <c r="E177" t="s">
        <v>1415</v>
      </c>
      <c r="F177" t="s">
        <v>340</v>
      </c>
      <c r="G177" t="s">
        <v>596</v>
      </c>
      <c r="H177" t="s">
        <v>1964</v>
      </c>
      <c r="I177" t="s">
        <v>215</v>
      </c>
      <c r="J177" t="s">
        <v>1638</v>
      </c>
      <c r="K177" t="s">
        <v>341</v>
      </c>
      <c r="L177" t="s">
        <v>1639</v>
      </c>
      <c r="M177" t="s">
        <v>300</v>
      </c>
      <c r="N177" t="s">
        <v>88</v>
      </c>
      <c r="O177" t="s">
        <v>150</v>
      </c>
      <c r="P177" t="s">
        <v>316</v>
      </c>
      <c r="Q177" t="s">
        <v>428</v>
      </c>
      <c r="R177" t="s">
        <v>296</v>
      </c>
      <c r="S177" t="s">
        <v>297</v>
      </c>
      <c r="T177" t="s">
        <v>316</v>
      </c>
      <c r="V177" t="s">
        <v>215</v>
      </c>
      <c r="W177" t="s">
        <v>215</v>
      </c>
      <c r="X177" t="s">
        <v>215</v>
      </c>
      <c r="Y177" t="s">
        <v>215</v>
      </c>
      <c r="AB177" t="s">
        <v>422</v>
      </c>
      <c r="AE177">
        <v>73.67</v>
      </c>
      <c r="AF177">
        <v>74.03</v>
      </c>
      <c r="AG177">
        <v>73.3</v>
      </c>
      <c r="AH177">
        <v>55.53</v>
      </c>
      <c r="AI177">
        <v>66.53</v>
      </c>
      <c r="AJ177">
        <v>44.54</v>
      </c>
      <c r="AK177">
        <v>46.3</v>
      </c>
      <c r="AL177">
        <v>53.42</v>
      </c>
      <c r="AM177">
        <v>39.17</v>
      </c>
      <c r="AN177">
        <v>55.85</v>
      </c>
      <c r="AO177">
        <v>72.11</v>
      </c>
      <c r="AP177">
        <v>39.590000000000003</v>
      </c>
    </row>
    <row r="178" spans="1:42" x14ac:dyDescent="0.3">
      <c r="A178" t="s">
        <v>609</v>
      </c>
      <c r="B178" t="s">
        <v>98</v>
      </c>
      <c r="C178" t="s">
        <v>431</v>
      </c>
      <c r="D178" t="s">
        <v>53</v>
      </c>
      <c r="E178" t="s">
        <v>418</v>
      </c>
      <c r="F178" t="s">
        <v>1444</v>
      </c>
      <c r="G178" t="s">
        <v>610</v>
      </c>
      <c r="H178" t="s">
        <v>1965</v>
      </c>
      <c r="I178" t="s">
        <v>1966</v>
      </c>
      <c r="J178" t="s">
        <v>1653</v>
      </c>
      <c r="K178" t="s">
        <v>341</v>
      </c>
      <c r="L178" t="s">
        <v>1654</v>
      </c>
      <c r="M178" t="s">
        <v>300</v>
      </c>
      <c r="N178" t="s">
        <v>356</v>
      </c>
      <c r="O178" t="s">
        <v>78</v>
      </c>
      <c r="P178" t="s">
        <v>302</v>
      </c>
      <c r="V178" t="s">
        <v>215</v>
      </c>
      <c r="W178" t="s">
        <v>215</v>
      </c>
      <c r="X178" t="s">
        <v>215</v>
      </c>
      <c r="Y178" t="s">
        <v>215</v>
      </c>
      <c r="AB178" t="s">
        <v>549</v>
      </c>
      <c r="AE178">
        <v>94.16</v>
      </c>
      <c r="AF178">
        <v>121.53</v>
      </c>
      <c r="AG178">
        <v>66.790000000000006</v>
      </c>
      <c r="AH178">
        <v>126.07</v>
      </c>
      <c r="AI178">
        <v>193.86</v>
      </c>
      <c r="AJ178">
        <v>58.28</v>
      </c>
      <c r="AK178">
        <v>100.35</v>
      </c>
      <c r="AL178">
        <v>133.71</v>
      </c>
      <c r="AM178">
        <v>66.989999999999995</v>
      </c>
      <c r="AN178">
        <v>106.24</v>
      </c>
      <c r="AO178">
        <v>156.02000000000001</v>
      </c>
      <c r="AP178">
        <v>56.47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0AA6C-2998-4793-BE30-589A8CEBA872}">
  <sheetPr codeName="Sheet25"/>
  <dimension ref="A1:N390"/>
  <sheetViews>
    <sheetView workbookViewId="0">
      <selection activeCell="N9" sqref="N9"/>
    </sheetView>
  </sheetViews>
  <sheetFormatPr defaultRowHeight="14.4" x14ac:dyDescent="0.3"/>
  <cols>
    <col min="5" max="5" width="8.21875" bestFit="1" customWidth="1"/>
    <col min="6" max="6" width="11.77734375" bestFit="1" customWidth="1"/>
    <col min="7" max="7" width="10.6640625" bestFit="1" customWidth="1"/>
    <col min="8" max="8" width="11.44140625" bestFit="1" customWidth="1"/>
    <col min="9" max="9" width="10.77734375" bestFit="1" customWidth="1"/>
    <col min="10" max="10" width="9.6640625" bestFit="1" customWidth="1"/>
  </cols>
  <sheetData>
    <row r="1" spans="1:14" x14ac:dyDescent="0.3">
      <c r="A1" t="s">
        <v>269</v>
      </c>
      <c r="E1" t="s">
        <v>270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</row>
    <row r="2" spans="1:14" x14ac:dyDescent="0.3">
      <c r="A2" s="12" t="s">
        <v>162</v>
      </c>
      <c r="F2">
        <v>0</v>
      </c>
      <c r="G2">
        <v>0</v>
      </c>
      <c r="H2">
        <v>0</v>
      </c>
      <c r="I2">
        <v>0</v>
      </c>
      <c r="J2">
        <v>0</v>
      </c>
    </row>
    <row r="3" spans="1:14" x14ac:dyDescent="0.3">
      <c r="A3" s="12" t="s">
        <v>213</v>
      </c>
    </row>
    <row r="4" spans="1:14" x14ac:dyDescent="0.3">
      <c r="A4" s="12" t="s">
        <v>82</v>
      </c>
    </row>
    <row r="5" spans="1:14" x14ac:dyDescent="0.3">
      <c r="A5" s="12" t="s">
        <v>165</v>
      </c>
    </row>
    <row r="6" spans="1:14" x14ac:dyDescent="0.3">
      <c r="A6" s="12" t="s">
        <v>161</v>
      </c>
    </row>
    <row r="7" spans="1:14" x14ac:dyDescent="0.3">
      <c r="A7" s="12" t="s">
        <v>79</v>
      </c>
    </row>
    <row r="8" spans="1:14" x14ac:dyDescent="0.3">
      <c r="A8" s="12" t="s">
        <v>168</v>
      </c>
      <c r="N8" t="s">
        <v>383</v>
      </c>
    </row>
    <row r="9" spans="1:14" x14ac:dyDescent="0.3">
      <c r="A9" s="12" t="s">
        <v>169</v>
      </c>
    </row>
    <row r="10" spans="1:14" x14ac:dyDescent="0.3">
      <c r="A10" s="12" t="s">
        <v>170</v>
      </c>
    </row>
    <row r="11" spans="1:14" x14ac:dyDescent="0.3">
      <c r="A11" s="12" t="s">
        <v>157</v>
      </c>
    </row>
    <row r="12" spans="1:14" x14ac:dyDescent="0.3">
      <c r="A12" s="12" t="s">
        <v>153</v>
      </c>
    </row>
    <row r="13" spans="1:14" x14ac:dyDescent="0.3">
      <c r="A13" s="12" t="s">
        <v>83</v>
      </c>
    </row>
    <row r="14" spans="1:14" x14ac:dyDescent="0.3">
      <c r="A14" s="12" t="s">
        <v>154</v>
      </c>
    </row>
    <row r="15" spans="1:14" x14ac:dyDescent="0.3">
      <c r="A15" s="12" t="s">
        <v>151</v>
      </c>
    </row>
    <row r="16" spans="1:14" x14ac:dyDescent="0.3">
      <c r="A16" s="12" t="s">
        <v>90</v>
      </c>
    </row>
    <row r="17" spans="1:1" x14ac:dyDescent="0.3">
      <c r="A17" s="12" t="s">
        <v>183</v>
      </c>
    </row>
    <row r="18" spans="1:1" x14ac:dyDescent="0.3">
      <c r="A18" s="12" t="s">
        <v>181</v>
      </c>
    </row>
    <row r="19" spans="1:1" x14ac:dyDescent="0.3">
      <c r="A19" s="12" t="s">
        <v>155</v>
      </c>
    </row>
    <row r="20" spans="1:1" x14ac:dyDescent="0.3">
      <c r="A20" s="12" t="s">
        <v>182</v>
      </c>
    </row>
    <row r="21" spans="1:1" x14ac:dyDescent="0.3">
      <c r="A21" s="12" t="s">
        <v>180</v>
      </c>
    </row>
    <row r="22" spans="1:1" x14ac:dyDescent="0.3">
      <c r="A22" s="12" t="s">
        <v>163</v>
      </c>
    </row>
    <row r="23" spans="1:1" x14ac:dyDescent="0.3">
      <c r="A23" s="12" t="s">
        <v>179</v>
      </c>
    </row>
    <row r="24" spans="1:1" x14ac:dyDescent="0.3">
      <c r="A24" s="12" t="s">
        <v>167</v>
      </c>
    </row>
    <row r="25" spans="1:1" x14ac:dyDescent="0.3">
      <c r="A25" s="12" t="s">
        <v>176</v>
      </c>
    </row>
    <row r="26" spans="1:1" x14ac:dyDescent="0.3">
      <c r="A26" s="12" t="s">
        <v>178</v>
      </c>
    </row>
    <row r="27" spans="1:1" x14ac:dyDescent="0.3">
      <c r="A27" s="12" t="s">
        <v>173</v>
      </c>
    </row>
    <row r="28" spans="1:1" x14ac:dyDescent="0.3">
      <c r="A28" s="12" t="s">
        <v>89</v>
      </c>
    </row>
    <row r="29" spans="1:1" x14ac:dyDescent="0.3">
      <c r="A29" s="12" t="s">
        <v>171</v>
      </c>
    </row>
    <row r="30" spans="1:1" x14ac:dyDescent="0.3">
      <c r="A30" s="12" t="s">
        <v>84</v>
      </c>
    </row>
    <row r="31" spans="1:1" x14ac:dyDescent="0.3">
      <c r="A31" s="12" t="s">
        <v>175</v>
      </c>
    </row>
    <row r="32" spans="1:1" x14ac:dyDescent="0.3">
      <c r="A32" s="12" t="s">
        <v>87</v>
      </c>
    </row>
    <row r="33" spans="1:1" x14ac:dyDescent="0.3">
      <c r="A33" s="12" t="s">
        <v>174</v>
      </c>
    </row>
    <row r="34" spans="1:1" x14ac:dyDescent="0.3">
      <c r="A34" s="12" t="s">
        <v>159</v>
      </c>
    </row>
    <row r="35" spans="1:1" x14ac:dyDescent="0.3">
      <c r="A35" s="12" t="s">
        <v>177</v>
      </c>
    </row>
    <row r="36" spans="1:1" x14ac:dyDescent="0.3">
      <c r="A36" s="12" t="s">
        <v>152</v>
      </c>
    </row>
    <row r="37" spans="1:1" x14ac:dyDescent="0.3">
      <c r="A37" s="12" t="s">
        <v>184</v>
      </c>
    </row>
    <row r="38" spans="1:1" x14ac:dyDescent="0.3">
      <c r="A38" s="12"/>
    </row>
    <row r="39" spans="1:1" x14ac:dyDescent="0.3">
      <c r="A39" s="12"/>
    </row>
    <row r="40" spans="1:1" x14ac:dyDescent="0.3">
      <c r="A40" s="13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3"/>
    </row>
    <row r="45" spans="1:1" x14ac:dyDescent="0.3">
      <c r="A45" s="12"/>
    </row>
    <row r="46" spans="1:1" x14ac:dyDescent="0.3">
      <c r="A46" s="13"/>
    </row>
    <row r="47" spans="1:1" x14ac:dyDescent="0.3">
      <c r="A47" s="13"/>
    </row>
    <row r="48" spans="1:1" x14ac:dyDescent="0.3">
      <c r="A48" s="13"/>
    </row>
    <row r="49" spans="1:1" x14ac:dyDescent="0.3">
      <c r="A49" s="13"/>
    </row>
    <row r="50" spans="1:1" x14ac:dyDescent="0.3">
      <c r="A50" s="13"/>
    </row>
    <row r="51" spans="1:1" x14ac:dyDescent="0.3">
      <c r="A51" s="13"/>
    </row>
    <row r="52" spans="1:1" x14ac:dyDescent="0.3">
      <c r="A52" s="13"/>
    </row>
    <row r="53" spans="1:1" x14ac:dyDescent="0.3">
      <c r="A53" s="12"/>
    </row>
    <row r="54" spans="1:1" x14ac:dyDescent="0.3">
      <c r="A54" s="13"/>
    </row>
    <row r="55" spans="1:1" x14ac:dyDescent="0.3">
      <c r="A55" s="13"/>
    </row>
    <row r="56" spans="1:1" x14ac:dyDescent="0.3">
      <c r="A56" s="13"/>
    </row>
    <row r="57" spans="1:1" x14ac:dyDescent="0.3">
      <c r="A57" s="13"/>
    </row>
    <row r="58" spans="1:1" x14ac:dyDescent="0.3">
      <c r="A58" s="12"/>
    </row>
    <row r="59" spans="1:1" x14ac:dyDescent="0.3">
      <c r="A59" s="13"/>
    </row>
    <row r="60" spans="1:1" x14ac:dyDescent="0.3">
      <c r="A60" s="13"/>
    </row>
    <row r="61" spans="1:1" x14ac:dyDescent="0.3">
      <c r="A61" s="12"/>
    </row>
    <row r="62" spans="1:1" x14ac:dyDescent="0.3">
      <c r="A62" s="13"/>
    </row>
    <row r="63" spans="1:1" x14ac:dyDescent="0.3">
      <c r="A63" s="13"/>
    </row>
    <row r="64" spans="1:1" x14ac:dyDescent="0.3">
      <c r="A64" s="13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3"/>
    </row>
    <row r="70" spans="1:1" x14ac:dyDescent="0.3">
      <c r="A70" s="13"/>
    </row>
    <row r="71" spans="1:1" x14ac:dyDescent="0.3">
      <c r="A71" s="13"/>
    </row>
    <row r="72" spans="1:1" x14ac:dyDescent="0.3">
      <c r="A72" s="13"/>
    </row>
    <row r="73" spans="1:1" x14ac:dyDescent="0.3">
      <c r="A73" s="13"/>
    </row>
    <row r="74" spans="1:1" x14ac:dyDescent="0.3">
      <c r="A74" s="13"/>
    </row>
    <row r="75" spans="1:1" x14ac:dyDescent="0.3">
      <c r="A75" s="13"/>
    </row>
    <row r="76" spans="1:1" x14ac:dyDescent="0.3">
      <c r="A76" s="13"/>
    </row>
    <row r="77" spans="1:1" x14ac:dyDescent="0.3">
      <c r="A77" s="13"/>
    </row>
    <row r="78" spans="1:1" x14ac:dyDescent="0.3">
      <c r="A78" s="12"/>
    </row>
    <row r="79" spans="1:1" x14ac:dyDescent="0.3">
      <c r="A79" s="13"/>
    </row>
    <row r="80" spans="1:1" x14ac:dyDescent="0.3">
      <c r="A80" s="13"/>
    </row>
    <row r="81" spans="1:1" x14ac:dyDescent="0.3">
      <c r="A81" s="13"/>
    </row>
    <row r="82" spans="1:1" x14ac:dyDescent="0.3">
      <c r="A82" s="13"/>
    </row>
    <row r="83" spans="1:1" x14ac:dyDescent="0.3">
      <c r="A83" s="13"/>
    </row>
    <row r="84" spans="1:1" x14ac:dyDescent="0.3">
      <c r="A84" s="12"/>
    </row>
    <row r="85" spans="1:1" x14ac:dyDescent="0.3">
      <c r="A85" s="13"/>
    </row>
    <row r="86" spans="1:1" x14ac:dyDescent="0.3">
      <c r="A86" s="13"/>
    </row>
    <row r="87" spans="1:1" x14ac:dyDescent="0.3">
      <c r="A87" s="12"/>
    </row>
    <row r="88" spans="1:1" x14ac:dyDescent="0.3">
      <c r="A88" s="13"/>
    </row>
    <row r="89" spans="1:1" x14ac:dyDescent="0.3">
      <c r="A89" s="13"/>
    </row>
    <row r="90" spans="1:1" x14ac:dyDescent="0.3">
      <c r="A90" s="12"/>
    </row>
    <row r="91" spans="1:1" x14ac:dyDescent="0.3">
      <c r="A91" s="13"/>
    </row>
    <row r="92" spans="1:1" x14ac:dyDescent="0.3">
      <c r="A92" s="13"/>
    </row>
    <row r="93" spans="1:1" x14ac:dyDescent="0.3">
      <c r="A93" s="13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3"/>
    </row>
    <row r="98" spans="1:1" x14ac:dyDescent="0.3">
      <c r="A98" s="12"/>
    </row>
    <row r="99" spans="1:1" x14ac:dyDescent="0.3">
      <c r="A99" s="12"/>
    </row>
    <row r="100" spans="1:1" x14ac:dyDescent="0.3">
      <c r="A100" s="13"/>
    </row>
    <row r="101" spans="1:1" x14ac:dyDescent="0.3">
      <c r="A101" s="13"/>
    </row>
    <row r="102" spans="1:1" x14ac:dyDescent="0.3">
      <c r="A102" s="12"/>
    </row>
    <row r="103" spans="1:1" x14ac:dyDescent="0.3">
      <c r="A103" s="13"/>
    </row>
    <row r="104" spans="1:1" x14ac:dyDescent="0.3">
      <c r="A104" s="13"/>
    </row>
    <row r="105" spans="1:1" x14ac:dyDescent="0.3">
      <c r="A105" s="12"/>
    </row>
    <row r="106" spans="1:1" x14ac:dyDescent="0.3">
      <c r="A106" s="13"/>
    </row>
    <row r="107" spans="1:1" x14ac:dyDescent="0.3">
      <c r="A107" s="13"/>
    </row>
    <row r="108" spans="1:1" x14ac:dyDescent="0.3">
      <c r="A108" s="12"/>
    </row>
    <row r="109" spans="1:1" x14ac:dyDescent="0.3">
      <c r="A109" s="12"/>
    </row>
    <row r="110" spans="1:1" x14ac:dyDescent="0.3">
      <c r="A110" s="13"/>
    </row>
    <row r="111" spans="1:1" x14ac:dyDescent="0.3">
      <c r="A111" s="13"/>
    </row>
    <row r="112" spans="1:1" x14ac:dyDescent="0.3">
      <c r="A112" s="13"/>
    </row>
    <row r="113" spans="1:1" x14ac:dyDescent="0.3">
      <c r="A113" s="13"/>
    </row>
    <row r="114" spans="1:1" x14ac:dyDescent="0.3">
      <c r="A114" s="13"/>
    </row>
    <row r="115" spans="1:1" x14ac:dyDescent="0.3">
      <c r="A115" s="12"/>
    </row>
    <row r="116" spans="1:1" x14ac:dyDescent="0.3">
      <c r="A116" s="12"/>
    </row>
    <row r="117" spans="1:1" x14ac:dyDescent="0.3">
      <c r="A117" s="13"/>
    </row>
    <row r="118" spans="1:1" x14ac:dyDescent="0.3">
      <c r="A118" s="13"/>
    </row>
    <row r="119" spans="1:1" x14ac:dyDescent="0.3">
      <c r="A119" s="12"/>
    </row>
    <row r="120" spans="1:1" x14ac:dyDescent="0.3">
      <c r="A120" s="13"/>
    </row>
    <row r="121" spans="1:1" x14ac:dyDescent="0.3">
      <c r="A121" s="13"/>
    </row>
    <row r="122" spans="1:1" x14ac:dyDescent="0.3">
      <c r="A122" s="13"/>
    </row>
    <row r="123" spans="1:1" x14ac:dyDescent="0.3">
      <c r="A123" s="13"/>
    </row>
    <row r="124" spans="1:1" x14ac:dyDescent="0.3">
      <c r="A124" s="11"/>
    </row>
    <row r="125" spans="1:1" x14ac:dyDescent="0.3">
      <c r="A125" s="11"/>
    </row>
    <row r="126" spans="1:1" x14ac:dyDescent="0.3">
      <c r="A126" s="11"/>
    </row>
    <row r="127" spans="1:1" x14ac:dyDescent="0.3">
      <c r="A127" s="15"/>
    </row>
    <row r="128" spans="1:1" x14ac:dyDescent="0.3">
      <c r="A128" s="14"/>
    </row>
    <row r="129" spans="1:1" x14ac:dyDescent="0.3">
      <c r="A129" s="11"/>
    </row>
    <row r="130" spans="1:1" x14ac:dyDescent="0.3">
      <c r="A130" s="11"/>
    </row>
    <row r="131" spans="1:1" x14ac:dyDescent="0.3">
      <c r="A131" s="11"/>
    </row>
    <row r="132" spans="1:1" x14ac:dyDescent="0.3">
      <c r="A132" s="11"/>
    </row>
    <row r="133" spans="1:1" x14ac:dyDescent="0.3">
      <c r="A133" s="11"/>
    </row>
    <row r="134" spans="1:1" x14ac:dyDescent="0.3">
      <c r="A134" s="15"/>
    </row>
    <row r="135" spans="1:1" x14ac:dyDescent="0.3">
      <c r="A135" s="11"/>
    </row>
    <row r="136" spans="1:1" x14ac:dyDescent="0.3">
      <c r="A136" s="11"/>
    </row>
    <row r="137" spans="1:1" x14ac:dyDescent="0.3">
      <c r="A137" s="11"/>
    </row>
    <row r="138" spans="1:1" x14ac:dyDescent="0.3">
      <c r="A138" s="10"/>
    </row>
    <row r="139" spans="1:1" x14ac:dyDescent="0.3">
      <c r="A139" s="11"/>
    </row>
    <row r="140" spans="1:1" x14ac:dyDescent="0.3">
      <c r="A140" s="15"/>
    </row>
    <row r="141" spans="1:1" x14ac:dyDescent="0.3">
      <c r="A141" s="11"/>
    </row>
    <row r="142" spans="1:1" x14ac:dyDescent="0.3">
      <c r="A142" s="11"/>
    </row>
    <row r="143" spans="1:1" x14ac:dyDescent="0.3">
      <c r="A143" s="11"/>
    </row>
    <row r="144" spans="1:1" x14ac:dyDescent="0.3">
      <c r="A144" s="11"/>
    </row>
    <row r="145" spans="1:1" x14ac:dyDescent="0.3">
      <c r="A145" s="11"/>
    </row>
    <row r="146" spans="1:1" x14ac:dyDescent="0.3">
      <c r="A146" s="11"/>
    </row>
    <row r="147" spans="1:1" x14ac:dyDescent="0.3">
      <c r="A147" s="10"/>
    </row>
    <row r="148" spans="1:1" x14ac:dyDescent="0.3">
      <c r="A148" s="11"/>
    </row>
    <row r="149" spans="1:1" x14ac:dyDescent="0.3">
      <c r="A149" s="15"/>
    </row>
    <row r="150" spans="1:1" x14ac:dyDescent="0.3">
      <c r="A150" s="15"/>
    </row>
    <row r="151" spans="1:1" x14ac:dyDescent="0.3">
      <c r="A151" s="15"/>
    </row>
    <row r="152" spans="1:1" x14ac:dyDescent="0.3">
      <c r="A152" s="11"/>
    </row>
    <row r="153" spans="1:1" x14ac:dyDescent="0.3">
      <c r="A153" s="11"/>
    </row>
    <row r="154" spans="1:1" x14ac:dyDescent="0.3">
      <c r="A154" s="15"/>
    </row>
    <row r="155" spans="1:1" x14ac:dyDescent="0.3">
      <c r="A155" s="11"/>
    </row>
    <row r="156" spans="1:1" x14ac:dyDescent="0.3">
      <c r="A156" s="15"/>
    </row>
    <row r="157" spans="1:1" x14ac:dyDescent="0.3">
      <c r="A157" s="10"/>
    </row>
    <row r="158" spans="1:1" x14ac:dyDescent="0.3">
      <c r="A158" s="11"/>
    </row>
    <row r="159" spans="1:1" x14ac:dyDescent="0.3">
      <c r="A159" s="15"/>
    </row>
    <row r="160" spans="1:1" x14ac:dyDescent="0.3">
      <c r="A160" s="11"/>
    </row>
    <row r="161" spans="1:1" x14ac:dyDescent="0.3">
      <c r="A161" s="11"/>
    </row>
    <row r="162" spans="1:1" x14ac:dyDescent="0.3">
      <c r="A162" s="10"/>
    </row>
    <row r="163" spans="1:1" x14ac:dyDescent="0.3">
      <c r="A163" s="11"/>
    </row>
    <row r="164" spans="1:1" x14ac:dyDescent="0.3">
      <c r="A164" s="11"/>
    </row>
    <row r="165" spans="1:1" x14ac:dyDescent="0.3">
      <c r="A165" s="11"/>
    </row>
    <row r="166" spans="1:1" x14ac:dyDescent="0.3">
      <c r="A166" s="11"/>
    </row>
    <row r="167" spans="1:1" x14ac:dyDescent="0.3">
      <c r="A167" s="10"/>
    </row>
    <row r="168" spans="1:1" x14ac:dyDescent="0.3">
      <c r="A168" s="11"/>
    </row>
    <row r="169" spans="1:1" x14ac:dyDescent="0.3">
      <c r="A169" s="10"/>
    </row>
    <row r="170" spans="1:1" x14ac:dyDescent="0.3">
      <c r="A170" s="11"/>
    </row>
    <row r="171" spans="1:1" x14ac:dyDescent="0.3">
      <c r="A171" s="11"/>
    </row>
    <row r="172" spans="1:1" x14ac:dyDescent="0.3">
      <c r="A172" s="11"/>
    </row>
    <row r="173" spans="1:1" x14ac:dyDescent="0.3">
      <c r="A173" s="15"/>
    </row>
    <row r="174" spans="1:1" x14ac:dyDescent="0.3">
      <c r="A174" s="11"/>
    </row>
    <row r="175" spans="1:1" x14ac:dyDescent="0.3">
      <c r="A175" s="15"/>
    </row>
    <row r="176" spans="1:1" x14ac:dyDescent="0.3">
      <c r="A176" s="10"/>
    </row>
    <row r="177" spans="1:1" x14ac:dyDescent="0.3">
      <c r="A177" s="11"/>
    </row>
    <row r="178" spans="1:1" x14ac:dyDescent="0.3">
      <c r="A178" s="11"/>
    </row>
    <row r="179" spans="1:1" x14ac:dyDescent="0.3">
      <c r="A179" s="15"/>
    </row>
    <row r="180" spans="1:1" x14ac:dyDescent="0.3">
      <c r="A180" s="11"/>
    </row>
    <row r="181" spans="1:1" x14ac:dyDescent="0.3">
      <c r="A181" s="11"/>
    </row>
    <row r="182" spans="1:1" x14ac:dyDescent="0.3">
      <c r="A182" s="10"/>
    </row>
    <row r="183" spans="1:1" x14ac:dyDescent="0.3">
      <c r="A183" s="11"/>
    </row>
    <row r="184" spans="1:1" x14ac:dyDescent="0.3">
      <c r="A184" s="14"/>
    </row>
    <row r="185" spans="1:1" x14ac:dyDescent="0.3">
      <c r="A185" s="15"/>
    </row>
    <row r="186" spans="1:1" x14ac:dyDescent="0.3">
      <c r="A186" s="11"/>
    </row>
    <row r="187" spans="1:1" x14ac:dyDescent="0.3">
      <c r="A187" s="11"/>
    </row>
    <row r="188" spans="1:1" x14ac:dyDescent="0.3">
      <c r="A188" s="11"/>
    </row>
    <row r="189" spans="1:1" x14ac:dyDescent="0.3">
      <c r="A189" s="10"/>
    </row>
    <row r="190" spans="1:1" x14ac:dyDescent="0.3">
      <c r="A190" s="11"/>
    </row>
    <row r="191" spans="1:1" x14ac:dyDescent="0.3">
      <c r="A191" s="11"/>
    </row>
    <row r="192" spans="1:1" x14ac:dyDescent="0.3">
      <c r="A192" s="11"/>
    </row>
    <row r="193" spans="1:1" x14ac:dyDescent="0.3">
      <c r="A193" s="11"/>
    </row>
    <row r="194" spans="1:1" x14ac:dyDescent="0.3">
      <c r="A194" s="11"/>
    </row>
    <row r="195" spans="1:1" x14ac:dyDescent="0.3">
      <c r="A195" s="11"/>
    </row>
    <row r="196" spans="1:1" x14ac:dyDescent="0.3">
      <c r="A196" s="11"/>
    </row>
    <row r="197" spans="1:1" x14ac:dyDescent="0.3">
      <c r="A197" s="15"/>
    </row>
    <row r="198" spans="1:1" x14ac:dyDescent="0.3">
      <c r="A198" s="17"/>
    </row>
    <row r="199" spans="1:1" x14ac:dyDescent="0.3">
      <c r="A199" s="11"/>
    </row>
    <row r="200" spans="1:1" x14ac:dyDescent="0.3">
      <c r="A200" s="10"/>
    </row>
    <row r="201" spans="1:1" x14ac:dyDescent="0.3">
      <c r="A201" s="15"/>
    </row>
    <row r="202" spans="1:1" x14ac:dyDescent="0.3">
      <c r="A202" s="11"/>
    </row>
    <row r="203" spans="1:1" x14ac:dyDescent="0.3">
      <c r="A203" s="11"/>
    </row>
    <row r="204" spans="1:1" x14ac:dyDescent="0.3">
      <c r="A204" s="11"/>
    </row>
    <row r="205" spans="1:1" x14ac:dyDescent="0.3">
      <c r="A205" s="11"/>
    </row>
    <row r="206" spans="1:1" x14ac:dyDescent="0.3">
      <c r="A206" s="11"/>
    </row>
    <row r="207" spans="1:1" x14ac:dyDescent="0.3">
      <c r="A207" s="11"/>
    </row>
    <row r="208" spans="1:1" x14ac:dyDescent="0.3">
      <c r="A208" s="11"/>
    </row>
    <row r="209" spans="1:1" x14ac:dyDescent="0.3">
      <c r="A209" s="11"/>
    </row>
    <row r="210" spans="1:1" x14ac:dyDescent="0.3">
      <c r="A210" s="11"/>
    </row>
    <row r="211" spans="1:1" x14ac:dyDescent="0.3">
      <c r="A211" s="11"/>
    </row>
    <row r="212" spans="1:1" x14ac:dyDescent="0.3">
      <c r="A212" s="11"/>
    </row>
    <row r="213" spans="1:1" x14ac:dyDescent="0.3">
      <c r="A213" s="15"/>
    </row>
    <row r="214" spans="1:1" x14ac:dyDescent="0.3">
      <c r="A214" s="14"/>
    </row>
    <row r="215" spans="1:1" x14ac:dyDescent="0.3">
      <c r="A215" s="11"/>
    </row>
    <row r="216" spans="1:1" x14ac:dyDescent="0.3">
      <c r="A216" s="11"/>
    </row>
    <row r="217" spans="1:1" x14ac:dyDescent="0.3">
      <c r="A217" s="14"/>
    </row>
    <row r="218" spans="1:1" x14ac:dyDescent="0.3">
      <c r="A218" s="10"/>
    </row>
    <row r="219" spans="1:1" x14ac:dyDescent="0.3">
      <c r="A219" s="11"/>
    </row>
    <row r="220" spans="1:1" x14ac:dyDescent="0.3">
      <c r="A220" s="10"/>
    </row>
    <row r="221" spans="1:1" x14ac:dyDescent="0.3">
      <c r="A221" s="11"/>
    </row>
    <row r="222" spans="1:1" x14ac:dyDescent="0.3">
      <c r="A222" s="11"/>
    </row>
    <row r="223" spans="1:1" x14ac:dyDescent="0.3">
      <c r="A223" s="11"/>
    </row>
    <row r="224" spans="1:1" x14ac:dyDescent="0.3">
      <c r="A224" s="11"/>
    </row>
    <row r="225" spans="1:1" x14ac:dyDescent="0.3">
      <c r="A225" s="11"/>
    </row>
    <row r="226" spans="1:1" x14ac:dyDescent="0.3">
      <c r="A226" s="11"/>
    </row>
    <row r="227" spans="1:1" x14ac:dyDescent="0.3">
      <c r="A227" s="11"/>
    </row>
    <row r="228" spans="1:1" x14ac:dyDescent="0.3">
      <c r="A228" s="11"/>
    </row>
    <row r="229" spans="1:1" x14ac:dyDescent="0.3">
      <c r="A229" s="11"/>
    </row>
    <row r="230" spans="1:1" x14ac:dyDescent="0.3">
      <c r="A230" s="15"/>
    </row>
    <row r="231" spans="1:1" x14ac:dyDescent="0.3">
      <c r="A231" s="15"/>
    </row>
    <row r="232" spans="1:1" x14ac:dyDescent="0.3">
      <c r="A232" s="11"/>
    </row>
    <row r="233" spans="1:1" x14ac:dyDescent="0.3">
      <c r="A233" s="15"/>
    </row>
    <row r="234" spans="1:1" x14ac:dyDescent="0.3">
      <c r="A234" s="11"/>
    </row>
    <row r="235" spans="1:1" x14ac:dyDescent="0.3">
      <c r="A235" s="10"/>
    </row>
    <row r="236" spans="1:1" x14ac:dyDescent="0.3">
      <c r="A236" s="15"/>
    </row>
    <row r="237" spans="1:1" x14ac:dyDescent="0.3">
      <c r="A237" s="15"/>
    </row>
    <row r="238" spans="1:1" x14ac:dyDescent="0.3">
      <c r="A238" s="11"/>
    </row>
    <row r="239" spans="1:1" x14ac:dyDescent="0.3">
      <c r="A239" s="11"/>
    </row>
    <row r="240" spans="1:1" x14ac:dyDescent="0.3">
      <c r="A240" s="11"/>
    </row>
    <row r="241" spans="1:1" x14ac:dyDescent="0.3">
      <c r="A241" s="10"/>
    </row>
    <row r="242" spans="1:1" x14ac:dyDescent="0.3">
      <c r="A242" s="14"/>
    </row>
    <row r="243" spans="1:1" x14ac:dyDescent="0.3">
      <c r="A243" s="11"/>
    </row>
    <row r="244" spans="1:1" x14ac:dyDescent="0.3">
      <c r="A244" s="14"/>
    </row>
    <row r="245" spans="1:1" x14ac:dyDescent="0.3">
      <c r="A245" s="11"/>
    </row>
    <row r="246" spans="1:1" x14ac:dyDescent="0.3">
      <c r="A246" s="11"/>
    </row>
    <row r="247" spans="1:1" x14ac:dyDescent="0.3">
      <c r="A247" s="11"/>
    </row>
    <row r="248" spans="1:1" x14ac:dyDescent="0.3">
      <c r="A248" s="10"/>
    </row>
    <row r="249" spans="1:1" x14ac:dyDescent="0.3">
      <c r="A249" s="11"/>
    </row>
    <row r="250" spans="1:1" x14ac:dyDescent="0.3">
      <c r="A250" s="15"/>
    </row>
    <row r="251" spans="1:1" x14ac:dyDescent="0.3">
      <c r="A251" s="15"/>
    </row>
    <row r="252" spans="1:1" x14ac:dyDescent="0.3">
      <c r="A252" s="15"/>
    </row>
    <row r="253" spans="1:1" x14ac:dyDescent="0.3">
      <c r="A253" s="15"/>
    </row>
    <row r="254" spans="1:1" x14ac:dyDescent="0.3">
      <c r="A254" s="15"/>
    </row>
    <row r="255" spans="1:1" x14ac:dyDescent="0.3">
      <c r="A255" s="15"/>
    </row>
    <row r="256" spans="1:1" x14ac:dyDescent="0.3">
      <c r="A256" s="14"/>
    </row>
    <row r="257" spans="1:1" x14ac:dyDescent="0.3">
      <c r="A257" s="14"/>
    </row>
    <row r="258" spans="1:1" x14ac:dyDescent="0.3">
      <c r="A258" s="14"/>
    </row>
    <row r="259" spans="1:1" x14ac:dyDescent="0.3">
      <c r="A259" s="15"/>
    </row>
    <row r="260" spans="1:1" x14ac:dyDescent="0.3">
      <c r="A260" s="14"/>
    </row>
    <row r="261" spans="1:1" x14ac:dyDescent="0.3">
      <c r="A261" s="10"/>
    </row>
    <row r="262" spans="1:1" x14ac:dyDescent="0.3">
      <c r="A262" s="15"/>
    </row>
    <row r="263" spans="1:1" x14ac:dyDescent="0.3">
      <c r="A263" s="10"/>
    </row>
    <row r="264" spans="1:1" x14ac:dyDescent="0.3">
      <c r="A264" s="10"/>
    </row>
    <row r="265" spans="1:1" x14ac:dyDescent="0.3">
      <c r="A265" s="11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1"/>
    </row>
    <row r="270" spans="1:1" x14ac:dyDescent="0.3">
      <c r="A270" s="10"/>
    </row>
    <row r="271" spans="1:1" x14ac:dyDescent="0.3">
      <c r="A271" s="10"/>
    </row>
    <row r="272" spans="1:1" x14ac:dyDescent="0.3">
      <c r="A272" s="11"/>
    </row>
    <row r="273" spans="1:1" x14ac:dyDescent="0.3">
      <c r="A273" s="10"/>
    </row>
    <row r="274" spans="1:1" x14ac:dyDescent="0.3">
      <c r="A274" s="11"/>
    </row>
    <row r="275" spans="1:1" x14ac:dyDescent="0.3">
      <c r="A275" s="15"/>
    </row>
    <row r="276" spans="1:1" x14ac:dyDescent="0.3">
      <c r="A276" s="11"/>
    </row>
    <row r="277" spans="1:1" x14ac:dyDescent="0.3">
      <c r="A277" s="14"/>
    </row>
    <row r="278" spans="1:1" x14ac:dyDescent="0.3">
      <c r="A278" s="10"/>
    </row>
    <row r="279" spans="1:1" x14ac:dyDescent="0.3">
      <c r="A279" s="11"/>
    </row>
    <row r="280" spans="1:1" x14ac:dyDescent="0.3">
      <c r="A280" s="10"/>
    </row>
    <row r="281" spans="1:1" x14ac:dyDescent="0.3">
      <c r="A281" s="11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5"/>
    </row>
    <row r="291" spans="1:1" x14ac:dyDescent="0.3">
      <c r="A291" s="10"/>
    </row>
    <row r="292" spans="1:1" x14ac:dyDescent="0.3">
      <c r="A292" s="10"/>
    </row>
    <row r="293" spans="1:1" x14ac:dyDescent="0.3">
      <c r="A293" s="14"/>
    </row>
    <row r="294" spans="1:1" x14ac:dyDescent="0.3">
      <c r="A294" s="14"/>
    </row>
    <row r="295" spans="1:1" x14ac:dyDescent="0.3">
      <c r="A295" s="14"/>
    </row>
    <row r="296" spans="1:1" x14ac:dyDescent="0.3">
      <c r="A296" s="14"/>
    </row>
    <row r="297" spans="1:1" x14ac:dyDescent="0.3">
      <c r="A297" s="10"/>
    </row>
    <row r="298" spans="1:1" x14ac:dyDescent="0.3">
      <c r="A298" s="11"/>
    </row>
    <row r="299" spans="1:1" x14ac:dyDescent="0.3">
      <c r="A299" s="10"/>
    </row>
    <row r="300" spans="1:1" x14ac:dyDescent="0.3">
      <c r="A300" s="14"/>
    </row>
    <row r="301" spans="1:1" x14ac:dyDescent="0.3">
      <c r="A301" s="11"/>
    </row>
    <row r="302" spans="1:1" x14ac:dyDescent="0.3">
      <c r="A302" s="11"/>
    </row>
    <row r="303" spans="1:1" x14ac:dyDescent="0.3">
      <c r="A303" s="11"/>
    </row>
    <row r="304" spans="1:1" x14ac:dyDescent="0.3">
      <c r="A304" s="11"/>
    </row>
    <row r="305" spans="1:1" x14ac:dyDescent="0.3">
      <c r="A305" s="15"/>
    </row>
    <row r="306" spans="1:1" x14ac:dyDescent="0.3">
      <c r="A306" s="11"/>
    </row>
    <row r="307" spans="1:1" x14ac:dyDescent="0.3">
      <c r="A307" s="10"/>
    </row>
    <row r="308" spans="1:1" x14ac:dyDescent="0.3">
      <c r="A308" s="14"/>
    </row>
    <row r="309" spans="1:1" x14ac:dyDescent="0.3">
      <c r="A309" s="10"/>
    </row>
    <row r="310" spans="1:1" x14ac:dyDescent="0.3">
      <c r="A310" s="10"/>
    </row>
    <row r="311" spans="1:1" x14ac:dyDescent="0.3">
      <c r="A311" s="11"/>
    </row>
    <row r="312" spans="1:1" x14ac:dyDescent="0.3">
      <c r="A312" s="10"/>
    </row>
    <row r="313" spans="1:1" x14ac:dyDescent="0.3">
      <c r="A313" s="10"/>
    </row>
    <row r="314" spans="1:1" x14ac:dyDescent="0.3">
      <c r="A314" s="11"/>
    </row>
    <row r="315" spans="1:1" x14ac:dyDescent="0.3">
      <c r="A315" s="15"/>
    </row>
    <row r="316" spans="1:1" x14ac:dyDescent="0.3">
      <c r="A316" s="14"/>
    </row>
    <row r="317" spans="1:1" x14ac:dyDescent="0.3">
      <c r="A317" s="15"/>
    </row>
    <row r="318" spans="1:1" x14ac:dyDescent="0.3">
      <c r="A318" s="15"/>
    </row>
    <row r="319" spans="1:1" x14ac:dyDescent="0.3">
      <c r="A319" s="11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1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4"/>
    </row>
    <row r="328" spans="1:1" x14ac:dyDescent="0.3">
      <c r="A328" s="14"/>
    </row>
    <row r="329" spans="1:1" x14ac:dyDescent="0.3">
      <c r="A329" s="11"/>
    </row>
    <row r="330" spans="1:1" x14ac:dyDescent="0.3">
      <c r="A330" s="14"/>
    </row>
    <row r="331" spans="1:1" x14ac:dyDescent="0.3">
      <c r="A331" s="10"/>
    </row>
    <row r="332" spans="1:1" x14ac:dyDescent="0.3">
      <c r="A332" s="11"/>
    </row>
    <row r="333" spans="1:1" x14ac:dyDescent="0.3">
      <c r="A333" s="11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1"/>
    </row>
    <row r="339" spans="1:1" x14ac:dyDescent="0.3">
      <c r="A339" s="14"/>
    </row>
    <row r="340" spans="1:1" x14ac:dyDescent="0.3">
      <c r="A340" s="11"/>
    </row>
    <row r="341" spans="1:1" x14ac:dyDescent="0.3">
      <c r="A341" s="15"/>
    </row>
    <row r="342" spans="1:1" x14ac:dyDescent="0.3">
      <c r="A342" s="10"/>
    </row>
    <row r="343" spans="1:1" x14ac:dyDescent="0.3">
      <c r="A343" s="10"/>
    </row>
    <row r="344" spans="1:1" x14ac:dyDescent="0.3">
      <c r="A344" s="11"/>
    </row>
    <row r="345" spans="1:1" x14ac:dyDescent="0.3">
      <c r="A345" s="10"/>
    </row>
    <row r="346" spans="1:1" x14ac:dyDescent="0.3">
      <c r="A346" s="14"/>
    </row>
    <row r="347" spans="1:1" x14ac:dyDescent="0.3">
      <c r="A347" s="11"/>
    </row>
    <row r="348" spans="1:1" x14ac:dyDescent="0.3">
      <c r="A348" s="10"/>
    </row>
    <row r="349" spans="1:1" x14ac:dyDescent="0.3">
      <c r="A349" s="10"/>
    </row>
    <row r="350" spans="1:1" x14ac:dyDescent="0.3">
      <c r="A350" s="14"/>
    </row>
    <row r="351" spans="1:1" x14ac:dyDescent="0.3">
      <c r="A351" s="15"/>
    </row>
    <row r="352" spans="1:1" x14ac:dyDescent="0.3">
      <c r="A352" s="11"/>
    </row>
    <row r="353" spans="1:1" x14ac:dyDescent="0.3">
      <c r="A353" s="11"/>
    </row>
    <row r="354" spans="1:1" x14ac:dyDescent="0.3">
      <c r="A354" s="11"/>
    </row>
    <row r="355" spans="1:1" x14ac:dyDescent="0.3">
      <c r="A355" s="11"/>
    </row>
    <row r="356" spans="1:1" x14ac:dyDescent="0.3">
      <c r="A356" s="11"/>
    </row>
    <row r="357" spans="1:1" x14ac:dyDescent="0.3">
      <c r="A357" s="14"/>
    </row>
    <row r="358" spans="1:1" x14ac:dyDescent="0.3">
      <c r="A358" s="15"/>
    </row>
    <row r="359" spans="1:1" x14ac:dyDescent="0.3">
      <c r="A359" s="11"/>
    </row>
    <row r="360" spans="1:1" x14ac:dyDescent="0.3">
      <c r="A360" s="11"/>
    </row>
    <row r="361" spans="1:1" x14ac:dyDescent="0.3">
      <c r="A361" s="10"/>
    </row>
    <row r="362" spans="1:1" x14ac:dyDescent="0.3">
      <c r="A362" s="11"/>
    </row>
    <row r="363" spans="1:1" x14ac:dyDescent="0.3">
      <c r="A363" s="14"/>
    </row>
    <row r="364" spans="1:1" x14ac:dyDescent="0.3">
      <c r="A364" s="14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4"/>
    </row>
    <row r="370" spans="1:1" x14ac:dyDescent="0.3">
      <c r="A370" s="14"/>
    </row>
    <row r="371" spans="1:1" x14ac:dyDescent="0.3">
      <c r="A371" s="10"/>
    </row>
    <row r="372" spans="1:1" x14ac:dyDescent="0.3">
      <c r="A372" s="10"/>
    </row>
    <row r="373" spans="1:1" x14ac:dyDescent="0.3">
      <c r="A373" s="14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4"/>
    </row>
    <row r="378" spans="1:1" x14ac:dyDescent="0.3">
      <c r="A378" s="10"/>
    </row>
    <row r="379" spans="1:1" x14ac:dyDescent="0.3">
      <c r="A379" s="14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7"/>
    </row>
    <row r="384" spans="1:1" x14ac:dyDescent="0.3">
      <c r="A384" s="10"/>
    </row>
    <row r="385" spans="1:1" x14ac:dyDescent="0.3">
      <c r="A385" s="18"/>
    </row>
    <row r="386" spans="1:1" x14ac:dyDescent="0.3">
      <c r="A386" s="19"/>
    </row>
    <row r="387" spans="1:1" x14ac:dyDescent="0.3">
      <c r="A387" s="18"/>
    </row>
    <row r="388" spans="1:1" x14ac:dyDescent="0.3">
      <c r="A388" s="16"/>
    </row>
    <row r="389" spans="1:1" x14ac:dyDescent="0.3">
      <c r="A389" s="11"/>
    </row>
    <row r="390" spans="1:1" x14ac:dyDescent="0.3">
      <c r="A390" s="18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22A32-93D5-4BB0-B1CD-75B4F6FB42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20</vt:i4>
      </vt:variant>
    </vt:vector>
  </HeadingPairs>
  <TitlesOfParts>
    <vt:vector size="52" baseType="lpstr">
      <vt:lpstr>Control</vt:lpstr>
      <vt:lpstr>Customers Changing</vt:lpstr>
      <vt:lpstr>Route Days with no changes</vt:lpstr>
      <vt:lpstr>Internal Changes</vt:lpstr>
      <vt:lpstr>Coming Or Going</vt:lpstr>
      <vt:lpstr>Five Days</vt:lpstr>
      <vt:lpstr>Primary Garment Reference</vt:lpstr>
      <vt:lpstr>All Special Deliveries</vt:lpstr>
      <vt:lpstr>Service Large Gap Special Deliv</vt:lpstr>
      <vt:lpstr>Service Gap inventory list</vt:lpstr>
      <vt:lpstr>Service-Garment Specials by Day</vt:lpstr>
      <vt:lpstr>Service Ranked Exposure List</vt:lpstr>
      <vt:lpstr>IT new stop#s M</vt:lpstr>
      <vt:lpstr>IT new stop#s T</vt:lpstr>
      <vt:lpstr>IT new stop#s W</vt:lpstr>
      <vt:lpstr>IT new stop#s R</vt:lpstr>
      <vt:lpstr>IT new stop#s F</vt:lpstr>
      <vt:lpstr>IT_ New Sequences Whole RTDay</vt:lpstr>
      <vt:lpstr>IT Flag Garment Retapes</vt:lpstr>
      <vt:lpstr>IT Soil Caps increases</vt:lpstr>
      <vt:lpstr>CC DE Special invoices needed</vt:lpstr>
      <vt:lpstr>CC ONEWEEK Data Entry</vt:lpstr>
      <vt:lpstr>CC DE List Week 2</vt:lpstr>
      <vt:lpstr>CC DE List Week 1</vt:lpstr>
      <vt:lpstr>Serivce Garments by New Day</vt:lpstr>
      <vt:lpstr>Service Retapes by day</vt:lpstr>
      <vt:lpstr>All Retapes Listing</vt:lpstr>
      <vt:lpstr>Current Iteration Unique</vt:lpstr>
      <vt:lpstr>Stop checker</vt:lpstr>
      <vt:lpstr>Service Surveys</vt:lpstr>
      <vt:lpstr>Primary Customer Listing SQL IN</vt:lpstr>
      <vt:lpstr>update Stop#s for list of Cuids</vt:lpstr>
      <vt:lpstr>'All Special Deliveries'!Print_Area</vt:lpstr>
      <vt:lpstr>'CC DE List Week 1'!Print_Area</vt:lpstr>
      <vt:lpstr>'Coming Or Going'!Print_Area</vt:lpstr>
      <vt:lpstr>'Five Days'!Print_Area</vt:lpstr>
      <vt:lpstr>'Internal Changes'!Print_Area</vt:lpstr>
      <vt:lpstr>'Primary Garment Reference'!Print_Area</vt:lpstr>
      <vt:lpstr>'Serivce Garments by New Day'!Print_Area</vt:lpstr>
      <vt:lpstr>'Service Gap inventory list'!Print_Area</vt:lpstr>
      <vt:lpstr>'Service Retapes by day'!Print_Area</vt:lpstr>
      <vt:lpstr>'Service Surveys'!Print_Area</vt:lpstr>
      <vt:lpstr>'All Retapes Listing'!Print_Titles</vt:lpstr>
      <vt:lpstr>'Coming Or Going'!Print_Titles</vt:lpstr>
      <vt:lpstr>'Five Days'!Print_Titles</vt:lpstr>
      <vt:lpstr>'Internal Changes'!Print_Titles</vt:lpstr>
      <vt:lpstr>'Primary Garment Reference'!Print_Titles</vt:lpstr>
      <vt:lpstr>'Serivce Garments by New Day'!Print_Titles</vt:lpstr>
      <vt:lpstr>'Service Gap inventory list'!Print_Titles</vt:lpstr>
      <vt:lpstr>'Service Retapes by day'!Print_Titles</vt:lpstr>
      <vt:lpstr>'Service Surveys'!Print_Titles</vt:lpstr>
      <vt:lpstr>'Service-Garment Specials by Day'!Print_Titles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cp:lastPrinted>2025-03-21T16:00:46Z</cp:lastPrinted>
  <dcterms:created xsi:type="dcterms:W3CDTF">2022-11-09T17:45:09Z</dcterms:created>
  <dcterms:modified xsi:type="dcterms:W3CDTF">2025-03-21T16:00:53Z</dcterms:modified>
</cp:coreProperties>
</file>